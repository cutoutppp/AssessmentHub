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data" sheetId="1" r:id="rId4"/>
    <sheet state="visible" name="View_ClassTeacher" sheetId="2" r:id="rId5"/>
    <sheet state="visible" name="score" sheetId="3" r:id="rId6"/>
    <sheet state="visible" name="M.S. Report" sheetId="4" r:id="rId7"/>
    <sheet state="visible" name="Submission_Status" sheetId="5" r:id="rId8"/>
    <sheet state="visible" name="ชีต1" sheetId="6" r:id="rId9"/>
  </sheets>
  <definedNames/>
  <calcPr/>
  <extLst>
    <ext uri="GoogleSheetsCustomDataVersion2">
      <go:sheetsCustomData xmlns:go="http://customooxmlschemas.google.com/" r:id="rId10" roundtripDataChecksum="aYhIJbp1l04mSPsevrJuBpueiGMAQ2QyeDW195wx/nE="/>
    </ext>
  </extLst>
</workbook>
</file>

<file path=xl/sharedStrings.xml><?xml version="1.0" encoding="utf-8"?>
<sst xmlns="http://schemas.openxmlformats.org/spreadsheetml/2006/main" count="752" uniqueCount="521">
  <si>
    <t>ระดับชั้น</t>
  </si>
  <si>
    <t>รหัสวิชา</t>
  </si>
  <si>
    <t>รายวิชา</t>
  </si>
  <si>
    <t>หน่วยกิต</t>
  </si>
  <si>
    <t>ห้องที่สอน</t>
  </si>
  <si>
    <t>คะแนนก่อนกลางภาค 1</t>
  </si>
  <si>
    <t>คะแนนก่อนกลางภาค 2</t>
  </si>
  <si>
    <t>คะแนนก่อนกลางภาค 3</t>
  </si>
  <si>
    <t>คะแนนก่อนกลางภาค 4</t>
  </si>
  <si>
    <t>คะแนนก่อนกลางภาค 5</t>
  </si>
  <si>
    <t>คะแนนก่อนกลางภาค 6</t>
  </si>
  <si>
    <t>คะแนนก่อนกลางภาค 7</t>
  </si>
  <si>
    <t>คะแนนก่อนกลางภาค 8</t>
  </si>
  <si>
    <t>คะแนนก่อนกลางภาค 9</t>
  </si>
  <si>
    <t>รวมคะแนนก่อนกลางภาค</t>
  </si>
  <si>
    <t>สอบกลางภาค</t>
  </si>
  <si>
    <t>คะแนนกลางภาค             50 คะแนน</t>
  </si>
  <si>
    <t>คะแนนหลังกลางภาค 1</t>
  </si>
  <si>
    <t>คะแนนหลังกลางภาค 2</t>
  </si>
  <si>
    <t>คะแนนหลังกลางภาค 3</t>
  </si>
  <si>
    <t>คะแนนหลังกลางภาค 4</t>
  </si>
  <si>
    <t>คะแนนหลังกลางภาค 5</t>
  </si>
  <si>
    <t>คะแนนหลังกลางภาค 6</t>
  </si>
  <si>
    <t>คะแนนหลังกลางภาค 7</t>
  </si>
  <si>
    <t>คะแนนหลังกลางภาค 8</t>
  </si>
  <si>
    <t>คะแนนหลังกลางภาค 9</t>
  </si>
  <si>
    <t>รวมคะแนนหลังกลางภาค</t>
  </si>
  <si>
    <t>สอบปลายภาค</t>
  </si>
  <si>
    <t>คะแนนปลายภาค            50 คะแนน</t>
  </si>
  <si>
    <t>ระหว่างเรียน</t>
  </si>
  <si>
    <t>สอบ</t>
  </si>
  <si>
    <t>รวม 100 คะแนน</t>
  </si>
  <si>
    <t>เวลาสอบกลางภาค</t>
  </si>
  <si>
    <t>เวลาสอบปลายภาค</t>
  </si>
  <si>
    <t>ม.1</t>
  </si>
  <si>
    <t>ท21101</t>
  </si>
  <si>
    <t>ภาษาไทย 1</t>
  </si>
  <si>
    <t>ม.1/1-7</t>
  </si>
  <si>
    <t>ม.2</t>
  </si>
  <si>
    <t>ท22101</t>
  </si>
  <si>
    <t>ภาษาไทย 3</t>
  </si>
  <si>
    <t>ม.2/1-7</t>
  </si>
  <si>
    <t>ม.3</t>
  </si>
  <si>
    <t>ท23101</t>
  </si>
  <si>
    <t>ภาษาไทย 5</t>
  </si>
  <si>
    <t>ม.3/1-8</t>
  </si>
  <si>
    <t>ม.4</t>
  </si>
  <si>
    <t>ท31101</t>
  </si>
  <si>
    <t>ม.4/1-11</t>
  </si>
  <si>
    <t>ท30203</t>
  </si>
  <si>
    <t>การใช้ภาษาไทยในยุคดิจิทัล</t>
  </si>
  <si>
    <t>ม.4/7-8</t>
  </si>
  <si>
    <t>ท30204</t>
  </si>
  <si>
    <t>พลวัตภาษาและวิถีวัฒนธรรม</t>
  </si>
  <si>
    <t>ม.5</t>
  </si>
  <si>
    <t>ท32101</t>
  </si>
  <si>
    <t>ม.5/1-11</t>
  </si>
  <si>
    <t>ท32201</t>
  </si>
  <si>
    <t>การพูด</t>
  </si>
  <si>
    <t>ม.5/8-10</t>
  </si>
  <si>
    <t>ท32203</t>
  </si>
  <si>
    <t>ประวัติวรรณคดี 1</t>
  </si>
  <si>
    <t>ม.6</t>
  </si>
  <si>
    <t>ท33101</t>
  </si>
  <si>
    <t>ม.6/1-11</t>
  </si>
  <si>
    <t>ท33201</t>
  </si>
  <si>
    <t>ภาษาไทยเพื่อการศึกษาต่อ 1</t>
  </si>
  <si>
    <t>ม.6/5-10</t>
  </si>
  <si>
    <t>ท30201</t>
  </si>
  <si>
    <t>ภาษาไทยเพื่อกิจกรรมการแสดง 1</t>
  </si>
  <si>
    <t>ม.6/8-10</t>
  </si>
  <si>
    <t>ค21101</t>
  </si>
  <si>
    <t>คณิตศาสตร์ 1</t>
  </si>
  <si>
    <t>ค21201</t>
  </si>
  <si>
    <t>คณิตศาสตร์เพิ่มเติม 1</t>
  </si>
  <si>
    <t>ม.1/1-3</t>
  </si>
  <si>
    <t>ค20207</t>
  </si>
  <si>
    <t>จำนวนเต็มและการดำเนินการ</t>
  </si>
  <si>
    <t>ม.1/1</t>
  </si>
  <si>
    <t>ค20213</t>
  </si>
  <si>
    <t>คณิตศาสตร์เชิงระบบและกลศาสตร์</t>
  </si>
  <si>
    <t>ม.1/2-3</t>
  </si>
  <si>
    <t>ค22101</t>
  </si>
  <si>
    <t>คณิตศาสตร์ 3</t>
  </si>
  <si>
    <t>ค22201</t>
  </si>
  <si>
    <t>คณิตศาสตร์เพิ่มเติม 3</t>
  </si>
  <si>
    <t>ม.2/1-3</t>
  </si>
  <si>
    <t>ค20203</t>
  </si>
  <si>
    <t>คณิตศาสตร์เพิ่มพูน 3</t>
  </si>
  <si>
    <t>ม.2/1</t>
  </si>
  <si>
    <t>ค23101</t>
  </si>
  <si>
    <t>คณิตศาสตร์ 5</t>
  </si>
  <si>
    <t>ค23201</t>
  </si>
  <si>
    <t>คณิตศาสตร์เพิ่มเติม 5</t>
  </si>
  <si>
    <t>ม.3/1-3</t>
  </si>
  <si>
    <t>ค20205</t>
  </si>
  <si>
    <t>คณิตศาสตร์เพิ่มพูน 5</t>
  </si>
  <si>
    <t>ม.3/1</t>
  </si>
  <si>
    <t>ค31101</t>
  </si>
  <si>
    <t>ค31201</t>
  </si>
  <si>
    <t>ม.4/1-5</t>
  </si>
  <si>
    <t>ค31203</t>
  </si>
  <si>
    <t>คณิตศาสตร์อุตสาหกรรม1</t>
  </si>
  <si>
    <t>ม.4/9</t>
  </si>
  <si>
    <t>ค32101</t>
  </si>
  <si>
    <t>ค32201</t>
  </si>
  <si>
    <t>ม.5/1-5</t>
  </si>
  <si>
    <t>ค30201</t>
  </si>
  <si>
    <t>การแก้ปัญหาทางคณิตฯ 1</t>
  </si>
  <si>
    <t>ม.5/1</t>
  </si>
  <si>
    <t>ค32203</t>
  </si>
  <si>
    <t>คณิตศาสตร์อุตสาหกรรม3</t>
  </si>
  <si>
    <t>ม.5/11</t>
  </si>
  <si>
    <t>ค33101</t>
  </si>
  <si>
    <t>ค33201</t>
  </si>
  <si>
    <t>ม.6/1-6</t>
  </si>
  <si>
    <t>ค30203</t>
  </si>
  <si>
    <t>โครงงานคณิตศาสตร์ 1</t>
  </si>
  <si>
    <t>ม.6/1</t>
  </si>
  <si>
    <t>ค33203</t>
  </si>
  <si>
    <t>คณิตศาสตร์อุตสาหกรรม5</t>
  </si>
  <si>
    <t>ม.6/11</t>
  </si>
  <si>
    <t>ว21103</t>
  </si>
  <si>
    <t>การออกแบบและเทคฯ 1</t>
  </si>
  <si>
    <t>ว20230</t>
  </si>
  <si>
    <t>Office Essential</t>
  </si>
  <si>
    <t>ว22103</t>
  </si>
  <si>
    <t>การออกแบบและเทคฯ 2</t>
  </si>
  <si>
    <t>ว20224</t>
  </si>
  <si>
    <t>Google SketchUp (Model3D)</t>
  </si>
  <si>
    <t>ว23103</t>
  </si>
  <si>
    <t>การออกแบบและเทคฯ 3</t>
  </si>
  <si>
    <t>ว20214</t>
  </si>
  <si>
    <t>กล่องสมองกล (Micro-bit)</t>
  </si>
  <si>
    <t xml:space="preserve">ว30106 </t>
  </si>
  <si>
    <t>วิทยาการคำนวณ</t>
  </si>
  <si>
    <t xml:space="preserve">ว30261 </t>
  </si>
  <si>
    <t>Office Management</t>
  </si>
  <si>
    <t>ว30269</t>
  </si>
  <si>
    <t>เทคโนโลยีเพื่อความปลอดภัย</t>
  </si>
  <si>
    <t>ว30294</t>
  </si>
  <si>
    <t>Content creator</t>
  </si>
  <si>
    <t>ม.5/1-2</t>
  </si>
  <si>
    <t>ว30287</t>
  </si>
  <si>
    <t>คอมพิวเตอร์กราฟิก 1</t>
  </si>
  <si>
    <t>ม.5/3-11</t>
  </si>
  <si>
    <t>ว30273</t>
  </si>
  <si>
    <t>Engineering Design</t>
  </si>
  <si>
    <t>ว30289</t>
  </si>
  <si>
    <t>การเขียนโปรแกรมเบื้องต้น 1</t>
  </si>
  <si>
    <t>ว30275</t>
  </si>
  <si>
    <t>Social MediaMarketing</t>
  </si>
  <si>
    <t>ส21101</t>
  </si>
  <si>
    <t>สังคมศึกษาฯ 1</t>
  </si>
  <si>
    <t>ส21102</t>
  </si>
  <si>
    <t>ประวัติศาสตร์ 1</t>
  </si>
  <si>
    <t>ส20229</t>
  </si>
  <si>
    <t>จริยธรรมนักวิทยาศาสตร์</t>
  </si>
  <si>
    <t>ส22101</t>
  </si>
  <si>
    <t>สังคมศึกษาฯ 3</t>
  </si>
  <si>
    <t>ส22102</t>
  </si>
  <si>
    <t>ประวัติศาสตร์ 3</t>
  </si>
  <si>
    <t>ส20201</t>
  </si>
  <si>
    <t>สิทธิเด็กขั้นพื้นฐานที่ควรรู้</t>
  </si>
  <si>
    <t>ส23101</t>
  </si>
  <si>
    <t>สังคมศึกษาฯ 5</t>
  </si>
  <si>
    <t>ส23102</t>
  </si>
  <si>
    <t>ประวัติศาสตร์ 5</t>
  </si>
  <si>
    <t>ส20221</t>
  </si>
  <si>
    <t>นิติปรัชญา</t>
  </si>
  <si>
    <t>ส31101</t>
  </si>
  <si>
    <t>ส31102</t>
  </si>
  <si>
    <t>ส30201</t>
  </si>
  <si>
    <t>อัจฉริยภาพความเป็นผู้นำ</t>
  </si>
  <si>
    <t>ม.4/1</t>
  </si>
  <si>
    <t>ส31201</t>
  </si>
  <si>
    <t>ภูมิศาสตร์กายภาพ</t>
  </si>
  <si>
    <t>ส31207</t>
  </si>
  <si>
    <t>วาทพระพุทธ</t>
  </si>
  <si>
    <t>ส30207</t>
  </si>
  <si>
    <t>ฉลาดบริโภคในโลกดิจิทัล</t>
  </si>
  <si>
    <t>ส30253</t>
  </si>
  <si>
    <t>รัฐศาสตร์เบื้องต้น</t>
  </si>
  <si>
    <t>ม.4/10</t>
  </si>
  <si>
    <t>ส30254</t>
  </si>
  <si>
    <t>กฎหมายรัฐธรรมนูญ</t>
  </si>
  <si>
    <t>ส30255</t>
  </si>
  <si>
    <t>แนวคิดทางการเมืองเบื้องต้น</t>
  </si>
  <si>
    <t>ส32101</t>
  </si>
  <si>
    <t>ส32102</t>
  </si>
  <si>
    <t>ส30237</t>
  </si>
  <si>
    <t>วัฒนธรรมประเพณีท้องถิ่นของไทย</t>
  </si>
  <si>
    <t>ส32201</t>
  </si>
  <si>
    <t>ท้องถิ่นของเรา</t>
  </si>
  <si>
    <t>ส32202</t>
  </si>
  <si>
    <t>การปกครองของไทย</t>
  </si>
  <si>
    <t>ส33101</t>
  </si>
  <si>
    <t>ส30244</t>
  </si>
  <si>
    <t>การป้องกันตัวจากศาสตร์มืด</t>
  </si>
  <si>
    <t>ส33203</t>
  </si>
  <si>
    <t>เหตุการณ์ปัจจุบัน</t>
  </si>
  <si>
    <t>ส33202</t>
  </si>
  <si>
    <t>กฎหมายที่ประชาชนควรรู้</t>
  </si>
  <si>
    <t>ว21101</t>
  </si>
  <si>
    <t>วิทยาศาสตร์ 1</t>
  </si>
  <si>
    <t>ว21203</t>
  </si>
  <si>
    <t>ของเล่นเชิงวิทยาศาสตร์</t>
  </si>
  <si>
    <t>ว21207</t>
  </si>
  <si>
    <t>วิทยาศาสตร์เพื่อพัฒนาสิ่งประดิษฐ์</t>
  </si>
  <si>
    <t>ม.1/2</t>
  </si>
  <si>
    <t>ว21201</t>
  </si>
  <si>
    <t>ทักษะวิทยาศาสตร์ 1</t>
  </si>
  <si>
    <t>ม.1/3</t>
  </si>
  <si>
    <t>ว22101</t>
  </si>
  <si>
    <t>วิทยาศาสตร์ 3</t>
  </si>
  <si>
    <t>ว22205</t>
  </si>
  <si>
    <t>วิทยาศาสตร์พลังสิบ 3</t>
  </si>
  <si>
    <t>ม.2/2</t>
  </si>
  <si>
    <t>ว22203</t>
  </si>
  <si>
    <t>วิทย์ฯโลกทั้งระบบ 1 (is1)</t>
  </si>
  <si>
    <t>ว22201</t>
  </si>
  <si>
    <t>โครงงานวิทยาศาสตร์ 1</t>
  </si>
  <si>
    <t>ม.2/3</t>
  </si>
  <si>
    <t>I20201</t>
  </si>
  <si>
    <t>การศึกษาค้นคว้า และสร้างองค์ความรู้</t>
  </si>
  <si>
    <t>ม.2/2-7</t>
  </si>
  <si>
    <t>ว23101</t>
  </si>
  <si>
    <t>วิทยาศาสตร์ 5</t>
  </si>
  <si>
    <t>ว23203</t>
  </si>
  <si>
    <t>เชื้อเพลิงเพื่อคมนาคม</t>
  </si>
  <si>
    <t>ว23205</t>
  </si>
  <si>
    <t>วิทยาศาสตร์พลังสิบ 5</t>
  </si>
  <si>
    <t>ม.3/2</t>
  </si>
  <si>
    <t>ต้องดูแผนวัดประกอบ</t>
  </si>
  <si>
    <t>ว23202</t>
  </si>
  <si>
    <t>พลังงานกับการดำรงชีวิต</t>
  </si>
  <si>
    <t>ม.3/3</t>
  </si>
  <si>
    <t>ว30101</t>
  </si>
  <si>
    <t>วิทยาศาสตร์ชีวภาพ</t>
  </si>
  <si>
    <t>ว30102</t>
  </si>
  <si>
    <t>วิทยาศาสตร์กายภาพเคมี</t>
  </si>
  <si>
    <t>ม.4/1-4</t>
  </si>
  <si>
    <t>ว30103</t>
  </si>
  <si>
    <t>วิทยาศาสตร์กายภาพฟิสิกส์</t>
  </si>
  <si>
    <t>ว30217</t>
  </si>
  <si>
    <t>กลศาสตร์</t>
  </si>
  <si>
    <t>ว30211</t>
  </si>
  <si>
    <t>ปฏิบัติการทางวิทยาศาสตร์1(ฟิสิกส์</t>
  </si>
  <si>
    <t>ม.4/2</t>
  </si>
  <si>
    <t>ปฏิบัติการทางวิทยาศาสตร์1(เคมี)</t>
  </si>
  <si>
    <t>ปฏิบัติการทางวิทยาศาสตร์1(ชีวะ)</t>
  </si>
  <si>
    <t>I30201</t>
  </si>
  <si>
    <t>ว30222</t>
  </si>
  <si>
    <t>เคมี 2</t>
  </si>
  <si>
    <t>ม.5/1-4</t>
  </si>
  <si>
    <t>ว30242</t>
  </si>
  <si>
    <t>ชีววิทยา 2</t>
  </si>
  <si>
    <t>ว30207</t>
  </si>
  <si>
    <t>ฟิสิกส์เพิ่มเติม 2</t>
  </si>
  <si>
    <t>ว30202</t>
  </si>
  <si>
    <t>ฟิสิกส์ 2</t>
  </si>
  <si>
    <t>ม.5/3-4</t>
  </si>
  <si>
    <t>ม.5/5-11</t>
  </si>
  <si>
    <t>ว30213</t>
  </si>
  <si>
    <t>ปฏิบัติการทางวิทยาศาสตร์3 (ฟิสิกส์)</t>
  </si>
  <si>
    <t>ปฏิบัติการทางวิทยาศาสตร์3 (เคมี)</t>
  </si>
  <si>
    <t>ปฏิบัติการทางวิทยาศาสตร์3 (ชีวะ)</t>
  </si>
  <si>
    <t>ม.5/2-11</t>
  </si>
  <si>
    <t>ว30224</t>
  </si>
  <si>
    <t>เคมี 4</t>
  </si>
  <si>
    <t>ม.6/1-4</t>
  </si>
  <si>
    <t>ว30244</t>
  </si>
  <si>
    <t>ชีววิทยา 4</t>
  </si>
  <si>
    <t>ว30209</t>
  </si>
  <si>
    <t>ฟิสิกส์เพิ่มเติม 4</t>
  </si>
  <si>
    <t>ม.6/1-2</t>
  </si>
  <si>
    <t>ว30204</t>
  </si>
  <si>
    <t>ฟิสิกส์ 4</t>
  </si>
  <si>
    <t>ม.6/3-4</t>
  </si>
  <si>
    <t>ว30215</t>
  </si>
  <si>
    <t>นวัตกรรม1  (ฟิสิกส์)</t>
  </si>
  <si>
    <t>นวัตกรรม1  (เคมี)</t>
  </si>
  <si>
    <t>นวัตกรรม1  (ชีวะ)</t>
  </si>
  <si>
    <t>ว30282</t>
  </si>
  <si>
    <t>โลก ดาราศาสตร์และอวกาศ</t>
  </si>
  <si>
    <t>ม.6/5-11</t>
  </si>
  <si>
    <t>พ21101</t>
  </si>
  <si>
    <t>สุขศึกษา 1</t>
  </si>
  <si>
    <t>พ21102</t>
  </si>
  <si>
    <t>พลศึกษา 1 (ฟุตบอล)</t>
  </si>
  <si>
    <t>พ20220</t>
  </si>
  <si>
    <t>เสรีฟุตซอล</t>
  </si>
  <si>
    <t>ม.1/4-7</t>
  </si>
  <si>
    <t>พ22101</t>
  </si>
  <si>
    <t>สุขศึกษา 3</t>
  </si>
  <si>
    <t>พ22102</t>
  </si>
  <si>
    <t>พลศึกษา 3 (กรีฑา)</t>
  </si>
  <si>
    <t>พ20222</t>
  </si>
  <si>
    <t>เทเบิลเทนนิส</t>
  </si>
  <si>
    <t>ม.2/4-7</t>
  </si>
  <si>
    <t>พ23101</t>
  </si>
  <si>
    <t>สุขศึกษา 5</t>
  </si>
  <si>
    <t>พ23102</t>
  </si>
  <si>
    <t>พลศึกษา 5 (บาสฯ1)</t>
  </si>
  <si>
    <t>พ20223</t>
  </si>
  <si>
    <t>แบตมินตัน</t>
  </si>
  <si>
    <t>ม.3/4-8</t>
  </si>
  <si>
    <t>พ31101</t>
  </si>
  <si>
    <t>สุขศึกษาและพลศึกษา 1</t>
  </si>
  <si>
    <t>พ30201</t>
  </si>
  <si>
    <t>แบดมินตัน</t>
  </si>
  <si>
    <t>พ32101</t>
  </si>
  <si>
    <t>สุขศึกษาและพลศึกษา 3</t>
  </si>
  <si>
    <t>พ30203</t>
  </si>
  <si>
    <t>เปตอง</t>
  </si>
  <si>
    <t>พ33101</t>
  </si>
  <si>
    <t>สุขศึกษาและพลศึกษา 5</t>
  </si>
  <si>
    <t>พ30205</t>
  </si>
  <si>
    <t>บาสเกตบอล</t>
  </si>
  <si>
    <t>ศ21101</t>
  </si>
  <si>
    <t>ศิลปะพื้นฐาน 1 (ดนตรี)</t>
  </si>
  <si>
    <t>ศ20239</t>
  </si>
  <si>
    <t>การขับร้องเพลงไทยเดิม</t>
  </si>
  <si>
    <t>ศ22101</t>
  </si>
  <si>
    <t>ศิลปะพื้นฐาน 3 (ทัศนฯ)</t>
  </si>
  <si>
    <t>ศ20238</t>
  </si>
  <si>
    <t>การขับร้องเพลงไทยตามสมัยนิยม</t>
  </si>
  <si>
    <t>ศ20223</t>
  </si>
  <si>
    <t>วงปี่พาทย์ไม้แข็ง</t>
  </si>
  <si>
    <t>ศ23101</t>
  </si>
  <si>
    <t>ศิลปะพื้นฐาน 5 (นาฏ)</t>
  </si>
  <si>
    <t>ศ20205</t>
  </si>
  <si>
    <t>การออกแบบภาพการ์ตูน</t>
  </si>
  <si>
    <t>ศ20229</t>
  </si>
  <si>
    <t>ปฏิบัติดนตรีสากลตามถนัด</t>
  </si>
  <si>
    <t>ศ20240</t>
  </si>
  <si>
    <t>วงกลองยาว</t>
  </si>
  <si>
    <t>ศ31101</t>
  </si>
  <si>
    <t>ศิลปะ 1(ดนตรี)</t>
  </si>
  <si>
    <t>ศ30213</t>
  </si>
  <si>
    <t>ปฏิบัติฆ้องวงใหญ่</t>
  </si>
  <si>
    <t>ศ31204</t>
  </si>
  <si>
    <t xml:space="preserve">วิชาการปฏิบัติเครื่องดนตรีตามความถนัดและระบบการซ้อม </t>
  </si>
  <si>
    <t>ม.4/11</t>
  </si>
  <si>
    <t>ศ31205</t>
  </si>
  <si>
    <t>ปฏิบัติเครื่องเป่าเบื้องต้น</t>
  </si>
  <si>
    <t>ศ31206</t>
  </si>
  <si>
    <t>โสตทักษะและการขับร้องประสาน</t>
  </si>
  <si>
    <t>ศ31207</t>
  </si>
  <si>
    <t>Drawing 1</t>
  </si>
  <si>
    <t>ศ31208</t>
  </si>
  <si>
    <t>Sketch design 1</t>
  </si>
  <si>
    <t>ศ31209</t>
  </si>
  <si>
    <t>เทคนิคการใช้สีเบื้องต้น</t>
  </si>
  <si>
    <t>ศ31210</t>
  </si>
  <si>
    <t>รำวงมาตรฐาน</t>
  </si>
  <si>
    <t>ศ31211</t>
  </si>
  <si>
    <t>การทำผมเพื่อการแสดง</t>
  </si>
  <si>
    <t>ศ31212</t>
  </si>
  <si>
    <t>พื้นฐานนาฏศิลป์ไทย</t>
  </si>
  <si>
    <t>รอลงทะเบียน</t>
  </si>
  <si>
    <t>ศ32101</t>
  </si>
  <si>
    <t>ศิลปะ 3 (ทัศนศิลป์)</t>
  </si>
  <si>
    <t>ศ30215</t>
  </si>
  <si>
    <t>วัฒนธรรมดนตรีกับชีวิต</t>
  </si>
  <si>
    <t>ศ33101</t>
  </si>
  <si>
    <t>ศิลปะ 5(นาฏศิลป์)</t>
  </si>
  <si>
    <t>ศ30217</t>
  </si>
  <si>
    <t>ละครเวที</t>
  </si>
  <si>
    <t>ง21101</t>
  </si>
  <si>
    <t>การงานอาชีพ 1</t>
  </si>
  <si>
    <t xml:space="preserve">ง20247 </t>
  </si>
  <si>
    <t xml:space="preserve">ประดิษฐ์ของใช้จากกระดาษ                      </t>
  </si>
  <si>
    <t>ง20229</t>
  </si>
  <si>
    <t>งานดอกไม้ประดิษฐ์</t>
  </si>
  <si>
    <t xml:space="preserve">ง22101 </t>
  </si>
  <si>
    <t>การงานอาชีพ 3</t>
  </si>
  <si>
    <t xml:space="preserve">ง20249 </t>
  </si>
  <si>
    <t xml:space="preserve">ผลิตภัณฑ์งานไม้                                      </t>
  </si>
  <si>
    <t>ง20243</t>
  </si>
  <si>
    <t>ช่างหล่อ</t>
  </si>
  <si>
    <t>ง23101</t>
  </si>
  <si>
    <t>การงานอาชีพ 5</t>
  </si>
  <si>
    <t>ง20234</t>
  </si>
  <si>
    <t>ขนมไทย</t>
  </si>
  <si>
    <t>ง20226</t>
  </si>
  <si>
    <t>งานปลูกพืชสมุนไพร</t>
  </si>
  <si>
    <t>ง31101</t>
  </si>
  <si>
    <t xml:space="preserve">ง30201 </t>
  </si>
  <si>
    <t>การประกอบอาหารไทยเบื้องต้น</t>
  </si>
  <si>
    <t>ง30211</t>
  </si>
  <si>
    <t>มาตรฐานความปลอดภัยในโรงงาน</t>
  </si>
  <si>
    <t>ง30220</t>
  </si>
  <si>
    <t>ธุรกิจการเกษตร</t>
  </si>
  <si>
    <t>ม.4/5</t>
  </si>
  <si>
    <t>ง32101</t>
  </si>
  <si>
    <t>ง30231</t>
  </si>
  <si>
    <t>การบัญชี</t>
  </si>
  <si>
    <t>ง30205</t>
  </si>
  <si>
    <t>การประกอบอาหารโรงแรม</t>
  </si>
  <si>
    <t>ง30206</t>
  </si>
  <si>
    <t>วัสดุงานช่างอุตสาหกรรม</t>
  </si>
  <si>
    <t>ง33101</t>
  </si>
  <si>
    <t>ง30217</t>
  </si>
  <si>
    <t>อาชีพอุตสาหกรรมในชุมชน</t>
  </si>
  <si>
    <t>ง30209</t>
  </si>
  <si>
    <t>สารชีวภาพเพื่อการเกษตร</t>
  </si>
  <si>
    <t>ง30232</t>
  </si>
  <si>
    <t>งานติดตั้งไฟฟ้าภายในอาคาร</t>
  </si>
  <si>
    <t>อ21101</t>
  </si>
  <si>
    <t>ภาษาอังกฤษ 1</t>
  </si>
  <si>
    <t>อ20220</t>
  </si>
  <si>
    <t>สนทนาภาษาอังกฤษ 1</t>
  </si>
  <si>
    <t>จ20201</t>
  </si>
  <si>
    <t>ภาษาจีน 1</t>
  </si>
  <si>
    <t>อ20201</t>
  </si>
  <si>
    <t>ภาษาอังกฤษเพื่อการสื่อสาร 1</t>
  </si>
  <si>
    <t>ม.1/2-7</t>
  </si>
  <si>
    <t>อ20238</t>
  </si>
  <si>
    <t>การอ่านออกเสียงภาษาอังกฤษ (Phonics)</t>
  </si>
  <si>
    <t>ม.1/4อ</t>
  </si>
  <si>
    <t>จ20207</t>
  </si>
  <si>
    <t>ภาษาจีนในชีวิตประจำวัน</t>
  </si>
  <si>
    <t>ม.1/4จ</t>
  </si>
  <si>
    <t>อ20226</t>
  </si>
  <si>
    <t>พัฒนาคำศัพท์ภาษาอังกฤษ 1</t>
  </si>
  <si>
    <t>จ20213</t>
  </si>
  <si>
    <t>เปิดประตูสู่จีน</t>
  </si>
  <si>
    <t>ในnext ไม่มี</t>
  </si>
  <si>
    <t>อ22101</t>
  </si>
  <si>
    <t>ภาษาอังกฤษ 3</t>
  </si>
  <si>
    <t>อ20203</t>
  </si>
  <si>
    <t>ภาษาอังกฤษเพื่อการสื่อสาร3</t>
  </si>
  <si>
    <t>อ20222</t>
  </si>
  <si>
    <t>สนทนาภาษาอังกฤษ 3</t>
  </si>
  <si>
    <t>จ20203</t>
  </si>
  <si>
    <t>ภาษาจีน 3</t>
  </si>
  <si>
    <t>จ20209</t>
  </si>
  <si>
    <t>ภาษาจีนพาเพลิน</t>
  </si>
  <si>
    <t>ม.2/4จ</t>
  </si>
  <si>
    <t>อ20240</t>
  </si>
  <si>
    <t>ภาษาอังกฤษในสื่อออนไลน์</t>
  </si>
  <si>
    <t>ม.2/4อ</t>
  </si>
  <si>
    <t>อ23101</t>
  </si>
  <si>
    <t>ภาษาอังกฤษ 5</t>
  </si>
  <si>
    <t>อ20224</t>
  </si>
  <si>
    <t>สนทนาภาษาอังกฤษ 5</t>
  </si>
  <si>
    <t>จ20205</t>
  </si>
  <si>
    <t>ภาษาจีน 5</t>
  </si>
  <si>
    <t>อ20205</t>
  </si>
  <si>
    <t>ภาษาอังกฤษเพื่อการสื่อสาร 5</t>
  </si>
  <si>
    <t>ม.3/2-8</t>
  </si>
  <si>
    <t>อ20242</t>
  </si>
  <si>
    <t>ศิลปะการนำเสนอ</t>
  </si>
  <si>
    <t>ม.3/4-5อ</t>
  </si>
  <si>
    <t>จ20211</t>
  </si>
  <si>
    <t>การอ่านและการเขียนภาษาจีน</t>
  </si>
  <si>
    <t>ม.3/5จ</t>
  </si>
  <si>
    <t>อ31101</t>
  </si>
  <si>
    <t>อ30223</t>
  </si>
  <si>
    <t>ม.4/2-11</t>
  </si>
  <si>
    <t>อ30233</t>
  </si>
  <si>
    <t>ภาษาอังกฤษเพื่อชีวิตประจำวัน1</t>
  </si>
  <si>
    <t>อ30235</t>
  </si>
  <si>
    <t>ภาษาอังกฤษเพื่อศึกษาอาชีพในท้องถิ่น</t>
  </si>
  <si>
    <t>ม.4/5-6</t>
  </si>
  <si>
    <t>อ30201</t>
  </si>
  <si>
    <t>ภาษาอังกฤษเพื่อการสื่อสารเชิงทัศน์</t>
  </si>
  <si>
    <t>จ30207</t>
  </si>
  <si>
    <t>ภาษาจีนเบื้องต้น 1</t>
  </si>
  <si>
    <t>ม.4/6</t>
  </si>
  <si>
    <t>จ30213</t>
  </si>
  <si>
    <t>หลักการเขียนภาษาจีน</t>
  </si>
  <si>
    <t>อ32101</t>
  </si>
  <si>
    <t>อ30229</t>
  </si>
  <si>
    <t>ภาษาอังกฤษเพื่อชีวิตและสังคม 1</t>
  </si>
  <si>
    <t>อ30225</t>
  </si>
  <si>
    <t>ภาษาอังกฤษเพื่อการสื่อสาร 3</t>
  </si>
  <si>
    <t>อ30209</t>
  </si>
  <si>
    <t>ภาษาอังกฤษอ่าน-เขียน 3</t>
  </si>
  <si>
    <t>ม.5/5-7</t>
  </si>
  <si>
    <t>อ30215</t>
  </si>
  <si>
    <t>ภาษาอังกฤษเพื่อการท่องเที่ยว 1</t>
  </si>
  <si>
    <t>ม.5/5</t>
  </si>
  <si>
    <t>จ30209</t>
  </si>
  <si>
    <t>ภาษาจีนเบื้องต้น 3</t>
  </si>
  <si>
    <t>ม.5/6-7</t>
  </si>
  <si>
    <t>จ30215</t>
  </si>
  <si>
    <t>ภาษาจีนฟัง-พูด 2</t>
  </si>
  <si>
    <t>อ33101</t>
  </si>
  <si>
    <t>ม.6/1-10</t>
  </si>
  <si>
    <t>อ30231</t>
  </si>
  <si>
    <t>ภาษาอังกฤษเพื่อการศึกษาต่อ 1</t>
  </si>
  <si>
    <t>อ30227</t>
  </si>
  <si>
    <t>ม.6/2-11</t>
  </si>
  <si>
    <t>อ30211</t>
  </si>
  <si>
    <t>ภาษาอังกฤษอ่าน-เขียน 5</t>
  </si>
  <si>
    <t>ม.6/5-7</t>
  </si>
  <si>
    <t>อ30217</t>
  </si>
  <si>
    <t>เสริมทักษะภาษาอังกฤษ 1</t>
  </si>
  <si>
    <t>ม.6/5-6</t>
  </si>
  <si>
    <t>จ30211</t>
  </si>
  <si>
    <t>ภาษาจีนเบื้องต้น 5</t>
  </si>
  <si>
    <t>ม.6/7</t>
  </si>
  <si>
    <t>จ30217</t>
  </si>
  <si>
    <t>ภาษาจีนอ่าน-เขียน 2</t>
  </si>
  <si>
    <t>ที่</t>
  </si>
  <si>
    <t>ชื่อ - นามสกุล (ใส่คำนำหน้าเต็ม)</t>
  </si>
  <si>
    <t>ชั้น</t>
  </si>
  <si>
    <t>เลขที่</t>
  </si>
  <si>
    <t>ชื่อวิชา</t>
  </si>
  <si>
    <t>เวลาเรียนเต็ม</t>
  </si>
  <si>
    <t>ขาด</t>
  </si>
  <si>
    <t>ลา</t>
  </si>
  <si>
    <t>รวมเวลามาเรียน</t>
  </si>
  <si>
    <t>คิดเป็นร้อยละที่มาเรียน</t>
  </si>
  <si>
    <t>ครูผู้สอน</t>
  </si>
  <si>
    <t>หมายเหตุ</t>
  </si>
  <si>
    <t>กลุ่ม-ห้อง</t>
  </si>
  <si>
    <t>สถานะการส่ง</t>
  </si>
  <si>
    <t>เวลาที่ส่งล่าสุด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</si>
</sst>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tr">
        <f>IFERROR(__xludf.DUMMYFUNCTION("IMPORTRANGE(""https://docs.google.com/spreadsheets/d/1-FZKnLsskjnzqpwzQ3eFIFX5oUVCwVDFiCzOIjokwL8/edit?gid=0#gid=0"", ""Teacherdata!A:Z"")"),"UserID")</f>
        <v>UserID</v>
      </c>
      <c r="B1" s="1" t="str">
        <f>IFERROR(__xludf.DUMMYFUNCTION("""COMPUTED_VALUE"""),"TeacCode")</f>
        <v>TeacCode</v>
      </c>
      <c r="C1" s="1" t="str">
        <f>IFERROR(__xludf.DUMMYFUNCTION("""COMPUTED_VALUE"""),"Prefix")</f>
        <v>Prefix</v>
      </c>
      <c r="D1" s="1" t="str">
        <f>IFERROR(__xludf.DUMMYFUNCTION("""COMPUTED_VALUE"""),"FirstName")</f>
        <v>FirstName</v>
      </c>
      <c r="E1" s="1" t="str">
        <f>IFERROR(__xludf.DUMMYFUNCTION("""COMPUTED_VALUE"""),"LastName")</f>
        <v>LastName</v>
      </c>
      <c r="F1" s="1" t="str">
        <f>IFERROR(__xludf.DUMMYFUNCTION("""COMPUTED_VALUE"""),"SubjectGroup")</f>
        <v>SubjectGroup</v>
      </c>
      <c r="G1" s="1" t="str">
        <f>IFERROR(__xludf.DUMMYFUNCTION("""COMPUTED_VALUE"""),"EMail")</f>
        <v>EMail</v>
      </c>
      <c r="H1" s="1" t="str">
        <f>IFERROR(__xludf.DUMMYFUNCTION("""COMPUTED_VALUE"""),"หมายเหตุ")</f>
        <v>หมายเหตุ</v>
      </c>
      <c r="I1" s="1" t="str">
        <f>IFERROR(__xludf.DUMMYFUNCTION("""COMPUTED_VALUE"""),"PIN")</f>
        <v>PIN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f>IFERROR(__xludf.DUMMYFUNCTION("""COMPUTED_VALUE"""),3.180400179184E12)</f>
        <v>3180400179184</v>
      </c>
      <c r="B2" s="2">
        <f>IFERROR(__xludf.DUMMYFUNCTION("""COMPUTED_VALUE"""),119.0)</f>
        <v>119</v>
      </c>
      <c r="C2" s="1" t="str">
        <f>IFERROR(__xludf.DUMMYFUNCTION("""COMPUTED_VALUE"""),"นาง")</f>
        <v>นาง</v>
      </c>
      <c r="D2" s="1" t="str">
        <f>IFERROR(__xludf.DUMMYFUNCTION("""COMPUTED_VALUE"""),"อรนุช")</f>
        <v>อรนุช</v>
      </c>
      <c r="E2" s="1" t="str">
        <f>IFERROR(__xludf.DUMMYFUNCTION("""COMPUTED_VALUE"""),"เอี่ยมธรรม")</f>
        <v>เอี่ยมธรรม</v>
      </c>
      <c r="F2" s="2" t="str">
        <f>IFERROR(__xludf.DUMMYFUNCTION("""COMPUTED_VALUE"""),"ภาษาไทย")</f>
        <v>ภาษาไทย</v>
      </c>
      <c r="G2" s="1" t="str">
        <f>IFERROR(__xludf.DUMMYFUNCTION("""COMPUTED_VALUE"""),"farmkomsun@hotmail.com")</f>
        <v>farmkomsun@hotmail.com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f>IFERROR(__xludf.DUMMYFUNCTION("""COMPUTED_VALUE"""),3.160200459493E12)</f>
        <v>3160200459493</v>
      </c>
      <c r="B3" s="2">
        <f>IFERROR(__xludf.DUMMYFUNCTION("""COMPUTED_VALUE"""),123.0)</f>
        <v>123</v>
      </c>
      <c r="C3" s="1" t="str">
        <f>IFERROR(__xludf.DUMMYFUNCTION("""COMPUTED_VALUE"""),"นาง")</f>
        <v>นาง</v>
      </c>
      <c r="D3" s="1" t="str">
        <f>IFERROR(__xludf.DUMMYFUNCTION("""COMPUTED_VALUE"""),"นภเกตน์")</f>
        <v>นภเกตน์</v>
      </c>
      <c r="E3" s="1" t="str">
        <f>IFERROR(__xludf.DUMMYFUNCTION("""COMPUTED_VALUE"""),"คำปัน")</f>
        <v>คำปัน</v>
      </c>
      <c r="F3" s="2" t="str">
        <f>IFERROR(__xludf.DUMMYFUNCTION("""COMPUTED_VALUE"""),"ภาษาไทย")</f>
        <v>ภาษาไทย</v>
      </c>
      <c r="G3" s="1" t="str">
        <f>IFERROR(__xludf.DUMMYFUNCTION("""COMPUTED_VALUE"""),"kpn.aoy2010@gmail.com")</f>
        <v>kpn.aoy2010@gmail.com</v>
      </c>
      <c r="H3" s="1"/>
      <c r="I3" s="1" t="str">
        <f>IFERROR(__xludf.DUMMYFUNCTION("""COMPUTED_VALUE"""),"123456")</f>
        <v>123456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f>IFERROR(__xludf.DUMMYFUNCTION("""COMPUTED_VALUE"""),1.190400046005E12)</f>
        <v>1190400046005</v>
      </c>
      <c r="B4" s="2">
        <f>IFERROR(__xludf.DUMMYFUNCTION("""COMPUTED_VALUE"""),124.0)</f>
        <v>124</v>
      </c>
      <c r="C4" s="1" t="str">
        <f>IFERROR(__xludf.DUMMYFUNCTION("""COMPUTED_VALUE"""),"นางสาว")</f>
        <v>นางสาว</v>
      </c>
      <c r="D4" s="1" t="str">
        <f>IFERROR(__xludf.DUMMYFUNCTION("""COMPUTED_VALUE"""),"ปรางค์ทิพย์")</f>
        <v>ปรางค์ทิพย์</v>
      </c>
      <c r="E4" s="1" t="str">
        <f>IFERROR(__xludf.DUMMYFUNCTION("""COMPUTED_VALUE"""),"ทองแย้ม")</f>
        <v>ทองแย้ม</v>
      </c>
      <c r="F4" s="2" t="str">
        <f>IFERROR(__xludf.DUMMYFUNCTION("""COMPUTED_VALUE"""),"ภาษาไทย")</f>
        <v>ภาษาไทย</v>
      </c>
      <c r="G4" s="1" t="str">
        <f>IFERROR(__xludf.DUMMYFUNCTION("""COMPUTED_VALUE"""),"prangthiptongyam@gmail.com")</f>
        <v>prangthiptongyam@gmail.com</v>
      </c>
      <c r="H4" s="1"/>
      <c r="I4" s="1" t="str">
        <f>IFERROR(__xludf.DUMMYFUNCTION("""COMPUTED_VALUE"""),"789654")</f>
        <v>789654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f>IFERROR(__xludf.DUMMYFUNCTION("""COMPUTED_VALUE"""),3.160200382415E12)</f>
        <v>3160200382415</v>
      </c>
      <c r="B5" s="2">
        <f>IFERROR(__xludf.DUMMYFUNCTION("""COMPUTED_VALUE"""),125.0)</f>
        <v>125</v>
      </c>
      <c r="C5" s="1" t="str">
        <f>IFERROR(__xludf.DUMMYFUNCTION("""COMPUTED_VALUE"""),"นาง")</f>
        <v>นาง</v>
      </c>
      <c r="D5" s="1" t="str">
        <f>IFERROR(__xludf.DUMMYFUNCTION("""COMPUTED_VALUE"""),"ใจทิพย์")</f>
        <v>ใจทิพย์</v>
      </c>
      <c r="E5" s="1" t="str">
        <f>IFERROR(__xludf.DUMMYFUNCTION("""COMPUTED_VALUE"""),"อนันต์สลุง")</f>
        <v>อนันต์สลุง</v>
      </c>
      <c r="F5" s="2" t="str">
        <f>IFERROR(__xludf.DUMMYFUNCTION("""COMPUTED_VALUE"""),"ภาษาไทย")</f>
        <v>ภาษาไทย</v>
      </c>
      <c r="G5" s="1" t="str">
        <f>IFERROR(__xludf.DUMMYFUNCTION("""COMPUTED_VALUE"""),"jai_tip2521@hotmail.com")</f>
        <v>jai_tip2521@hotmail.com</v>
      </c>
      <c r="H5" s="1"/>
      <c r="I5" s="1" t="str">
        <f>IFERROR(__xludf.DUMMYFUNCTION("""COMPUTED_VALUE"""),"250521")</f>
        <v>250521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f>IFERROR(__xludf.DUMMYFUNCTION("""COMPUTED_VALUE"""),1.170600103274E12)</f>
        <v>1170600103274</v>
      </c>
      <c r="B6" s="2">
        <f>IFERROR(__xludf.DUMMYFUNCTION("""COMPUTED_VALUE"""),127.0)</f>
        <v>127</v>
      </c>
      <c r="C6" s="1" t="str">
        <f>IFERROR(__xludf.DUMMYFUNCTION("""COMPUTED_VALUE"""),"นางสาว")</f>
        <v>นางสาว</v>
      </c>
      <c r="D6" s="1" t="str">
        <f>IFERROR(__xludf.DUMMYFUNCTION("""COMPUTED_VALUE"""),"จริยา")</f>
        <v>จริยา</v>
      </c>
      <c r="E6" s="1" t="str">
        <f>IFERROR(__xludf.DUMMYFUNCTION("""COMPUTED_VALUE"""),"บัวพนัส")</f>
        <v>บัวพนัส</v>
      </c>
      <c r="F6" s="2" t="str">
        <f>IFERROR(__xludf.DUMMYFUNCTION("""COMPUTED_VALUE"""),"ภาษาไทย")</f>
        <v>ภาษาไทย</v>
      </c>
      <c r="G6" s="1" t="str">
        <f>IFERROR(__xludf.DUMMYFUNCTION("""COMPUTED_VALUE"""),"jariya.buapanat@gmail.com")</f>
        <v>jariya.buapanat@gmail.com</v>
      </c>
      <c r="H6" s="1"/>
      <c r="I6" s="1" t="str">
        <f>IFERROR(__xludf.DUMMYFUNCTION("""COMPUTED_VALUE"""),"250135")</f>
        <v>250135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f>IFERROR(__xludf.DUMMYFUNCTION("""COMPUTED_VALUE"""),1.103100401261E12)</f>
        <v>1103100401261</v>
      </c>
      <c r="B7" s="2">
        <f>IFERROR(__xludf.DUMMYFUNCTION("""COMPUTED_VALUE"""),130.0)</f>
        <v>130</v>
      </c>
      <c r="C7" s="1" t="str">
        <f>IFERROR(__xludf.DUMMYFUNCTION("""COMPUTED_VALUE"""),"นางสาว")</f>
        <v>นางสาว</v>
      </c>
      <c r="D7" s="1" t="str">
        <f>IFERROR(__xludf.DUMMYFUNCTION("""COMPUTED_VALUE"""),"อัญชิสา")</f>
        <v>อัญชิสา</v>
      </c>
      <c r="E7" s="1" t="str">
        <f>IFERROR(__xludf.DUMMYFUNCTION("""COMPUTED_VALUE"""),"ภิรมย์สุทธิ์")</f>
        <v>ภิรมย์สุทธิ์</v>
      </c>
      <c r="F7" s="2" t="str">
        <f>IFERROR(__xludf.DUMMYFUNCTION("""COMPUTED_VALUE"""),"ภาษาไทย")</f>
        <v>ภาษาไทย</v>
      </c>
      <c r="G7" s="1" t="str">
        <f>IFERROR(__xludf.DUMMYFUNCTION("""COMPUTED_VALUE"""),"unchisaoil.23@gmail.com")</f>
        <v>unchisaoil.23@gmail.com</v>
      </c>
      <c r="H7" s="1"/>
      <c r="I7" s="1" t="str">
        <f>IFERROR(__xludf.DUMMYFUNCTION("""COMPUTED_VALUE"""),"230239")</f>
        <v>230239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f>IFERROR(__xludf.DUMMYFUNCTION("""COMPUTED_VALUE"""),5.160200030205E12)</f>
        <v>5160200030205</v>
      </c>
      <c r="B8" s="2">
        <f>IFERROR(__xludf.DUMMYFUNCTION("""COMPUTED_VALUE"""),131.0)</f>
        <v>131</v>
      </c>
      <c r="C8" s="1" t="str">
        <f>IFERROR(__xludf.DUMMYFUNCTION("""COMPUTED_VALUE"""),"นาง")</f>
        <v>นาง</v>
      </c>
      <c r="D8" s="1" t="str">
        <f>IFERROR(__xludf.DUMMYFUNCTION("""COMPUTED_VALUE"""),"เรวดี")</f>
        <v>เรวดี</v>
      </c>
      <c r="E8" s="1" t="str">
        <f>IFERROR(__xludf.DUMMYFUNCTION("""COMPUTED_VALUE"""),"กวางโตน")</f>
        <v>กวางโตน</v>
      </c>
      <c r="F8" s="2" t="str">
        <f>IFERROR(__xludf.DUMMYFUNCTION("""COMPUTED_VALUE"""),"ภาษาไทย")</f>
        <v>ภาษาไทย</v>
      </c>
      <c r="G8" s="1" t="str">
        <f>IFERROR(__xludf.DUMMYFUNCTION("""COMPUTED_VALUE"""),"darkblue483@gmail.com")</f>
        <v>darkblue483@gmail.com</v>
      </c>
      <c r="H8" s="1"/>
      <c r="I8" s="1" t="str">
        <f>IFERROR(__xludf.DUMMYFUNCTION("""COMPUTED_VALUE"""),"483224")</f>
        <v>483224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f>IFERROR(__xludf.DUMMYFUNCTION("""COMPUTED_VALUE"""),1.540400072533E12)</f>
        <v>1540400072533</v>
      </c>
      <c r="B9" s="2">
        <f>IFERROR(__xludf.DUMMYFUNCTION("""COMPUTED_VALUE"""),137.0)</f>
        <v>137</v>
      </c>
      <c r="C9" s="1" t="str">
        <f>IFERROR(__xludf.DUMMYFUNCTION("""COMPUTED_VALUE"""),"นางสาว")</f>
        <v>นางสาว</v>
      </c>
      <c r="D9" s="1" t="str">
        <f>IFERROR(__xludf.DUMMYFUNCTION("""COMPUTED_VALUE"""),"พรปวีณ์")</f>
        <v>พรปวีณ์</v>
      </c>
      <c r="E9" s="1" t="str">
        <f>IFERROR(__xludf.DUMMYFUNCTION("""COMPUTED_VALUE"""),"แขวนสันเทียะ")</f>
        <v>แขวนสันเทียะ</v>
      </c>
      <c r="F9" s="2" t="str">
        <f>IFERROR(__xludf.DUMMYFUNCTION("""COMPUTED_VALUE"""),"ภาษาไทย")</f>
        <v>ภาษาไทย</v>
      </c>
      <c r="G9" s="1" t="str">
        <f>IFERROR(__xludf.DUMMYFUNCTION("""COMPUTED_VALUE"""),"Pornpawee.baifern37@gmail.com")</f>
        <v>Pornpawee.baifern37@gmail.com</v>
      </c>
      <c r="H9" s="1"/>
      <c r="I9" s="1" t="str">
        <f>IFERROR(__xludf.DUMMYFUNCTION("""COMPUTED_VALUE"""),"241137")</f>
        <v>241137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f>IFERROR(__xludf.DUMMYFUNCTION("""COMPUTED_VALUE"""),1.170601200222E12)</f>
        <v>1170601200222</v>
      </c>
      <c r="B10" s="2">
        <f>IFERROR(__xludf.DUMMYFUNCTION("""COMPUTED_VALUE"""),138.0)</f>
        <v>138</v>
      </c>
      <c r="C10" s="1" t="str">
        <f>IFERROR(__xludf.DUMMYFUNCTION("""COMPUTED_VALUE"""),"นางสาว")</f>
        <v>นางสาว</v>
      </c>
      <c r="D10" s="1" t="str">
        <f>IFERROR(__xludf.DUMMYFUNCTION("""COMPUTED_VALUE"""),"ชิดชนก")</f>
        <v>ชิดชนก</v>
      </c>
      <c r="E10" s="1" t="str">
        <f>IFERROR(__xludf.DUMMYFUNCTION("""COMPUTED_VALUE"""),"พยัคฆโส")</f>
        <v>พยัคฆโส</v>
      </c>
      <c r="F10" s="2" t="str">
        <f>IFERROR(__xludf.DUMMYFUNCTION("""COMPUTED_VALUE"""),"ภาษาไทย")</f>
        <v>ภาษาไทย</v>
      </c>
      <c r="G10" s="1" t="str">
        <f>IFERROR(__xludf.DUMMYFUNCTION("""COMPUTED_VALUE"""),"fernfern39467@gmail.com")</f>
        <v>fernfern39467@gmail.com</v>
      </c>
      <c r="H10" s="1"/>
      <c r="I10" s="1" t="str">
        <f>IFERROR(__xludf.DUMMYFUNCTION("""COMPUTED_VALUE"""),"041043")</f>
        <v>041043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f>IFERROR(__xludf.DUMMYFUNCTION("""COMPUTED_VALUE"""),3.160200337533E12)</f>
        <v>3160200337533</v>
      </c>
      <c r="B11" s="2">
        <f>IFERROR(__xludf.DUMMYFUNCTION("""COMPUTED_VALUE"""),139.0)</f>
        <v>139</v>
      </c>
      <c r="C11" s="1" t="str">
        <f>IFERROR(__xludf.DUMMYFUNCTION("""COMPUTED_VALUE"""),"นาย")</f>
        <v>นาย</v>
      </c>
      <c r="D11" s="1" t="str">
        <f>IFERROR(__xludf.DUMMYFUNCTION("""COMPUTED_VALUE"""),"ฉลอม")</f>
        <v>ฉลอม</v>
      </c>
      <c r="E11" s="1" t="str">
        <f>IFERROR(__xludf.DUMMYFUNCTION("""COMPUTED_VALUE"""),"คล้ายหอม")</f>
        <v>คล้ายหอม</v>
      </c>
      <c r="F11" s="2" t="str">
        <f>IFERROR(__xludf.DUMMYFUNCTION("""COMPUTED_VALUE"""),"ภาษาไทย")</f>
        <v>ภาษาไทย</v>
      </c>
      <c r="G11" s="1" t="str">
        <f>IFERROR(__xludf.DUMMYFUNCTION("""COMPUTED_VALUE"""),"cutoutppp@gmail.com")</f>
        <v>cutoutppp@gmail.com</v>
      </c>
      <c r="H11" s="1"/>
      <c r="I11" s="1" t="str">
        <f>IFERROR(__xludf.DUMMYFUNCTION("""COMPUTED_VALUE"""),"251920")</f>
        <v>251920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f>IFERROR(__xludf.DUMMYFUNCTION("""COMPUTED_VALUE"""),3.160200102161E12)</f>
        <v>3160200102161</v>
      </c>
      <c r="B12" s="2">
        <f>IFERROR(__xludf.DUMMYFUNCTION("""COMPUTED_VALUE"""),214.0)</f>
        <v>214</v>
      </c>
      <c r="C12" s="1" t="str">
        <f>IFERROR(__xludf.DUMMYFUNCTION("""COMPUTED_VALUE"""),"นาย")</f>
        <v>นาย</v>
      </c>
      <c r="D12" s="1" t="str">
        <f>IFERROR(__xludf.DUMMYFUNCTION("""COMPUTED_VALUE"""),"อมร")</f>
        <v>อมร</v>
      </c>
      <c r="E12" s="1" t="str">
        <f>IFERROR(__xludf.DUMMYFUNCTION("""COMPUTED_VALUE"""),"หลงศรีภูมิ")</f>
        <v>หลงศรีภูมิ</v>
      </c>
      <c r="F12" s="2" t="str">
        <f>IFERROR(__xludf.DUMMYFUNCTION("""COMPUTED_VALUE"""),"คณิตศาสตร์")</f>
        <v>คณิตศาสตร์</v>
      </c>
      <c r="G12" s="1" t="str">
        <f>IFERROR(__xludf.DUMMYFUNCTION("""COMPUTED_VALUE"""),"amonjesuz76@gmail.com")</f>
        <v>amonjesuz76@gmail.com</v>
      </c>
      <c r="H12" s="1"/>
      <c r="I12" s="1" t="str">
        <f>IFERROR(__xludf.DUMMYFUNCTION("""COMPUTED_VALUE"""),"123456")</f>
        <v>123456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f>IFERROR(__xludf.DUMMYFUNCTION("""COMPUTED_VALUE"""),3.160200199807E12)</f>
        <v>3160200199807</v>
      </c>
      <c r="B13" s="2">
        <f>IFERROR(__xludf.DUMMYFUNCTION("""COMPUTED_VALUE"""),216.0)</f>
        <v>216</v>
      </c>
      <c r="C13" s="1" t="str">
        <f>IFERROR(__xludf.DUMMYFUNCTION("""COMPUTED_VALUE"""),"นาง")</f>
        <v>นาง</v>
      </c>
      <c r="D13" s="1" t="str">
        <f>IFERROR(__xludf.DUMMYFUNCTION("""COMPUTED_VALUE"""),"ธิติมา")</f>
        <v>ธิติมา</v>
      </c>
      <c r="E13" s="1" t="str">
        <f>IFERROR(__xludf.DUMMYFUNCTION("""COMPUTED_VALUE"""),"ชัยชนะคะสุดใจ")</f>
        <v>ชัยชนะคะสุดใจ</v>
      </c>
      <c r="F13" s="2" t="str">
        <f>IFERROR(__xludf.DUMMYFUNCTION("""COMPUTED_VALUE"""),"คณิตศาสตร์")</f>
        <v>คณิตศาสตร์</v>
      </c>
      <c r="G13" s="1" t="str">
        <f>IFERROR(__xludf.DUMMYFUNCTION("""COMPUTED_VALUE"""),"kruple0424@gmail.com")</f>
        <v>kruple0424@gmail.com</v>
      </c>
      <c r="H13" s="1"/>
      <c r="I13" s="1" t="str">
        <f>IFERROR(__xludf.DUMMYFUNCTION("""COMPUTED_VALUE"""),"123456")</f>
        <v>123456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f>IFERROR(__xludf.DUMMYFUNCTION("""COMPUTED_VALUE"""),1.160400145976E12)</f>
        <v>1160400145976</v>
      </c>
      <c r="B14" s="2">
        <f>IFERROR(__xludf.DUMMYFUNCTION("""COMPUTED_VALUE"""),222.0)</f>
        <v>222</v>
      </c>
      <c r="C14" s="1" t="str">
        <f>IFERROR(__xludf.DUMMYFUNCTION("""COMPUTED_VALUE"""),"นางสาว")</f>
        <v>นางสาว</v>
      </c>
      <c r="D14" s="1" t="str">
        <f>IFERROR(__xludf.DUMMYFUNCTION("""COMPUTED_VALUE"""),"ปัทมา")</f>
        <v>ปัทมา</v>
      </c>
      <c r="E14" s="1" t="str">
        <f>IFERROR(__xludf.DUMMYFUNCTION("""COMPUTED_VALUE"""),"เหรียญทอง")</f>
        <v>เหรียญทอง</v>
      </c>
      <c r="F14" s="2" t="str">
        <f>IFERROR(__xludf.DUMMYFUNCTION("""COMPUTED_VALUE"""),"คณิตศาสตร์")</f>
        <v>คณิตศาสตร์</v>
      </c>
      <c r="G14" s="1" t="str">
        <f>IFERROR(__xludf.DUMMYFUNCTION("""COMPUTED_VALUE"""),"meenchuka@gmail.com")</f>
        <v>meenchuka@gmail.com</v>
      </c>
      <c r="H14" s="1"/>
      <c r="I14" s="1" t="str">
        <f>IFERROR(__xludf.DUMMYFUNCTION("""COMPUTED_VALUE"""),"123456")</f>
        <v>123456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f>IFERROR(__xludf.DUMMYFUNCTION("""COMPUTED_VALUE"""),3.670600152196E12)</f>
        <v>3670600152196</v>
      </c>
      <c r="B15" s="2">
        <f>IFERROR(__xludf.DUMMYFUNCTION("""COMPUTED_VALUE"""),223.0)</f>
        <v>223</v>
      </c>
      <c r="C15" s="1" t="str">
        <f>IFERROR(__xludf.DUMMYFUNCTION("""COMPUTED_VALUE"""),"นาง")</f>
        <v>นาง</v>
      </c>
      <c r="D15" s="1" t="str">
        <f>IFERROR(__xludf.DUMMYFUNCTION("""COMPUTED_VALUE"""),"เพ็ญนภา")</f>
        <v>เพ็ญนภา</v>
      </c>
      <c r="E15" s="1" t="str">
        <f>IFERROR(__xludf.DUMMYFUNCTION("""COMPUTED_VALUE"""),"ดอกกุหลาบ")</f>
        <v>ดอกกุหลาบ</v>
      </c>
      <c r="F15" s="2" t="str">
        <f>IFERROR(__xludf.DUMMYFUNCTION("""COMPUTED_VALUE"""),"คณิตศาสตร์")</f>
        <v>คณิตศาสตร์</v>
      </c>
      <c r="G15" s="1" t="str">
        <f>IFERROR(__xludf.DUMMYFUNCTION("""COMPUTED_VALUE"""),"dokkulap@gmail.com")</f>
        <v>dokkulap@gmail.com</v>
      </c>
      <c r="H15" s="1"/>
      <c r="I15" s="1" t="str">
        <f>IFERROR(__xludf.DUMMYFUNCTION("""COMPUTED_VALUE"""),"252525")</f>
        <v>252525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f>IFERROR(__xludf.DUMMYFUNCTION("""COMPUTED_VALUE"""),3.520500284253E12)</f>
        <v>3520500284253</v>
      </c>
      <c r="B16" s="2">
        <f>IFERROR(__xludf.DUMMYFUNCTION("""COMPUTED_VALUE"""),227.0)</f>
        <v>227</v>
      </c>
      <c r="C16" s="1" t="str">
        <f>IFERROR(__xludf.DUMMYFUNCTION("""COMPUTED_VALUE"""),"นาย")</f>
        <v>นาย</v>
      </c>
      <c r="D16" s="1" t="str">
        <f>IFERROR(__xludf.DUMMYFUNCTION("""COMPUTED_VALUE"""),"เสน่ห์")</f>
        <v>เสน่ห์</v>
      </c>
      <c r="E16" s="1" t="str">
        <f>IFERROR(__xludf.DUMMYFUNCTION("""COMPUTED_VALUE"""),"คำปัน")</f>
        <v>คำปัน</v>
      </c>
      <c r="F16" s="2" t="str">
        <f>IFERROR(__xludf.DUMMYFUNCTION("""COMPUTED_VALUE"""),"คณิตศาสตร์")</f>
        <v>คณิตศาสตร์</v>
      </c>
      <c r="G16" s="1" t="str">
        <f>IFERROR(__xludf.DUMMYFUNCTION("""COMPUTED_VALUE"""),"saneipnmt@ptnk.ac.th")</f>
        <v>saneipnmt@ptnk.ac.th</v>
      </c>
      <c r="H16" s="1"/>
      <c r="I16" s="1" t="str">
        <f>IFERROR(__xludf.DUMMYFUNCTION("""COMPUTED_VALUE"""),"110066")</f>
        <v>110066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f>IFERROR(__xludf.DUMMYFUNCTION("""COMPUTED_VALUE"""),1.360600081201E12)</f>
        <v>1360600081201</v>
      </c>
      <c r="B17" s="2">
        <f>IFERROR(__xludf.DUMMYFUNCTION("""COMPUTED_VALUE"""),232.0)</f>
        <v>232</v>
      </c>
      <c r="C17" s="1" t="str">
        <f>IFERROR(__xludf.DUMMYFUNCTION("""COMPUTED_VALUE"""),"นาย")</f>
        <v>นาย</v>
      </c>
      <c r="D17" s="1" t="str">
        <f>IFERROR(__xludf.DUMMYFUNCTION("""COMPUTED_VALUE"""),"ดวงเด่น")</f>
        <v>ดวงเด่น</v>
      </c>
      <c r="E17" s="1" t="str">
        <f>IFERROR(__xludf.DUMMYFUNCTION("""COMPUTED_VALUE"""),"เต่าเถื่อน")</f>
        <v>เต่าเถื่อน</v>
      </c>
      <c r="F17" s="2" t="str">
        <f>IFERROR(__xludf.DUMMYFUNCTION("""COMPUTED_VALUE"""),"คณิตศาสตร์")</f>
        <v>คณิตศาสตร์</v>
      </c>
      <c r="G17" s="1" t="str">
        <f>IFERROR(__xludf.DUMMYFUNCTION("""COMPUTED_VALUE"""),"jaole66@gmail.com")</f>
        <v>jaole66@gmail.com</v>
      </c>
      <c r="H17" s="1"/>
      <c r="I17" s="1" t="str">
        <f>IFERROR(__xludf.DUMMYFUNCTION("""COMPUTED_VALUE"""),"212224")</f>
        <v>212224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f>IFERROR(__xludf.DUMMYFUNCTION("""COMPUTED_VALUE"""),1.160200082423E12)</f>
        <v>1160200082423</v>
      </c>
      <c r="B18" s="2">
        <f>IFERROR(__xludf.DUMMYFUNCTION("""COMPUTED_VALUE"""),233.0)</f>
        <v>233</v>
      </c>
      <c r="C18" s="1" t="str">
        <f>IFERROR(__xludf.DUMMYFUNCTION("""COMPUTED_VALUE"""),"นางสาว")</f>
        <v>นางสาว</v>
      </c>
      <c r="D18" s="1" t="str">
        <f>IFERROR(__xludf.DUMMYFUNCTION("""COMPUTED_VALUE"""),"แสงเทียน")</f>
        <v>แสงเทียน</v>
      </c>
      <c r="E18" s="1" t="str">
        <f>IFERROR(__xludf.DUMMYFUNCTION("""COMPUTED_VALUE"""),"ยุทธนาวิน")</f>
        <v>ยุทธนาวิน</v>
      </c>
      <c r="F18" s="2" t="str">
        <f>IFERROR(__xludf.DUMMYFUNCTION("""COMPUTED_VALUE"""),"คณิตศาสตร์")</f>
        <v>คณิตศาสตร์</v>
      </c>
      <c r="G18" s="1" t="str">
        <f>IFERROR(__xludf.DUMMYFUNCTION("""COMPUTED_VALUE"""),"sangtien.tontien@gmail.com")</f>
        <v>sangtien.tontien@gmail.com</v>
      </c>
      <c r="H18" s="1"/>
      <c r="I18" s="1" t="str">
        <f>IFERROR(__xludf.DUMMYFUNCTION("""COMPUTED_VALUE"""),"070634")</f>
        <v>070634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f>IFERROR(__xludf.DUMMYFUNCTION("""COMPUTED_VALUE"""),1.199600209381E12)</f>
        <v>1199600209381</v>
      </c>
      <c r="B19" s="2">
        <f>IFERROR(__xludf.DUMMYFUNCTION("""COMPUTED_VALUE"""),234.0)</f>
        <v>234</v>
      </c>
      <c r="C19" s="1" t="str">
        <f>IFERROR(__xludf.DUMMYFUNCTION("""COMPUTED_VALUE"""),"นางสาว")</f>
        <v>นางสาว</v>
      </c>
      <c r="D19" s="1" t="str">
        <f>IFERROR(__xludf.DUMMYFUNCTION("""COMPUTED_VALUE"""),"อโรชา")</f>
        <v>อโรชา</v>
      </c>
      <c r="E19" s="1" t="str">
        <f>IFERROR(__xludf.DUMMYFUNCTION("""COMPUTED_VALUE"""),"สลุงใหญ่")</f>
        <v>สลุงใหญ่</v>
      </c>
      <c r="F19" s="2" t="str">
        <f>IFERROR(__xludf.DUMMYFUNCTION("""COMPUTED_VALUE"""),"คณิตศาสตร์")</f>
        <v>คณิตศาสตร์</v>
      </c>
      <c r="G19" s="1" t="str">
        <f>IFERROR(__xludf.DUMMYFUNCTION("""COMPUTED_VALUE"""),"mayza57118@ptnk.ac.th")</f>
        <v>mayza57118@ptnk.ac.th</v>
      </c>
      <c r="H19" s="1"/>
      <c r="I19" s="1" t="str">
        <f>IFERROR(__xludf.DUMMYFUNCTION("""COMPUTED_VALUE"""),"040540")</f>
        <v>040540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f>IFERROR(__xludf.DUMMYFUNCTION("""COMPUTED_VALUE"""),1.10050143325E12)</f>
        <v>1100501433250</v>
      </c>
      <c r="B20" s="2">
        <f>IFERROR(__xludf.DUMMYFUNCTION("""COMPUTED_VALUE"""),236.0)</f>
        <v>236</v>
      </c>
      <c r="C20" s="1" t="str">
        <f>IFERROR(__xludf.DUMMYFUNCTION("""COMPUTED_VALUE"""),"นางสาว")</f>
        <v>นางสาว</v>
      </c>
      <c r="D20" s="1" t="str">
        <f>IFERROR(__xludf.DUMMYFUNCTION("""COMPUTED_VALUE"""),"รัศมี")</f>
        <v>รัศมี</v>
      </c>
      <c r="E20" s="1" t="str">
        <f>IFERROR(__xludf.DUMMYFUNCTION("""COMPUTED_VALUE"""),"เฮงอรุณ")</f>
        <v>เฮงอรุณ</v>
      </c>
      <c r="F20" s="2" t="str">
        <f>IFERROR(__xludf.DUMMYFUNCTION("""COMPUTED_VALUE"""),"คณิตศาสตร์")</f>
        <v>คณิตศาสตร์</v>
      </c>
      <c r="G20" s="1" t="str">
        <f>IFERROR(__xludf.DUMMYFUNCTION("""COMPUTED_VALUE"""),"ai.rassami@hotmail.com")</f>
        <v>ai.rassami@hotmail.com</v>
      </c>
      <c r="H20" s="1"/>
      <c r="I20" s="1" t="str">
        <f>IFERROR(__xludf.DUMMYFUNCTION("""COMPUTED_VALUE"""),"592060")</f>
        <v>592060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>
        <f>IFERROR(__xludf.DUMMYFUNCTION("""COMPUTED_VALUE"""),1.179900372635E12)</f>
        <v>1179900372635</v>
      </c>
      <c r="B21" s="2">
        <f>IFERROR(__xludf.DUMMYFUNCTION("""COMPUTED_VALUE"""),239.0)</f>
        <v>239</v>
      </c>
      <c r="C21" s="1" t="str">
        <f>IFERROR(__xludf.DUMMYFUNCTION("""COMPUTED_VALUE"""),"นาย")</f>
        <v>นาย</v>
      </c>
      <c r="D21" s="1" t="str">
        <f>IFERROR(__xludf.DUMMYFUNCTION("""COMPUTED_VALUE"""),"ดิษรินทร์")</f>
        <v>ดิษรินทร์</v>
      </c>
      <c r="E21" s="1" t="str">
        <f>IFERROR(__xludf.DUMMYFUNCTION("""COMPUTED_VALUE"""),"ปานบัณฑิตย์")</f>
        <v>ปานบัณฑิตย์</v>
      </c>
      <c r="F21" s="2" t="str">
        <f>IFERROR(__xludf.DUMMYFUNCTION("""COMPUTED_VALUE"""),"คณิตศาสตร์")</f>
        <v>คณิตศาสตร์</v>
      </c>
      <c r="G21" s="1" t="str">
        <f>IFERROR(__xludf.DUMMYFUNCTION("""COMPUTED_VALUE"""),"tae66543@gmail.com")</f>
        <v>tae66543@gmail.com</v>
      </c>
      <c r="H21" s="1"/>
      <c r="I21" s="1" t="str">
        <f>IFERROR(__xludf.DUMMYFUNCTION("""COMPUTED_VALUE"""),"210742")</f>
        <v>210742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>
        <f>IFERROR(__xludf.DUMMYFUNCTION("""COMPUTED_VALUE"""),1.102002203871E12)</f>
        <v>1102002203871</v>
      </c>
      <c r="B22" s="2">
        <f>IFERROR(__xludf.DUMMYFUNCTION("""COMPUTED_VALUE"""),240.0)</f>
        <v>240</v>
      </c>
      <c r="C22" s="1" t="str">
        <f>IFERROR(__xludf.DUMMYFUNCTION("""COMPUTED_VALUE"""),"นางสาว")</f>
        <v>นางสาว</v>
      </c>
      <c r="D22" s="1" t="str">
        <f>IFERROR(__xludf.DUMMYFUNCTION("""COMPUTED_VALUE"""),"ฤกษ์วดี")</f>
        <v>ฤกษ์วดี</v>
      </c>
      <c r="E22" s="1" t="str">
        <f>IFERROR(__xludf.DUMMYFUNCTION("""COMPUTED_VALUE"""),"อินทร์ตาล")</f>
        <v>อินทร์ตาล</v>
      </c>
      <c r="F22" s="2" t="str">
        <f>IFERROR(__xludf.DUMMYFUNCTION("""COMPUTED_VALUE"""),"คณิตศาสตร์")</f>
        <v>คณิตศาสตร์</v>
      </c>
      <c r="G22" s="1" t="str">
        <f>IFERROR(__xludf.DUMMYFUNCTION("""COMPUTED_VALUE"""),"iroekwadee@gmail.com")</f>
        <v>iroekwadee@gmail.com</v>
      </c>
      <c r="H22" s="1"/>
      <c r="I22" s="1" t="str">
        <f>IFERROR(__xludf.DUMMYFUNCTION("""COMPUTED_VALUE"""),"888888")</f>
        <v>888888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>
        <f>IFERROR(__xludf.DUMMYFUNCTION("""COMPUTED_VALUE"""),1.670600146165E12)</f>
        <v>1670600146165</v>
      </c>
      <c r="B23" s="2">
        <f>IFERROR(__xludf.DUMMYFUNCTION("""COMPUTED_VALUE"""),241.0)</f>
        <v>241</v>
      </c>
      <c r="C23" s="1" t="str">
        <f>IFERROR(__xludf.DUMMYFUNCTION("""COMPUTED_VALUE"""),"นางสาว")</f>
        <v>นางสาว</v>
      </c>
      <c r="D23" s="1" t="str">
        <f>IFERROR(__xludf.DUMMYFUNCTION("""COMPUTED_VALUE"""),"อุบลวรรณ")</f>
        <v>อุบลวรรณ</v>
      </c>
      <c r="E23" s="1" t="str">
        <f>IFERROR(__xludf.DUMMYFUNCTION("""COMPUTED_VALUE"""),"ใจเย็น")</f>
        <v>ใจเย็น</v>
      </c>
      <c r="F23" s="2" t="str">
        <f>IFERROR(__xludf.DUMMYFUNCTION("""COMPUTED_VALUE"""),"คณิตศาสตร์")</f>
        <v>คณิตศาสตร์</v>
      </c>
      <c r="G23" s="1" t="str">
        <f>IFERROR(__xludf.DUMMYFUNCTION("""COMPUTED_VALUE"""),"amp.ubw@gmail.com")</f>
        <v>amp.ubw@gmail.com</v>
      </c>
      <c r="H23" s="1"/>
      <c r="I23" s="1" t="str">
        <f>IFERROR(__xludf.DUMMYFUNCTION("""COMPUTED_VALUE"""),"041991")</f>
        <v>041991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>
        <f>IFERROR(__xludf.DUMMYFUNCTION("""COMPUTED_VALUE"""),1.331500042469E12)</f>
        <v>1331500042469</v>
      </c>
      <c r="B24" s="2">
        <f>IFERROR(__xludf.DUMMYFUNCTION("""COMPUTED_VALUE"""),242.0)</f>
        <v>242</v>
      </c>
      <c r="C24" s="1" t="str">
        <f>IFERROR(__xludf.DUMMYFUNCTION("""COMPUTED_VALUE"""),"นาง")</f>
        <v>นาง</v>
      </c>
      <c r="D24" s="1" t="str">
        <f>IFERROR(__xludf.DUMMYFUNCTION("""COMPUTED_VALUE"""),"สุวนันท์")</f>
        <v>สุวนันท์</v>
      </c>
      <c r="E24" s="1" t="str">
        <f>IFERROR(__xludf.DUMMYFUNCTION("""COMPUTED_VALUE"""),"กำจัด")</f>
        <v>กำจัด</v>
      </c>
      <c r="F24" s="2" t="str">
        <f>IFERROR(__xludf.DUMMYFUNCTION("""COMPUTED_VALUE"""),"คณิตศาสตร์")</f>
        <v>คณิตศาสตร์</v>
      </c>
      <c r="G24" s="1" t="str">
        <f>IFERROR(__xludf.DUMMYFUNCTION("""COMPUTED_VALUE"""),"suvanan.0708@gmail.com")</f>
        <v>suvanan.0708@gmail.com</v>
      </c>
      <c r="H24" s="1"/>
      <c r="I24" s="1" t="str">
        <f>IFERROR(__xludf.DUMMYFUNCTION("""COMPUTED_VALUE"""),"070737")</f>
        <v>070737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>
        <f>IFERROR(__xludf.DUMMYFUNCTION("""COMPUTED_VALUE"""),3.18060052909E12)</f>
        <v>3180600529090</v>
      </c>
      <c r="B25" s="2">
        <f>IFERROR(__xludf.DUMMYFUNCTION("""COMPUTED_VALUE"""),308.0)</f>
        <v>308</v>
      </c>
      <c r="C25" s="1" t="str">
        <f>IFERROR(__xludf.DUMMYFUNCTION("""COMPUTED_VALUE"""),"นาย")</f>
        <v>นาย</v>
      </c>
      <c r="D25" s="1" t="str">
        <f>IFERROR(__xludf.DUMMYFUNCTION("""COMPUTED_VALUE"""),"สันติ")</f>
        <v>สันติ</v>
      </c>
      <c r="E25" s="1" t="str">
        <f>IFERROR(__xludf.DUMMYFUNCTION("""COMPUTED_VALUE"""),"ดอกกุหลาบ")</f>
        <v>ดอกกุหลาบ</v>
      </c>
      <c r="F25" s="2" t="str">
        <f>IFERROR(__xludf.DUMMYFUNCTION("""COMPUTED_VALUE"""),"วิทยาศาสตร์")</f>
        <v>วิทยาศาสตร์</v>
      </c>
      <c r="G25" s="1" t="str">
        <f>IFERROR(__xludf.DUMMYFUNCTION("""COMPUTED_VALUE"""),"santi.teacher@gmail.com")</f>
        <v>santi.teacher@gmail.com</v>
      </c>
      <c r="H25" s="1"/>
      <c r="I25" s="1">
        <f>IFERROR(__xludf.DUMMYFUNCTION("""COMPUTED_VALUE"""),111111.0)</f>
        <v>111111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>
        <f>IFERROR(__xludf.DUMMYFUNCTION("""COMPUTED_VALUE"""),3.160200215586E12)</f>
        <v>3160200215586</v>
      </c>
      <c r="B26" s="2">
        <f>IFERROR(__xludf.DUMMYFUNCTION("""COMPUTED_VALUE"""),310.0)</f>
        <v>310</v>
      </c>
      <c r="C26" s="1" t="str">
        <f>IFERROR(__xludf.DUMMYFUNCTION("""COMPUTED_VALUE"""),"นาง")</f>
        <v>นาง</v>
      </c>
      <c r="D26" s="1" t="str">
        <f>IFERROR(__xludf.DUMMYFUNCTION("""COMPUTED_VALUE"""),"ทัศนี")</f>
        <v>ทัศนี</v>
      </c>
      <c r="E26" s="1" t="str">
        <f>IFERROR(__xludf.DUMMYFUNCTION("""COMPUTED_VALUE"""),"เทียนบุตร")</f>
        <v>เทียนบุตร</v>
      </c>
      <c r="F26" s="2" t="str">
        <f>IFERROR(__xludf.DUMMYFUNCTION("""COMPUTED_VALUE"""),"วิทยาศาสตร์")</f>
        <v>วิทยาศาสตร์</v>
      </c>
      <c r="G26" s="1" t="str">
        <f>IFERROR(__xludf.DUMMYFUNCTION("""COMPUTED_VALUE"""),"tata14@ptnk.ac.th")</f>
        <v>tata14@ptnk.ac.th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>
        <f>IFERROR(__xludf.DUMMYFUNCTION("""COMPUTED_VALUE"""),3.160101132534E12)</f>
        <v>3160101132534</v>
      </c>
      <c r="B27" s="2">
        <f>IFERROR(__xludf.DUMMYFUNCTION("""COMPUTED_VALUE"""),311.0)</f>
        <v>311</v>
      </c>
      <c r="C27" s="1" t="str">
        <f>IFERROR(__xludf.DUMMYFUNCTION("""COMPUTED_VALUE"""),"นาง")</f>
        <v>นาง</v>
      </c>
      <c r="D27" s="1" t="str">
        <f>IFERROR(__xludf.DUMMYFUNCTION("""COMPUTED_VALUE"""),"จำเรียง")</f>
        <v>จำเรียง</v>
      </c>
      <c r="E27" s="1" t="str">
        <f>IFERROR(__xludf.DUMMYFUNCTION("""COMPUTED_VALUE"""),"หมู่ทอง")</f>
        <v>หมู่ทอง</v>
      </c>
      <c r="F27" s="2" t="str">
        <f>IFERROR(__xludf.DUMMYFUNCTION("""COMPUTED_VALUE"""),"วิทยาศาสตร์")</f>
        <v>วิทยาศาสตร์</v>
      </c>
      <c r="G27" s="1" t="str">
        <f>IFERROR(__xludf.DUMMYFUNCTION("""COMPUTED_VALUE"""),"jumriang.teacher@gmail.com")</f>
        <v>jumriang.teacher@gmail.com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>
        <f>IFERROR(__xludf.DUMMYFUNCTION("""COMPUTED_VALUE"""),3.160101320551E12)</f>
        <v>3160101320551</v>
      </c>
      <c r="B28" s="2">
        <f>IFERROR(__xludf.DUMMYFUNCTION("""COMPUTED_VALUE"""),318.0)</f>
        <v>318</v>
      </c>
      <c r="C28" s="1" t="str">
        <f>IFERROR(__xludf.DUMMYFUNCTION("""COMPUTED_VALUE"""),"นาย")</f>
        <v>นาย</v>
      </c>
      <c r="D28" s="1" t="str">
        <f>IFERROR(__xludf.DUMMYFUNCTION("""COMPUTED_VALUE"""),"สายันต์")</f>
        <v>สายันต์</v>
      </c>
      <c r="E28" s="1" t="str">
        <f>IFERROR(__xludf.DUMMYFUNCTION("""COMPUTED_VALUE"""),"เย็นเจริญ")</f>
        <v>เย็นเจริญ</v>
      </c>
      <c r="F28" s="2" t="str">
        <f>IFERROR(__xludf.DUMMYFUNCTION("""COMPUTED_VALUE"""),"วิทยาศาสตร์")</f>
        <v>วิทยาศาสตร์</v>
      </c>
      <c r="G28" s="1" t="str">
        <f>IFERROR(__xludf.DUMMYFUNCTION("""COMPUTED_VALUE"""),"aotyen2518@gmail.com")</f>
        <v>aotyen2518@gmail.com</v>
      </c>
      <c r="H28" s="1"/>
      <c r="I28" s="1" t="str">
        <f>IFERROR(__xludf.DUMMYFUNCTION("""COMPUTED_VALUE"""),"181911")</f>
        <v>181911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>
        <f>IFERROR(__xludf.DUMMYFUNCTION("""COMPUTED_VALUE"""),3.160200215578E12)</f>
        <v>3160200215578</v>
      </c>
      <c r="B29" s="2">
        <f>IFERROR(__xludf.DUMMYFUNCTION("""COMPUTED_VALUE"""),320.0)</f>
        <v>320</v>
      </c>
      <c r="C29" s="1" t="str">
        <f>IFERROR(__xludf.DUMMYFUNCTION("""COMPUTED_VALUE"""),"นาง")</f>
        <v>นาง</v>
      </c>
      <c r="D29" s="1" t="str">
        <f>IFERROR(__xludf.DUMMYFUNCTION("""COMPUTED_VALUE"""),"รัตณา")</f>
        <v>รัตณา</v>
      </c>
      <c r="E29" s="1" t="str">
        <f>IFERROR(__xludf.DUMMYFUNCTION("""COMPUTED_VALUE"""),"เสาศิริ")</f>
        <v>เสาศิริ</v>
      </c>
      <c r="F29" s="2" t="str">
        <f>IFERROR(__xludf.DUMMYFUNCTION("""COMPUTED_VALUE"""),"วิทยาศาสตร์")</f>
        <v>วิทยาศาสตร์</v>
      </c>
      <c r="G29" s="1" t="str">
        <f>IFERROR(__xludf.DUMMYFUNCTION("""COMPUTED_VALUE"""),"rattana25584463@ptnk.ac.th")</f>
        <v>rattana25584463@ptnk.ac.th</v>
      </c>
      <c r="H29" s="1"/>
      <c r="I29" s="1" t="str">
        <f>IFERROR(__xludf.DUMMYFUNCTION("""COMPUTED_VALUE"""),"111111")</f>
        <v>111111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>
        <f>IFERROR(__xludf.DUMMYFUNCTION("""COMPUTED_VALUE"""),1.710500005623E12)</f>
        <v>1710500005623</v>
      </c>
      <c r="B30" s="2">
        <f>IFERROR(__xludf.DUMMYFUNCTION("""COMPUTED_VALUE"""),328.0)</f>
        <v>328</v>
      </c>
      <c r="C30" s="1" t="str">
        <f>IFERROR(__xludf.DUMMYFUNCTION("""COMPUTED_VALUE"""),"นางสาว")</f>
        <v>นางสาว</v>
      </c>
      <c r="D30" s="1" t="str">
        <f>IFERROR(__xludf.DUMMYFUNCTION("""COMPUTED_VALUE"""),"ลัดดา")</f>
        <v>ลัดดา</v>
      </c>
      <c r="E30" s="1" t="str">
        <f>IFERROR(__xludf.DUMMYFUNCTION("""COMPUTED_VALUE"""),"ปริยาปัญจางค์")</f>
        <v>ปริยาปัญจางค์</v>
      </c>
      <c r="F30" s="2" t="str">
        <f>IFERROR(__xludf.DUMMYFUNCTION("""COMPUTED_VALUE"""),"วิทยาศาสตร์")</f>
        <v>วิทยาศาสตร์</v>
      </c>
      <c r="G30" s="1" t="str">
        <f>IFERROR(__xludf.DUMMYFUNCTION("""COMPUTED_VALUE"""),"redox123.reaction@gmail.com")</f>
        <v>redox123.reaction@gmail.com</v>
      </c>
      <c r="H30" s="1"/>
      <c r="I30" s="1" t="str">
        <f>IFERROR(__xludf.DUMMYFUNCTION("""COMPUTED_VALUE"""),"222222")</f>
        <v>222222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>
        <f>IFERROR(__xludf.DUMMYFUNCTION("""COMPUTED_VALUE"""),1.160100457727E12)</f>
        <v>1160100457727</v>
      </c>
      <c r="B31" s="2">
        <f>IFERROR(__xludf.DUMMYFUNCTION("""COMPUTED_VALUE"""),341.0)</f>
        <v>341</v>
      </c>
      <c r="C31" s="1" t="str">
        <f>IFERROR(__xludf.DUMMYFUNCTION("""COMPUTED_VALUE"""),"นาย")</f>
        <v>นาย</v>
      </c>
      <c r="D31" s="1" t="str">
        <f>IFERROR(__xludf.DUMMYFUNCTION("""COMPUTED_VALUE"""),"พงศ์ศานต์")</f>
        <v>พงศ์ศานต์</v>
      </c>
      <c r="E31" s="1" t="str">
        <f>IFERROR(__xludf.DUMMYFUNCTION("""COMPUTED_VALUE"""),"เจริญวารี")</f>
        <v>เจริญวารี</v>
      </c>
      <c r="F31" s="2" t="str">
        <f>IFERROR(__xludf.DUMMYFUNCTION("""COMPUTED_VALUE"""),"วิทยาศาสตร์")</f>
        <v>วิทยาศาสตร์</v>
      </c>
      <c r="G31" s="1" t="str">
        <f>IFERROR(__xludf.DUMMYFUNCTION("""COMPUTED_VALUE"""),"kingdom_ba@hotmail.com")</f>
        <v>kingdom_ba@hotmail.com</v>
      </c>
      <c r="H31" s="1"/>
      <c r="I31" s="1" t="str">
        <f>IFERROR(__xludf.DUMMYFUNCTION("""COMPUTED_VALUE"""),"458796")</f>
        <v>458796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>
        <f>IFERROR(__xludf.DUMMYFUNCTION("""COMPUTED_VALUE"""),3.670400540257E12)</f>
        <v>3670400540257</v>
      </c>
      <c r="B32" s="2">
        <f>IFERROR(__xludf.DUMMYFUNCTION("""COMPUTED_VALUE"""),342.0)</f>
        <v>342</v>
      </c>
      <c r="C32" s="1" t="str">
        <f>IFERROR(__xludf.DUMMYFUNCTION("""COMPUTED_VALUE"""),"นางสาว")</f>
        <v>นางสาว</v>
      </c>
      <c r="D32" s="1" t="str">
        <f>IFERROR(__xludf.DUMMYFUNCTION("""COMPUTED_VALUE"""),"ณรัณทร")</f>
        <v>ณรัณทร</v>
      </c>
      <c r="E32" s="1" t="str">
        <f>IFERROR(__xludf.DUMMYFUNCTION("""COMPUTED_VALUE"""),"กรภัทร์พร")</f>
        <v>กรภัทร์พร</v>
      </c>
      <c r="F32" s="2" t="str">
        <f>IFERROR(__xludf.DUMMYFUNCTION("""COMPUTED_VALUE"""),"วิทยาศาสตร์")</f>
        <v>วิทยาศาสตร์</v>
      </c>
      <c r="G32" s="1" t="str">
        <f>IFERROR(__xludf.DUMMYFUNCTION("""COMPUTED_VALUE"""),"madamannie757@gmail.com")</f>
        <v>madamannie757@gmail.com</v>
      </c>
      <c r="H32" s="1"/>
      <c r="I32" s="1" t="str">
        <f>IFERROR(__xludf.DUMMYFUNCTION("""COMPUTED_VALUE"""),"888888")</f>
        <v>888888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>
        <f>IFERROR(__xludf.DUMMYFUNCTION("""COMPUTED_VALUE"""),1.100501328014E12)</f>
        <v>1100501328014</v>
      </c>
      <c r="B33" s="2">
        <f>IFERROR(__xludf.DUMMYFUNCTION("""COMPUTED_VALUE"""),345.0)</f>
        <v>345</v>
      </c>
      <c r="C33" s="1" t="str">
        <f>IFERROR(__xludf.DUMMYFUNCTION("""COMPUTED_VALUE"""),"นาย")</f>
        <v>นาย</v>
      </c>
      <c r="D33" s="1" t="str">
        <f>IFERROR(__xludf.DUMMYFUNCTION("""COMPUTED_VALUE"""),"ปารเมศ")</f>
        <v>ปารเมศ</v>
      </c>
      <c r="E33" s="1" t="str">
        <f>IFERROR(__xludf.DUMMYFUNCTION("""COMPUTED_VALUE"""),"มหิเมือง")</f>
        <v>มหิเมือง</v>
      </c>
      <c r="F33" s="2" t="str">
        <f>IFERROR(__xludf.DUMMYFUNCTION("""COMPUTED_VALUE"""),"วิทยาศาสตร์")</f>
        <v>วิทยาศาสตร์</v>
      </c>
      <c r="G33" s="1" t="str">
        <f>IFERROR(__xludf.DUMMYFUNCTION("""COMPUTED_VALUE"""),"aofpm1996@gmail.com")</f>
        <v>aofpm1996@gmail.com</v>
      </c>
      <c r="H33" s="1"/>
      <c r="I33" s="1" t="str">
        <f>IFERROR(__xludf.DUMMYFUNCTION("""COMPUTED_VALUE"""),"240739")</f>
        <v>240739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>
        <f>IFERROR(__xludf.DUMMYFUNCTION("""COMPUTED_VALUE"""),1.67040017873E12)</f>
        <v>1670400178730</v>
      </c>
      <c r="B34" s="2">
        <f>IFERROR(__xludf.DUMMYFUNCTION("""COMPUTED_VALUE"""),346.0)</f>
        <v>346</v>
      </c>
      <c r="C34" s="1" t="str">
        <f>IFERROR(__xludf.DUMMYFUNCTION("""COMPUTED_VALUE"""),"นางสาว")</f>
        <v>นางสาว</v>
      </c>
      <c r="D34" s="1" t="str">
        <f>IFERROR(__xludf.DUMMYFUNCTION("""COMPUTED_VALUE"""),"ธัญดา")</f>
        <v>ธัญดา</v>
      </c>
      <c r="E34" s="1" t="str">
        <f>IFERROR(__xludf.DUMMYFUNCTION("""COMPUTED_VALUE"""),"สายคำเลิศ")</f>
        <v>สายคำเลิศ</v>
      </c>
      <c r="F34" s="2" t="str">
        <f>IFERROR(__xludf.DUMMYFUNCTION("""COMPUTED_VALUE"""),"วิทยาศาสตร์")</f>
        <v>วิทยาศาสตร์</v>
      </c>
      <c r="G34" s="1" t="str">
        <f>IFERROR(__xludf.DUMMYFUNCTION("""COMPUTED_VALUE"""),"skmrrae@gmail.com")</f>
        <v>skmrrae@gmail.com</v>
      </c>
      <c r="H34" s="1"/>
      <c r="I34" s="1" t="str">
        <f>IFERROR(__xludf.DUMMYFUNCTION("""COMPUTED_VALUE"""),"199605")</f>
        <v>199605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>
        <f>IFERROR(__xludf.DUMMYFUNCTION("""COMPUTED_VALUE"""),1.160200065952E12)</f>
        <v>1160200065952</v>
      </c>
      <c r="B35" s="2">
        <f>IFERROR(__xludf.DUMMYFUNCTION("""COMPUTED_VALUE"""),347.0)</f>
        <v>347</v>
      </c>
      <c r="C35" s="1" t="str">
        <f>IFERROR(__xludf.DUMMYFUNCTION("""COMPUTED_VALUE"""),"นาง")</f>
        <v>นาง</v>
      </c>
      <c r="D35" s="1" t="str">
        <f>IFERROR(__xludf.DUMMYFUNCTION("""COMPUTED_VALUE"""),"เยาวลักษณ์")</f>
        <v>เยาวลักษณ์</v>
      </c>
      <c r="E35" s="1" t="str">
        <f>IFERROR(__xludf.DUMMYFUNCTION("""COMPUTED_VALUE"""),"กองศิลป์")</f>
        <v>กองศิลป์</v>
      </c>
      <c r="F35" s="2" t="str">
        <f>IFERROR(__xludf.DUMMYFUNCTION("""COMPUTED_VALUE"""),"วิทยาศาสตร์")</f>
        <v>วิทยาศาสตร์</v>
      </c>
      <c r="G35" s="1" t="str">
        <f>IFERROR(__xludf.DUMMYFUNCTION("""COMPUTED_VALUE"""),"yauwalax.k@ptnk.ac.th")</f>
        <v>yauwalax.k@ptnk.ac.th</v>
      </c>
      <c r="H35" s="1"/>
      <c r="I35" s="1" t="str">
        <f>IFERROR(__xludf.DUMMYFUNCTION("""COMPUTED_VALUE"""),"090453")</f>
        <v>090453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>
        <f>IFERROR(__xludf.DUMMYFUNCTION("""COMPUTED_VALUE"""),1.450600205821E12)</f>
        <v>1450600205821</v>
      </c>
      <c r="B36" s="2">
        <f>IFERROR(__xludf.DUMMYFUNCTION("""COMPUTED_VALUE"""),348.0)</f>
        <v>348</v>
      </c>
      <c r="C36" s="1" t="str">
        <f>IFERROR(__xludf.DUMMYFUNCTION("""COMPUTED_VALUE"""),"นางสาว")</f>
        <v>นางสาว</v>
      </c>
      <c r="D36" s="1" t="str">
        <f>IFERROR(__xludf.DUMMYFUNCTION("""COMPUTED_VALUE"""),"ปรียาภรณ์")</f>
        <v>ปรียาภรณ์</v>
      </c>
      <c r="E36" s="1" t="str">
        <f>IFERROR(__xludf.DUMMYFUNCTION("""COMPUTED_VALUE"""),"ผังคี")</f>
        <v>ผังคี</v>
      </c>
      <c r="F36" s="2" t="str">
        <f>IFERROR(__xludf.DUMMYFUNCTION("""COMPUTED_VALUE"""),"วิทยาศาสตร์")</f>
        <v>วิทยาศาสตร์</v>
      </c>
      <c r="G36" s="1" t="str">
        <f>IFERROR(__xludf.DUMMYFUNCTION("""COMPUTED_VALUE"""),"mookmik501@gmail.com")</f>
        <v>mookmik501@gmail.com</v>
      </c>
      <c r="H36" s="1"/>
      <c r="I36" s="1" t="str">
        <f>IFERROR(__xludf.DUMMYFUNCTION("""COMPUTED_VALUE"""),"080838")</f>
        <v>080838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>
        <f>IFERROR(__xludf.DUMMYFUNCTION("""COMPUTED_VALUE"""),3.401200563191E12)</f>
        <v>3401200563191</v>
      </c>
      <c r="B37" s="2">
        <f>IFERROR(__xludf.DUMMYFUNCTION("""COMPUTED_VALUE"""),351.0)</f>
        <v>351</v>
      </c>
      <c r="C37" s="1" t="str">
        <f>IFERROR(__xludf.DUMMYFUNCTION("""COMPUTED_VALUE"""),"นาง")</f>
        <v>นาง</v>
      </c>
      <c r="D37" s="1" t="str">
        <f>IFERROR(__xludf.DUMMYFUNCTION("""COMPUTED_VALUE"""),"อรทัย")</f>
        <v>อรทัย</v>
      </c>
      <c r="E37" s="1" t="str">
        <f>IFERROR(__xludf.DUMMYFUNCTION("""COMPUTED_VALUE"""),"กองปัญญา")</f>
        <v>กองปัญญา</v>
      </c>
      <c r="F37" s="2" t="str">
        <f>IFERROR(__xludf.DUMMYFUNCTION("""COMPUTED_VALUE"""),"วิทยาศาสตร์(เทคโนโลยี)")</f>
        <v>วิทยาศาสตร์(เทคโนโลยี)</v>
      </c>
      <c r="G37" s="1" t="str">
        <f>IFERROR(__xludf.DUMMYFUNCTION("""COMPUTED_VALUE"""),"name_kung57@hotmail.com")</f>
        <v>name_kung57@hotmail.com</v>
      </c>
      <c r="H37" s="1"/>
      <c r="I37" s="1" t="str">
        <f>IFERROR(__xludf.DUMMYFUNCTION("""COMPUTED_VALUE"""),"460085")</f>
        <v>460085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>
        <f>IFERROR(__xludf.DUMMYFUNCTION("""COMPUTED_VALUE"""),1.160800033016E12)</f>
        <v>1160800033016</v>
      </c>
      <c r="B38" s="2">
        <f>IFERROR(__xludf.DUMMYFUNCTION("""COMPUTED_VALUE"""),352.0)</f>
        <v>352</v>
      </c>
      <c r="C38" s="1" t="str">
        <f>IFERROR(__xludf.DUMMYFUNCTION("""COMPUTED_VALUE"""),"นาย")</f>
        <v>นาย</v>
      </c>
      <c r="D38" s="1" t="str">
        <f>IFERROR(__xludf.DUMMYFUNCTION("""COMPUTED_VALUE"""),"สุพล")</f>
        <v>สุพล</v>
      </c>
      <c r="E38" s="1" t="str">
        <f>IFERROR(__xludf.DUMMYFUNCTION("""COMPUTED_VALUE"""),"ปานสุวรรณ")</f>
        <v>ปานสุวรรณ</v>
      </c>
      <c r="F38" s="2" t="str">
        <f>IFERROR(__xludf.DUMMYFUNCTION("""COMPUTED_VALUE"""),"วิทยาศาสตร์(เทคโนโลยี)")</f>
        <v>วิทยาศาสตร์(เทคโนโลยี)</v>
      </c>
      <c r="G38" s="1" t="str">
        <f>IFERROR(__xludf.DUMMYFUNCTION("""COMPUTED_VALUE"""),"kimter48@gmail.com")</f>
        <v>kimter48@gmail.com</v>
      </c>
      <c r="H38" s="1"/>
      <c r="I38" s="1" t="str">
        <f>IFERROR(__xludf.DUMMYFUNCTION("""COMPUTED_VALUE"""),"111111")</f>
        <v>111111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>
        <f>IFERROR(__xludf.DUMMYFUNCTION("""COMPUTED_VALUE"""),1.189900219969E12)</f>
        <v>1189900219969</v>
      </c>
      <c r="B39" s="2">
        <f>IFERROR(__xludf.DUMMYFUNCTION("""COMPUTED_VALUE"""),353.0)</f>
        <v>353</v>
      </c>
      <c r="C39" s="1" t="str">
        <f>IFERROR(__xludf.DUMMYFUNCTION("""COMPUTED_VALUE"""),"นางสาว")</f>
        <v>นางสาว</v>
      </c>
      <c r="D39" s="1" t="str">
        <f>IFERROR(__xludf.DUMMYFUNCTION("""COMPUTED_VALUE"""),"ศิริพรรณ")</f>
        <v>ศิริพรรณ</v>
      </c>
      <c r="E39" s="1" t="str">
        <f>IFERROR(__xludf.DUMMYFUNCTION("""COMPUTED_VALUE"""),"วิทยวราวัฒน์")</f>
        <v>วิทยวราวัฒน์</v>
      </c>
      <c r="F39" s="2" t="str">
        <f>IFERROR(__xludf.DUMMYFUNCTION("""COMPUTED_VALUE"""),"วิทยาศาสตร์(เทคโนโลยี)")</f>
        <v>วิทยาศาสตร์(เทคโนโลยี)</v>
      </c>
      <c r="G39" s="1" t="str">
        <f>IFERROR(__xludf.DUMMYFUNCTION("""COMPUTED_VALUE"""),"zergarn.garn@gmail.com")</f>
        <v>zergarn.garn@gmail.com</v>
      </c>
      <c r="H39" s="1"/>
      <c r="I39" s="1" t="str">
        <f>IFERROR(__xludf.DUMMYFUNCTION("""COMPUTED_VALUE"""),"060665")</f>
        <v>060665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>
        <f>IFERROR(__xludf.DUMMYFUNCTION("""COMPUTED_VALUE"""),5.331400006277E12)</f>
        <v>5331400006277</v>
      </c>
      <c r="B40" s="2">
        <f>IFERROR(__xludf.DUMMYFUNCTION("""COMPUTED_VALUE"""),354.0)</f>
        <v>354</v>
      </c>
      <c r="C40" s="1" t="str">
        <f>IFERROR(__xludf.DUMMYFUNCTION("""COMPUTED_VALUE"""),"นาง")</f>
        <v>นาง</v>
      </c>
      <c r="D40" s="1" t="str">
        <f>IFERROR(__xludf.DUMMYFUNCTION("""COMPUTED_VALUE"""),"ระวีวรรณ")</f>
        <v>ระวีวรรณ</v>
      </c>
      <c r="E40" s="1" t="str">
        <f>IFERROR(__xludf.DUMMYFUNCTION("""COMPUTED_VALUE"""),"สินธุพงษ์")</f>
        <v>สินธุพงษ์</v>
      </c>
      <c r="F40" s="2" t="str">
        <f>IFERROR(__xludf.DUMMYFUNCTION("""COMPUTED_VALUE"""),"วิทยาศาสตร์")</f>
        <v>วิทยาศาสตร์</v>
      </c>
      <c r="G40" s="1" t="str">
        <f>IFERROR(__xludf.DUMMYFUNCTION("""COMPUTED_VALUE"""),"cutoutppp@gmail.com")</f>
        <v>cutoutppp@gmail.com</v>
      </c>
      <c r="H40" s="1"/>
      <c r="I40" s="1" t="str">
        <f>IFERROR(__xludf.DUMMYFUNCTION("""COMPUTED_VALUE"""),"061050")</f>
        <v>061050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>
        <f>IFERROR(__xludf.DUMMYFUNCTION("""COMPUTED_VALUE"""),1.679900264463E12)</f>
        <v>1679900264463</v>
      </c>
      <c r="B41" s="2">
        <f>IFERROR(__xludf.DUMMYFUNCTION("""COMPUTED_VALUE"""),355.0)</f>
        <v>355</v>
      </c>
      <c r="C41" s="1" t="str">
        <f>IFERROR(__xludf.DUMMYFUNCTION("""COMPUTED_VALUE"""),"นาง")</f>
        <v>นาง</v>
      </c>
      <c r="D41" s="1" t="str">
        <f>IFERROR(__xludf.DUMMYFUNCTION("""COMPUTED_VALUE"""),"เมธาวี")</f>
        <v>เมธาวี</v>
      </c>
      <c r="E41" s="1" t="str">
        <f>IFERROR(__xludf.DUMMYFUNCTION("""COMPUTED_VALUE"""),"วัฒนวงศ์")</f>
        <v>วัฒนวงศ์</v>
      </c>
      <c r="F41" s="2" t="str">
        <f>IFERROR(__xludf.DUMMYFUNCTION("""COMPUTED_VALUE"""),"วิทยาศาสตร์")</f>
        <v>วิทยาศาสตร์</v>
      </c>
      <c r="G41" s="1" t="str">
        <f>IFERROR(__xludf.DUMMYFUNCTION("""COMPUTED_VALUE"""),"matawe1213@gmail.com")</f>
        <v>matawe1213@gmail.com</v>
      </c>
      <c r="H41" s="1"/>
      <c r="I41" s="1" t="str">
        <f>IFERROR(__xludf.DUMMYFUNCTION("""COMPUTED_VALUE"""),"911310")</f>
        <v>911310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>
        <f>IFERROR(__xludf.DUMMYFUNCTION("""COMPUTED_VALUE"""),1.669900294451E12)</f>
        <v>1669900294451</v>
      </c>
      <c r="B42" s="2">
        <f>IFERROR(__xludf.DUMMYFUNCTION("""COMPUTED_VALUE"""),356.0)</f>
        <v>356</v>
      </c>
      <c r="C42" s="1" t="str">
        <f>IFERROR(__xludf.DUMMYFUNCTION("""COMPUTED_VALUE"""),"นางสาว")</f>
        <v>นางสาว</v>
      </c>
      <c r="D42" s="1" t="str">
        <f>IFERROR(__xludf.DUMMYFUNCTION("""COMPUTED_VALUE"""),"ภรณ์มิน")</f>
        <v>ภรณ์มิน</v>
      </c>
      <c r="E42" s="1" t="str">
        <f>IFERROR(__xludf.DUMMYFUNCTION("""COMPUTED_VALUE"""),"โสภาพล")</f>
        <v>โสภาพล</v>
      </c>
      <c r="F42" s="2" t="str">
        <f>IFERROR(__xludf.DUMMYFUNCTION("""COMPUTED_VALUE"""),"วิทยาศาสตร์")</f>
        <v>วิทยาศาสตร์</v>
      </c>
      <c r="G42" s="1" t="str">
        <f>IFERROR(__xludf.DUMMYFUNCTION("""COMPUTED_VALUE"""),"cutoutppp@gmail.com")</f>
        <v>cutoutppp@gmail.com</v>
      </c>
      <c r="H42" s="1"/>
      <c r="I42" s="1" t="str">
        <f>IFERROR(__xludf.DUMMYFUNCTION("""COMPUTED_VALUE"""),"123456")</f>
        <v>123456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>
        <f>IFERROR(__xludf.DUMMYFUNCTION("""COMPUTED_VALUE"""),1.729900498714E12)</f>
        <v>1729900498714</v>
      </c>
      <c r="B43" s="2">
        <f>IFERROR(__xludf.DUMMYFUNCTION("""COMPUTED_VALUE"""),357.0)</f>
        <v>357</v>
      </c>
      <c r="C43" s="1" t="str">
        <f>IFERROR(__xludf.DUMMYFUNCTION("""COMPUTED_VALUE"""),"นางสาว")</f>
        <v>นางสาว</v>
      </c>
      <c r="D43" s="1" t="str">
        <f>IFERROR(__xludf.DUMMYFUNCTION("""COMPUTED_VALUE"""),"ศุภิสรา")</f>
        <v>ศุภิสรา</v>
      </c>
      <c r="E43" s="1" t="str">
        <f>IFERROR(__xludf.DUMMYFUNCTION("""COMPUTED_VALUE"""),"ศรีรุ่งเรือง")</f>
        <v>ศรีรุ่งเรือง</v>
      </c>
      <c r="F43" s="2" t="str">
        <f>IFERROR(__xludf.DUMMYFUNCTION("""COMPUTED_VALUE"""),"วิทยาศาสตร์")</f>
        <v>วิทยาศาสตร์</v>
      </c>
      <c r="G43" s="1" t="str">
        <f>IFERROR(__xludf.DUMMYFUNCTION("""COMPUTED_VALUE"""),"supitsara_bua@gmail.com")</f>
        <v>supitsara_bua@gmail.com</v>
      </c>
      <c r="H43" s="1"/>
      <c r="I43" s="1" t="str">
        <f>IFERROR(__xludf.DUMMYFUNCTION("""COMPUTED_VALUE"""),"040942")</f>
        <v>040942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>
        <f>IFERROR(__xludf.DUMMYFUNCTION("""COMPUTED_VALUE"""),3.160200190532E12)</f>
        <v>3160200190532</v>
      </c>
      <c r="B44" s="2">
        <f>IFERROR(__xludf.DUMMYFUNCTION("""COMPUTED_VALUE"""),358.0)</f>
        <v>358</v>
      </c>
      <c r="C44" s="1" t="str">
        <f>IFERROR(__xludf.DUMMYFUNCTION("""COMPUTED_VALUE"""),"นาย")</f>
        <v>นาย</v>
      </c>
      <c r="D44" s="1" t="str">
        <f>IFERROR(__xludf.DUMMYFUNCTION("""COMPUTED_VALUE"""),"กิติกร")</f>
        <v>กิติกร</v>
      </c>
      <c r="E44" s="1" t="str">
        <f>IFERROR(__xludf.DUMMYFUNCTION("""COMPUTED_VALUE"""),"มะโนสา")</f>
        <v>มะโนสา</v>
      </c>
      <c r="F44" s="2" t="str">
        <f>IFERROR(__xludf.DUMMYFUNCTION("""COMPUTED_VALUE"""),"วิทยาศาสตร์(เทคโนโลยี)")</f>
        <v>วิทยาศาสตร์(เทคโนโลยี)</v>
      </c>
      <c r="G44" s="1" t="str">
        <f>IFERROR(__xludf.DUMMYFUNCTION("""COMPUTED_VALUE"""),"tjang3@gmail.com")</f>
        <v>tjang3@gmail.com</v>
      </c>
      <c r="H44" s="1"/>
      <c r="I44" s="1" t="str">
        <f>IFERROR(__xludf.DUMMYFUNCTION("""COMPUTED_VALUE"""),"139713")</f>
        <v>139713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>
        <f>IFERROR(__xludf.DUMMYFUNCTION("""COMPUTED_VALUE"""),1.320601294357E12)</f>
        <v>1320601294357</v>
      </c>
      <c r="B45" s="2">
        <f>IFERROR(__xludf.DUMMYFUNCTION("""COMPUTED_VALUE"""),359.0)</f>
        <v>359</v>
      </c>
      <c r="C45" s="1" t="str">
        <f>IFERROR(__xludf.DUMMYFUNCTION("""COMPUTED_VALUE"""),"นาย")</f>
        <v>นาย</v>
      </c>
      <c r="D45" s="1" t="str">
        <f>IFERROR(__xludf.DUMMYFUNCTION("""COMPUTED_VALUE"""),"ชยากร")</f>
        <v>ชยากร</v>
      </c>
      <c r="E45" s="1" t="str">
        <f>IFERROR(__xludf.DUMMYFUNCTION("""COMPUTED_VALUE"""),"สุขพินิจ")</f>
        <v>สุขพินิจ</v>
      </c>
      <c r="F45" s="2" t="str">
        <f>IFERROR(__xludf.DUMMYFUNCTION("""COMPUTED_VALUE"""),"วิทยาศาสตร์")</f>
        <v>วิทยาศาสตร์</v>
      </c>
      <c r="G45" s="1" t="str">
        <f>IFERROR(__xludf.DUMMYFUNCTION("""COMPUTED_VALUE"""),"csukphinit678@gmail.com")</f>
        <v>csukphinit678@gmail.com</v>
      </c>
      <c r="H45" s="1"/>
      <c r="I45" s="1" t="str">
        <f>IFERROR(__xludf.DUMMYFUNCTION("""COMPUTED_VALUE"""),"060544")</f>
        <v>060544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>
        <f>IFERROR(__xludf.DUMMYFUNCTION("""COMPUTED_VALUE"""),1.360200046514E12)</f>
        <v>1360200046514</v>
      </c>
      <c r="B46" s="2">
        <f>IFERROR(__xludf.DUMMYFUNCTION("""COMPUTED_VALUE"""),360.0)</f>
        <v>360</v>
      </c>
      <c r="C46" s="1" t="str">
        <f>IFERROR(__xludf.DUMMYFUNCTION("""COMPUTED_VALUE"""),"นางสาว")</f>
        <v>นางสาว</v>
      </c>
      <c r="D46" s="1" t="str">
        <f>IFERROR(__xludf.DUMMYFUNCTION("""COMPUTED_VALUE"""),"กลิ่นสุคนธ์")</f>
        <v>กลิ่นสุคนธ์</v>
      </c>
      <c r="E46" s="1" t="str">
        <f>IFERROR(__xludf.DUMMYFUNCTION("""COMPUTED_VALUE"""),"ผ่องแผ้ว")</f>
        <v>ผ่องแผ้ว</v>
      </c>
      <c r="F46" s="2" t="str">
        <f>IFERROR(__xludf.DUMMYFUNCTION("""COMPUTED_VALUE"""),"วิทยาศาสตร์")</f>
        <v>วิทยาศาสตร์</v>
      </c>
      <c r="G46" s="1" t="str">
        <f>IFERROR(__xludf.DUMMYFUNCTION("""COMPUTED_VALUE"""),"kruklinsukhon24@gmail.com")</f>
        <v>kruklinsukhon24@gmail.com</v>
      </c>
      <c r="H46" s="1"/>
      <c r="I46" s="1" t="str">
        <f>IFERROR(__xludf.DUMMYFUNCTION("""COMPUTED_VALUE"""),"242532")</f>
        <v>242532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>
        <f>IFERROR(__xludf.DUMMYFUNCTION("""COMPUTED_VALUE"""),1.160100479933E12)</f>
        <v>1160100479933</v>
      </c>
      <c r="B47" s="2">
        <f>IFERROR(__xludf.DUMMYFUNCTION("""COMPUTED_VALUE"""),361.0)</f>
        <v>361</v>
      </c>
      <c r="C47" s="1" t="str">
        <f>IFERROR(__xludf.DUMMYFUNCTION("""COMPUTED_VALUE"""),"นางสาว")</f>
        <v>นางสาว</v>
      </c>
      <c r="D47" s="1" t="str">
        <f>IFERROR(__xludf.DUMMYFUNCTION("""COMPUTED_VALUE"""),"วริษฐา")</f>
        <v>วริษฐา</v>
      </c>
      <c r="E47" s="1" t="str">
        <f>IFERROR(__xludf.DUMMYFUNCTION("""COMPUTED_VALUE"""),"บ ชอนสารเดช")</f>
        <v>บ ชอนสารเดช</v>
      </c>
      <c r="F47" s="2" t="str">
        <f>IFERROR(__xludf.DUMMYFUNCTION("""COMPUTED_VALUE"""),"วิทยาศาสตร์")</f>
        <v>วิทยาศาสตร์</v>
      </c>
      <c r="G47" s="1" t="str">
        <f>IFERROR(__xludf.DUMMYFUNCTION("""COMPUTED_VALUE"""),"waristha221@gmail.com")</f>
        <v>waristha221@gmail.com</v>
      </c>
      <c r="H47" s="1"/>
      <c r="I47" s="1" t="str">
        <f>IFERROR(__xludf.DUMMYFUNCTION("""COMPUTED_VALUE"""),"143806")</f>
        <v>143806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>
        <f>IFERROR(__xludf.DUMMYFUNCTION("""COMPUTED_VALUE"""),1.160100448078E12)</f>
        <v>1160100448078</v>
      </c>
      <c r="B48" s="2">
        <f>IFERROR(__xludf.DUMMYFUNCTION("""COMPUTED_VALUE"""),362.0)</f>
        <v>362</v>
      </c>
      <c r="C48" s="1" t="str">
        <f>IFERROR(__xludf.DUMMYFUNCTION("""COMPUTED_VALUE"""),"นาย")</f>
        <v>นาย</v>
      </c>
      <c r="D48" s="1" t="str">
        <f>IFERROR(__xludf.DUMMYFUNCTION("""COMPUTED_VALUE"""),"ชัยยศ")</f>
        <v>ชัยยศ</v>
      </c>
      <c r="E48" s="1" t="str">
        <f>IFERROR(__xludf.DUMMYFUNCTION("""COMPUTED_VALUE"""),"กล่ำถึก")</f>
        <v>กล่ำถึก</v>
      </c>
      <c r="F48" s="2" t="str">
        <f>IFERROR(__xludf.DUMMYFUNCTION("""COMPUTED_VALUE"""),"วิทยาศาสตร์(เทคโนโลยี)")</f>
        <v>วิทยาศาสตร์(เทคโนโลยี)</v>
      </c>
      <c r="G48" s="1" t="str">
        <f>IFERROR(__xludf.DUMMYFUNCTION("""COMPUTED_VALUE"""),"kl.chaiyot@gmail.com")</f>
        <v>kl.chaiyot@gmail.com</v>
      </c>
      <c r="H48" s="1"/>
      <c r="I48" s="1" t="str">
        <f>IFERROR(__xludf.DUMMYFUNCTION("""COMPUTED_VALUE"""),"123456")</f>
        <v>123456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>
        <f>IFERROR(__xludf.DUMMYFUNCTION("""COMPUTED_VALUE"""),1.10310020256E12)</f>
        <v>1103100202560</v>
      </c>
      <c r="B49" s="2">
        <f>IFERROR(__xludf.DUMMYFUNCTION("""COMPUTED_VALUE"""),412.0)</f>
        <v>412</v>
      </c>
      <c r="C49" s="1" t="str">
        <f>IFERROR(__xludf.DUMMYFUNCTION("""COMPUTED_VALUE"""),"นาย")</f>
        <v>นาย</v>
      </c>
      <c r="D49" s="1" t="str">
        <f>IFERROR(__xludf.DUMMYFUNCTION("""COMPUTED_VALUE"""),"พงศธร")</f>
        <v>พงศธร</v>
      </c>
      <c r="E49" s="1" t="str">
        <f>IFERROR(__xludf.DUMMYFUNCTION("""COMPUTED_VALUE"""),"แสนเมือง")</f>
        <v>แสนเมือง</v>
      </c>
      <c r="F49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49" s="1" t="str">
        <f>IFERROR(__xludf.DUMMYFUNCTION("""COMPUTED_VALUE"""),"pongsathorn@ptnk.ac.th")</f>
        <v>pongsathorn@ptnk.ac.th</v>
      </c>
      <c r="H49" s="1"/>
      <c r="I49" s="1" t="str">
        <f>IFERROR(__xludf.DUMMYFUNCTION("""COMPUTED_VALUE"""),"693693")</f>
        <v>693693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>
        <f>IFERROR(__xludf.DUMMYFUNCTION("""COMPUTED_VALUE"""),1.640100027116E12)</f>
        <v>1640100027116</v>
      </c>
      <c r="B50" s="2">
        <f>IFERROR(__xludf.DUMMYFUNCTION("""COMPUTED_VALUE"""),416.0)</f>
        <v>416</v>
      </c>
      <c r="C50" s="1" t="str">
        <f>IFERROR(__xludf.DUMMYFUNCTION("""COMPUTED_VALUE"""),"นางสาว")</f>
        <v>นางสาว</v>
      </c>
      <c r="D50" s="1" t="str">
        <f>IFERROR(__xludf.DUMMYFUNCTION("""COMPUTED_VALUE"""),"สุภาวดี")</f>
        <v>สุภาวดี</v>
      </c>
      <c r="E50" s="1" t="str">
        <f>IFERROR(__xludf.DUMMYFUNCTION("""COMPUTED_VALUE"""),"แก้วถึง")</f>
        <v>แก้วถึง</v>
      </c>
      <c r="F50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0" s="1" t="str">
        <f>IFERROR(__xludf.DUMMYFUNCTION("""COMPUTED_VALUE"""),"suphawade7116@gmail.com")</f>
        <v>suphawade7116@gmail.com</v>
      </c>
      <c r="H50" s="1"/>
      <c r="I50" s="1" t="str">
        <f>IFERROR(__xludf.DUMMYFUNCTION("""COMPUTED_VALUE"""),"123456")</f>
        <v>123456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>
        <f>IFERROR(__xludf.DUMMYFUNCTION("""COMPUTED_VALUE"""),3.160101131848E12)</f>
        <v>3160101131848</v>
      </c>
      <c r="B51" s="2">
        <f>IFERROR(__xludf.DUMMYFUNCTION("""COMPUTED_VALUE"""),421.0)</f>
        <v>421</v>
      </c>
      <c r="C51" s="1" t="str">
        <f>IFERROR(__xludf.DUMMYFUNCTION("""COMPUTED_VALUE"""),"นางสาว")</f>
        <v>นางสาว</v>
      </c>
      <c r="D51" s="1" t="str">
        <f>IFERROR(__xludf.DUMMYFUNCTION("""COMPUTED_VALUE"""),"อัจฉรา")</f>
        <v>อัจฉรา</v>
      </c>
      <c r="E51" s="1" t="str">
        <f>IFERROR(__xludf.DUMMYFUNCTION("""COMPUTED_VALUE"""),"จันทร์ผ่อง")</f>
        <v>จันทร์ผ่อง</v>
      </c>
      <c r="F51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1" s="1" t="str">
        <f>IFERROR(__xludf.DUMMYFUNCTION("""COMPUTED_VALUE"""),"atchara1979@gmail.com")</f>
        <v>atchara1979@gmail.com</v>
      </c>
      <c r="H51" s="1"/>
      <c r="I51" s="1" t="str">
        <f>IFERROR(__xludf.DUMMYFUNCTION("""COMPUTED_VALUE"""),"123456")</f>
        <v>123456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">
        <f>IFERROR(__xludf.DUMMYFUNCTION("""COMPUTED_VALUE"""),1.160100082839E12)</f>
        <v>1160100082839</v>
      </c>
      <c r="B52" s="2">
        <f>IFERROR(__xludf.DUMMYFUNCTION("""COMPUTED_VALUE"""),432.0)</f>
        <v>432</v>
      </c>
      <c r="C52" s="1" t="str">
        <f>IFERROR(__xludf.DUMMYFUNCTION("""COMPUTED_VALUE"""),"นางสาว")</f>
        <v>นางสาว</v>
      </c>
      <c r="D52" s="1" t="str">
        <f>IFERROR(__xludf.DUMMYFUNCTION("""COMPUTED_VALUE"""),"รุ่งรัตน์")</f>
        <v>รุ่งรัตน์</v>
      </c>
      <c r="E52" s="1" t="str">
        <f>IFERROR(__xludf.DUMMYFUNCTION("""COMPUTED_VALUE"""),"สวัสดิ์สุข")</f>
        <v>สวัสดิ์สุข</v>
      </c>
      <c r="F52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2" s="1" t="str">
        <f>IFERROR(__xludf.DUMMYFUNCTION("""COMPUTED_VALUE"""),"rungratnaa_28@hotmail.com")</f>
        <v>rungratnaa_28@hotmail.com</v>
      </c>
      <c r="H52" s="1"/>
      <c r="I52" s="1" t="str">
        <f>IFERROR(__xludf.DUMMYFUNCTION("""COMPUTED_VALUE"""),"123456")</f>
        <v>123456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">
        <f>IFERROR(__xludf.DUMMYFUNCTION("""COMPUTED_VALUE"""),1.559900040655E12)</f>
        <v>1559900040655</v>
      </c>
      <c r="B53" s="2">
        <f>IFERROR(__xludf.DUMMYFUNCTION("""COMPUTED_VALUE"""),435.0)</f>
        <v>435</v>
      </c>
      <c r="C53" s="1" t="str">
        <f>IFERROR(__xludf.DUMMYFUNCTION("""COMPUTED_VALUE"""),"นางสาว")</f>
        <v>นางสาว</v>
      </c>
      <c r="D53" s="1" t="str">
        <f>IFERROR(__xludf.DUMMYFUNCTION("""COMPUTED_VALUE"""),"ปรารถนา")</f>
        <v>ปรารถนา</v>
      </c>
      <c r="E53" s="1" t="str">
        <f>IFERROR(__xludf.DUMMYFUNCTION("""COMPUTED_VALUE"""),"คำสีทิพย์")</f>
        <v>คำสีทิพย์</v>
      </c>
      <c r="F53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3" s="1" t="str">
        <f>IFERROR(__xludf.DUMMYFUNCTION("""COMPUTED_VALUE"""),"jub_pig@hotmail.com")</f>
        <v>jub_pig@hotmail.com</v>
      </c>
      <c r="H53" s="1"/>
      <c r="I53" s="1" t="str">
        <f>IFERROR(__xludf.DUMMYFUNCTION("""COMPUTED_VALUE"""),"123456")</f>
        <v>123456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">
        <f>IFERROR(__xludf.DUMMYFUNCTION("""COMPUTED_VALUE"""),1.161100008478E12)</f>
        <v>1161100008478</v>
      </c>
      <c r="B54" s="2">
        <f>IFERROR(__xludf.DUMMYFUNCTION("""COMPUTED_VALUE"""),436.0)</f>
        <v>436</v>
      </c>
      <c r="C54" s="1" t="str">
        <f>IFERROR(__xludf.DUMMYFUNCTION("""COMPUTED_VALUE"""),"นาย")</f>
        <v>นาย</v>
      </c>
      <c r="D54" s="1" t="str">
        <f>IFERROR(__xludf.DUMMYFUNCTION("""COMPUTED_VALUE"""),"จักรกฤษณ์")</f>
        <v>จักรกฤษณ์</v>
      </c>
      <c r="E54" s="1" t="str">
        <f>IFERROR(__xludf.DUMMYFUNCTION("""COMPUTED_VALUE"""),"โพธิ์ภาสี")</f>
        <v>โพธิ์ภาสี</v>
      </c>
      <c r="F54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4" s="1" t="str">
        <f>IFERROR(__xludf.DUMMYFUNCTION("""COMPUTED_VALUE"""),"i.am.jakkrit3@gmail.com")</f>
        <v>i.am.jakkrit3@gmail.com</v>
      </c>
      <c r="H54" s="1"/>
      <c r="I54" s="1" t="str">
        <f>IFERROR(__xludf.DUMMYFUNCTION("""COMPUTED_VALUE"""),"220315")</f>
        <v>220315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">
        <f>IFERROR(__xludf.DUMMYFUNCTION("""COMPUTED_VALUE"""),1.329900640298E12)</f>
        <v>1329900640298</v>
      </c>
      <c r="B55" s="2">
        <f>IFERROR(__xludf.DUMMYFUNCTION("""COMPUTED_VALUE"""),438.0)</f>
        <v>438</v>
      </c>
      <c r="C55" s="1" t="str">
        <f>IFERROR(__xludf.DUMMYFUNCTION("""COMPUTED_VALUE"""),"นางสาว")</f>
        <v>นางสาว</v>
      </c>
      <c r="D55" s="1" t="str">
        <f>IFERROR(__xludf.DUMMYFUNCTION("""COMPUTED_VALUE"""),"พรปวีณา")</f>
        <v>พรปวีณา</v>
      </c>
      <c r="E55" s="1" t="str">
        <f>IFERROR(__xludf.DUMMYFUNCTION("""COMPUTED_VALUE"""),"แจ่มสุวรรณ")</f>
        <v>แจ่มสุวรรณ</v>
      </c>
      <c r="F55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5" s="1" t="str">
        <f>IFERROR(__xludf.DUMMYFUNCTION("""COMPUTED_VALUE"""),"pornpaweena.j@gmail.com")</f>
        <v>pornpaweena.j@gmail.com</v>
      </c>
      <c r="H55" s="1"/>
      <c r="I55" s="1" t="str">
        <f>IFERROR(__xludf.DUMMYFUNCTION("""COMPUTED_VALUE"""),"122011")</f>
        <v>122011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">
        <f>IFERROR(__xludf.DUMMYFUNCTION("""COMPUTED_VALUE"""),2.179900027341E12)</f>
        <v>2179900027341</v>
      </c>
      <c r="B56" s="2">
        <f>IFERROR(__xludf.DUMMYFUNCTION("""COMPUTED_VALUE"""),439.0)</f>
        <v>439</v>
      </c>
      <c r="C56" s="1" t="str">
        <f>IFERROR(__xludf.DUMMYFUNCTION("""COMPUTED_VALUE"""),"นางสาว")</f>
        <v>นางสาว</v>
      </c>
      <c r="D56" s="1" t="str">
        <f>IFERROR(__xludf.DUMMYFUNCTION("""COMPUTED_VALUE"""),"ไอลดา")</f>
        <v>ไอลดา</v>
      </c>
      <c r="E56" s="1" t="str">
        <f>IFERROR(__xludf.DUMMYFUNCTION("""COMPUTED_VALUE"""),"พิณพาทย์")</f>
        <v>พิณพาทย์</v>
      </c>
      <c r="F56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6" s="1" t="str">
        <f>IFERROR(__xludf.DUMMYFUNCTION("""COMPUTED_VALUE"""),"ilada.pinpat@gmail.com")</f>
        <v>ilada.pinpat@gmail.com</v>
      </c>
      <c r="H56" s="1"/>
      <c r="I56" s="1" t="str">
        <f>IFERROR(__xludf.DUMMYFUNCTION("""COMPUTED_VALUE"""),"089178")</f>
        <v>089178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">
        <f>IFERROR(__xludf.DUMMYFUNCTION("""COMPUTED_VALUE"""),1.199600120657E12)</f>
        <v>1199600120657</v>
      </c>
      <c r="B57" s="2">
        <f>IFERROR(__xludf.DUMMYFUNCTION("""COMPUTED_VALUE"""),440.0)</f>
        <v>440</v>
      </c>
      <c r="C57" s="1" t="str">
        <f>IFERROR(__xludf.DUMMYFUNCTION("""COMPUTED_VALUE"""),"นางสาว")</f>
        <v>นางสาว</v>
      </c>
      <c r="D57" s="1" t="str">
        <f>IFERROR(__xludf.DUMMYFUNCTION("""COMPUTED_VALUE"""),"น้ำมนต์")</f>
        <v>น้ำมนต์</v>
      </c>
      <c r="E57" s="1" t="str">
        <f>IFERROR(__xludf.DUMMYFUNCTION("""COMPUTED_VALUE"""),"ฤาชัย")</f>
        <v>ฤาชัย</v>
      </c>
      <c r="F57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7" s="1" t="str">
        <f>IFERROR(__xludf.DUMMYFUNCTION("""COMPUTED_VALUE"""),"nammon1211@ptnk.ac.th")</f>
        <v>nammon1211@ptnk.ac.th</v>
      </c>
      <c r="H57" s="1"/>
      <c r="I57" s="1" t="str">
        <f>IFERROR(__xludf.DUMMYFUNCTION("""COMPUTED_VALUE"""),"121606")</f>
        <v>121606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>
        <f>IFERROR(__xludf.DUMMYFUNCTION("""COMPUTED_VALUE"""),1.160200060829E12)</f>
        <v>1160200060829</v>
      </c>
      <c r="B58" s="2">
        <f>IFERROR(__xludf.DUMMYFUNCTION("""COMPUTED_VALUE"""),441.0)</f>
        <v>441</v>
      </c>
      <c r="C58" s="1" t="str">
        <f>IFERROR(__xludf.DUMMYFUNCTION("""COMPUTED_VALUE"""),"นางสาว")</f>
        <v>นางสาว</v>
      </c>
      <c r="D58" s="1" t="str">
        <f>IFERROR(__xludf.DUMMYFUNCTION("""COMPUTED_VALUE"""),"สุนิษา")</f>
        <v>สุนิษา</v>
      </c>
      <c r="E58" s="1" t="str">
        <f>IFERROR(__xludf.DUMMYFUNCTION("""COMPUTED_VALUE"""),"อินทรโชติ")</f>
        <v>อินทรโชติ</v>
      </c>
      <c r="F58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8" s="1" t="str">
        <f>IFERROR(__xludf.DUMMYFUNCTION("""COMPUTED_VALUE"""),"cutoutppp@gmail.com")</f>
        <v>cutoutppp@gmail.com</v>
      </c>
      <c r="H58" s="1"/>
      <c r="I58" s="1" t="str">
        <f>IFERROR(__xludf.DUMMYFUNCTION("""COMPUTED_VALUE"""),"100730")</f>
        <v>100730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">
        <f>IFERROR(__xludf.DUMMYFUNCTION("""COMPUTED_VALUE"""),1.17990035419E12)</f>
        <v>1179900354190</v>
      </c>
      <c r="B59" s="2">
        <f>IFERROR(__xludf.DUMMYFUNCTION("""COMPUTED_VALUE"""),442.0)</f>
        <v>442</v>
      </c>
      <c r="C59" s="1" t="str">
        <f>IFERROR(__xludf.DUMMYFUNCTION("""COMPUTED_VALUE"""),"นาย")</f>
        <v>นาย</v>
      </c>
      <c r="D59" s="1" t="str">
        <f>IFERROR(__xludf.DUMMYFUNCTION("""COMPUTED_VALUE"""),"จักรพงษ์")</f>
        <v>จักรพงษ์</v>
      </c>
      <c r="E59" s="1" t="str">
        <f>IFERROR(__xludf.DUMMYFUNCTION("""COMPUTED_VALUE"""),"งามวิริยะประเสริฐ")</f>
        <v>งามวิริยะประเสริฐ</v>
      </c>
      <c r="F59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59" s="1" t="str">
        <f>IFERROR(__xludf.DUMMYFUNCTION("""COMPUTED_VALUE"""),"jakkaphong@ptnk.ac.th")</f>
        <v>jakkaphong@ptnk.ac.th</v>
      </c>
      <c r="H59" s="1"/>
      <c r="I59" s="1" t="str">
        <f>IFERROR(__xludf.DUMMYFUNCTION("""COMPUTED_VALUE"""),"261998")</f>
        <v>261998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>
        <f>IFERROR(__xludf.DUMMYFUNCTION("""COMPUTED_VALUE"""),1.160100410861E12)</f>
        <v>1160100410861</v>
      </c>
      <c r="B60" s="2">
        <f>IFERROR(__xludf.DUMMYFUNCTION("""COMPUTED_VALUE"""),443.0)</f>
        <v>443</v>
      </c>
      <c r="C60" s="1" t="str">
        <f>IFERROR(__xludf.DUMMYFUNCTION("""COMPUTED_VALUE"""),"นาย")</f>
        <v>นาย</v>
      </c>
      <c r="D60" s="1" t="str">
        <f>IFERROR(__xludf.DUMMYFUNCTION("""COMPUTED_VALUE"""),"นนทกานต์")</f>
        <v>นนทกานต์</v>
      </c>
      <c r="E60" s="1" t="str">
        <f>IFERROR(__xludf.DUMMYFUNCTION("""COMPUTED_VALUE"""),"พรมมา")</f>
        <v>พรมมา</v>
      </c>
      <c r="F60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60" s="1" t="str">
        <f>IFERROR(__xludf.DUMMYFUNCTION("""COMPUTED_VALUE"""),"nonthakan@ptnk.ac.th")</f>
        <v>nonthakan@ptnk.ac.th</v>
      </c>
      <c r="H60" s="1"/>
      <c r="I60" s="1" t="str">
        <f>IFERROR(__xludf.DUMMYFUNCTION("""COMPUTED_VALUE"""),"290000")</f>
        <v>290000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">
        <f>IFERROR(__xludf.DUMMYFUNCTION("""COMPUTED_VALUE"""),1.199600135247E12)</f>
        <v>1199600135247</v>
      </c>
      <c r="B61" s="2">
        <f>IFERROR(__xludf.DUMMYFUNCTION("""COMPUTED_VALUE"""),444.0)</f>
        <v>444</v>
      </c>
      <c r="C61" s="1" t="str">
        <f>IFERROR(__xludf.DUMMYFUNCTION("""COMPUTED_VALUE"""),"นาย")</f>
        <v>นาย</v>
      </c>
      <c r="D61" s="1" t="str">
        <f>IFERROR(__xludf.DUMMYFUNCTION("""COMPUTED_VALUE"""),"พีรวัฒน์")</f>
        <v>พีรวัฒน์</v>
      </c>
      <c r="E61" s="1" t="str">
        <f>IFERROR(__xludf.DUMMYFUNCTION("""COMPUTED_VALUE"""),"แสงเงิน")</f>
        <v>แสงเงิน</v>
      </c>
      <c r="F61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61" s="1" t="str">
        <f>IFERROR(__xludf.DUMMYFUNCTION("""COMPUTED_VALUE"""),"cutoutppp@gmail.com")</f>
        <v>cutoutppp@gmail.com</v>
      </c>
      <c r="H61" s="1"/>
      <c r="I61" s="1">
        <f>IFERROR(__xludf.DUMMYFUNCTION("""COMPUTED_VALUE"""),135247.0)</f>
        <v>135247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">
        <f>IFERROR(__xludf.DUMMYFUNCTION("""COMPUTED_VALUE"""),1.16010058849E12)</f>
        <v>1160100588490</v>
      </c>
      <c r="B62" s="2">
        <f>IFERROR(__xludf.DUMMYFUNCTION("""COMPUTED_VALUE"""),445.0)</f>
        <v>445</v>
      </c>
      <c r="C62" s="1" t="str">
        <f>IFERROR(__xludf.DUMMYFUNCTION("""COMPUTED_VALUE"""),"นางสาว")</f>
        <v>นางสาว</v>
      </c>
      <c r="D62" s="1" t="str">
        <f>IFERROR(__xludf.DUMMYFUNCTION("""COMPUTED_VALUE"""),"ชนาภา")</f>
        <v>ชนาภา</v>
      </c>
      <c r="E62" s="1" t="str">
        <f>IFERROR(__xludf.DUMMYFUNCTION("""COMPUTED_VALUE"""),"อุบลวัตร์")</f>
        <v>อุบลวัตร์</v>
      </c>
      <c r="F62" s="2" t="str">
        <f>IFERROR(__xludf.DUMMYFUNCTION("""COMPUTED_VALUE"""),"สังคมศึกษาศาสนาและวัฒนธรรม")</f>
        <v>สังคมศึกษาศาสนาและวัฒนธรรม</v>
      </c>
      <c r="G62" s="1" t="str">
        <f>IFERROR(__xludf.DUMMYFUNCTION("""COMPUTED_VALUE"""),"ketchana1998@gmail.com")</f>
        <v>ketchana1998@gmail.com</v>
      </c>
      <c r="H62" s="1"/>
      <c r="I62" s="1" t="str">
        <f>IFERROR(__xludf.DUMMYFUNCTION("""COMPUTED_VALUE"""),"199800")</f>
        <v>199800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">
        <f>IFERROR(__xludf.DUMMYFUNCTION("""COMPUTED_VALUE"""),3.540100969101E12)</f>
        <v>3540100969101</v>
      </c>
      <c r="B63" s="2">
        <f>IFERROR(__xludf.DUMMYFUNCTION("""COMPUTED_VALUE"""),504.0)</f>
        <v>504</v>
      </c>
      <c r="C63" s="1" t="str">
        <f>IFERROR(__xludf.DUMMYFUNCTION("""COMPUTED_VALUE"""),"นาง")</f>
        <v>นาง</v>
      </c>
      <c r="D63" s="1" t="str">
        <f>IFERROR(__xludf.DUMMYFUNCTION("""COMPUTED_VALUE"""),"อารีรัก")</f>
        <v>อารีรัก</v>
      </c>
      <c r="E63" s="1" t="str">
        <f>IFERROR(__xludf.DUMMYFUNCTION("""COMPUTED_VALUE"""),"บุญรามณรงค์")</f>
        <v>บุญรามณรงค์</v>
      </c>
      <c r="F63" s="2" t="str">
        <f>IFERROR(__xludf.DUMMYFUNCTION("""COMPUTED_VALUE"""),"สุขศึกษาและพลศึกษา")</f>
        <v>สุขศึกษาและพลศึกษา</v>
      </c>
      <c r="G63" s="1" t="str">
        <f>IFERROR(__xludf.DUMMYFUNCTION("""COMPUTED_VALUE"""),"areerak.boon12@gmail.com")</f>
        <v>areerak.boon12@gmail.com</v>
      </c>
      <c r="H63" s="1"/>
      <c r="I63" s="1" t="str">
        <f>IFERROR(__xludf.DUMMYFUNCTION("""COMPUTED_VALUE"""),"123456")</f>
        <v>123456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">
        <f>IFERROR(__xludf.DUMMYFUNCTION("""COMPUTED_VALUE"""),3.160600805518E12)</f>
        <v>3160600805518</v>
      </c>
      <c r="B64" s="2">
        <f>IFERROR(__xludf.DUMMYFUNCTION("""COMPUTED_VALUE"""),510.0)</f>
        <v>510</v>
      </c>
      <c r="C64" s="1" t="str">
        <f>IFERROR(__xludf.DUMMYFUNCTION("""COMPUTED_VALUE"""),"นาย")</f>
        <v>นาย</v>
      </c>
      <c r="D64" s="1" t="str">
        <f>IFERROR(__xludf.DUMMYFUNCTION("""COMPUTED_VALUE"""),"ชูชาติ")</f>
        <v>ชูชาติ</v>
      </c>
      <c r="E64" s="1" t="str">
        <f>IFERROR(__xludf.DUMMYFUNCTION("""COMPUTED_VALUE"""),"โพธิ์ทอง")</f>
        <v>โพธิ์ทอง</v>
      </c>
      <c r="F64" s="2" t="str">
        <f>IFERROR(__xludf.DUMMYFUNCTION("""COMPUTED_VALUE"""),"สุขศึกษาและพลศึกษา")</f>
        <v>สุขศึกษาและพลศึกษา</v>
      </c>
      <c r="G64" s="1" t="str">
        <f>IFERROR(__xludf.DUMMYFUNCTION("""COMPUTED_VALUE"""),"cutoutppp@gmail.com")</f>
        <v>cutoutppp@gmail.com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>
        <f>IFERROR(__xludf.DUMMYFUNCTION("""COMPUTED_VALUE"""),5.571200044254E12)</f>
        <v>5571200044254</v>
      </c>
      <c r="B65" s="2">
        <f>IFERROR(__xludf.DUMMYFUNCTION("""COMPUTED_VALUE"""),512.0)</f>
        <v>512</v>
      </c>
      <c r="C65" s="1" t="str">
        <f>IFERROR(__xludf.DUMMYFUNCTION("""COMPUTED_VALUE"""),"นาย")</f>
        <v>นาย</v>
      </c>
      <c r="D65" s="1" t="str">
        <f>IFERROR(__xludf.DUMMYFUNCTION("""COMPUTED_VALUE"""),"ทวีศักดิ์")</f>
        <v>ทวีศักดิ์</v>
      </c>
      <c r="E65" s="1" t="str">
        <f>IFERROR(__xludf.DUMMYFUNCTION("""COMPUTED_VALUE"""),"พิทักษ์ศร")</f>
        <v>พิทักษ์ศร</v>
      </c>
      <c r="F65" s="2" t="str">
        <f>IFERROR(__xludf.DUMMYFUNCTION("""COMPUTED_VALUE"""),"สุขศึกษาและพลศึกษา")</f>
        <v>สุขศึกษาและพลศึกษา</v>
      </c>
      <c r="G65" s="1" t="str">
        <f>IFERROR(__xludf.DUMMYFUNCTION("""COMPUTED_VALUE"""),"piwee1919@gmail.com")</f>
        <v>piwee1919@gmail.com</v>
      </c>
      <c r="H65" s="1"/>
      <c r="I65" s="1" t="str">
        <f>IFERROR(__xludf.DUMMYFUNCTION("""COMPUTED_VALUE"""),"181818")</f>
        <v>181818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">
        <f>IFERROR(__xludf.DUMMYFUNCTION("""COMPUTED_VALUE"""),1.149900244483E12)</f>
        <v>1149900244483</v>
      </c>
      <c r="B66" s="2">
        <f>IFERROR(__xludf.DUMMYFUNCTION("""COMPUTED_VALUE"""),513.0)</f>
        <v>513</v>
      </c>
      <c r="C66" s="1" t="str">
        <f>IFERROR(__xludf.DUMMYFUNCTION("""COMPUTED_VALUE"""),"นาย")</f>
        <v>นาย</v>
      </c>
      <c r="D66" s="1" t="str">
        <f>IFERROR(__xludf.DUMMYFUNCTION("""COMPUTED_VALUE"""),"ศราวุฒิ")</f>
        <v>ศราวุฒิ</v>
      </c>
      <c r="E66" s="1" t="str">
        <f>IFERROR(__xludf.DUMMYFUNCTION("""COMPUTED_VALUE"""),"บำรุงศิลป์")</f>
        <v>บำรุงศิลป์</v>
      </c>
      <c r="F66" s="2" t="str">
        <f>IFERROR(__xludf.DUMMYFUNCTION("""COMPUTED_VALUE"""),"สุขศึกษาและพลศึกษา")</f>
        <v>สุขศึกษาและพลศึกษา</v>
      </c>
      <c r="G66" s="1" t="str">
        <f>IFERROR(__xludf.DUMMYFUNCTION("""COMPUTED_VALUE"""),"cutoutppp@gmail.com")</f>
        <v>cutoutppp@gmail.com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">
        <f>IFERROR(__xludf.DUMMYFUNCTION("""COMPUTED_VALUE"""),3.160200507048E12)</f>
        <v>3160200507048</v>
      </c>
      <c r="B67" s="2">
        <f>IFERROR(__xludf.DUMMYFUNCTION("""COMPUTED_VALUE"""),514.0)</f>
        <v>514</v>
      </c>
      <c r="C67" s="1" t="str">
        <f>IFERROR(__xludf.DUMMYFUNCTION("""COMPUTED_VALUE"""),"นาง")</f>
        <v>นาง</v>
      </c>
      <c r="D67" s="1" t="str">
        <f>IFERROR(__xludf.DUMMYFUNCTION("""COMPUTED_VALUE"""),"พรทิพา")</f>
        <v>พรทิพา</v>
      </c>
      <c r="E67" s="1" t="str">
        <f>IFERROR(__xludf.DUMMYFUNCTION("""COMPUTED_VALUE"""),"ทองแย้ม")</f>
        <v>ทองแย้ม</v>
      </c>
      <c r="F67" s="2" t="str">
        <f>IFERROR(__xludf.DUMMYFUNCTION("""COMPUTED_VALUE"""),"สุขศึกษาและพลศึกษา")</f>
        <v>สุขศึกษาและพลศึกษา</v>
      </c>
      <c r="G67" s="1" t="str">
        <f>IFERROR(__xludf.DUMMYFUNCTION("""COMPUTED_VALUE"""),"pontipa@ptnk.ac.th")</f>
        <v>pontipa@ptnk.ac.th</v>
      </c>
      <c r="H67" s="1"/>
      <c r="I67" s="1" t="str">
        <f>IFERROR(__xludf.DUMMYFUNCTION("""COMPUTED_VALUE"""),"141609")</f>
        <v>141609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">
        <f>IFERROR(__xludf.DUMMYFUNCTION("""COMPUTED_VALUE"""),3.160200033071E12)</f>
        <v>3160200033071</v>
      </c>
      <c r="B68" s="2">
        <f>IFERROR(__xludf.DUMMYFUNCTION("""COMPUTED_VALUE"""),515.0)</f>
        <v>515</v>
      </c>
      <c r="C68" s="1" t="str">
        <f>IFERROR(__xludf.DUMMYFUNCTION("""COMPUTED_VALUE"""),"นาย")</f>
        <v>นาย</v>
      </c>
      <c r="D68" s="1" t="str">
        <f>IFERROR(__xludf.DUMMYFUNCTION("""COMPUTED_VALUE"""),"วีรภัทร")</f>
        <v>วีรภัทร</v>
      </c>
      <c r="E68" s="1" t="str">
        <f>IFERROR(__xludf.DUMMYFUNCTION("""COMPUTED_VALUE"""),"กองแก้ว")</f>
        <v>กองแก้ว</v>
      </c>
      <c r="F68" s="2" t="str">
        <f>IFERROR(__xludf.DUMMYFUNCTION("""COMPUTED_VALUE"""),"สุขศึกษาและพลศึกษา")</f>
        <v>สุขศึกษาและพลศึกษา</v>
      </c>
      <c r="G68" s="1" t="str">
        <f>IFERROR(__xludf.DUMMYFUNCTION("""COMPUTED_VALUE"""),"pudnewy@gmail.com")</f>
        <v>pudnewy@gmail.com</v>
      </c>
      <c r="H68" s="1"/>
      <c r="I68" s="1" t="str">
        <f>IFERROR(__xludf.DUMMYFUNCTION("""COMPUTED_VALUE"""),"441150")</f>
        <v>441150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>
        <f>IFERROR(__xludf.DUMMYFUNCTION("""COMPUTED_VALUE"""),1.190900042181E12)</f>
        <v>1190900042181</v>
      </c>
      <c r="B69" s="2">
        <f>IFERROR(__xludf.DUMMYFUNCTION("""COMPUTED_VALUE"""),615.0)</f>
        <v>615</v>
      </c>
      <c r="C69" s="1" t="str">
        <f>IFERROR(__xludf.DUMMYFUNCTION("""COMPUTED_VALUE"""),"นาย")</f>
        <v>นาย</v>
      </c>
      <c r="D69" s="1" t="str">
        <f>IFERROR(__xludf.DUMMYFUNCTION("""COMPUTED_VALUE"""),"อิฐสรา")</f>
        <v>อิฐสรา</v>
      </c>
      <c r="E69" s="1" t="str">
        <f>IFERROR(__xludf.DUMMYFUNCTION("""COMPUTED_VALUE"""),"บุญคล้าย")</f>
        <v>บุญคล้าย</v>
      </c>
      <c r="F69" s="2" t="str">
        <f>IFERROR(__xludf.DUMMYFUNCTION("""COMPUTED_VALUE"""),"ศิลปะ")</f>
        <v>ศิลปะ</v>
      </c>
      <c r="G69" s="1" t="str">
        <f>IFERROR(__xludf.DUMMYFUNCTION("""COMPUTED_VALUE"""),"layman@ptnk.ac.th")</f>
        <v>layman@ptnk.ac.th</v>
      </c>
      <c r="H69" s="1"/>
      <c r="I69" s="1" t="str">
        <f>IFERROR(__xludf.DUMMYFUNCTION("""COMPUTED_VALUE"""),"123456")</f>
        <v>123456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">
        <f>IFERROR(__xludf.DUMMYFUNCTION("""COMPUTED_VALUE"""),1.160100181641E12)</f>
        <v>1160100181641</v>
      </c>
      <c r="B70" s="2">
        <f>IFERROR(__xludf.DUMMYFUNCTION("""COMPUTED_VALUE"""),616.0)</f>
        <v>616</v>
      </c>
      <c r="C70" s="1" t="str">
        <f>IFERROR(__xludf.DUMMYFUNCTION("""COMPUTED_VALUE"""),"นางสาว")</f>
        <v>นางสาว</v>
      </c>
      <c r="D70" s="1" t="str">
        <f>IFERROR(__xludf.DUMMYFUNCTION("""COMPUTED_VALUE"""),"ศิริรัตน์")</f>
        <v>ศิริรัตน์</v>
      </c>
      <c r="E70" s="1" t="str">
        <f>IFERROR(__xludf.DUMMYFUNCTION("""COMPUTED_VALUE"""),"เถื่อนดี")</f>
        <v>เถื่อนดี</v>
      </c>
      <c r="F70" s="2" t="str">
        <f>IFERROR(__xludf.DUMMYFUNCTION("""COMPUTED_VALUE"""),"ศิลปะ")</f>
        <v>ศิลปะ</v>
      </c>
      <c r="G70" s="1" t="str">
        <f>IFERROR(__xludf.DUMMYFUNCTION("""COMPUTED_VALUE"""),"cutoutppp@gmail.com")</f>
        <v>cutoutppp@gmail.com</v>
      </c>
      <c r="H70" s="1"/>
      <c r="I70" s="1" t="str">
        <f>IFERROR(__xludf.DUMMYFUNCTION("""COMPUTED_VALUE"""),"030430")</f>
        <v>030430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>
        <f>IFERROR(__xludf.DUMMYFUNCTION("""COMPUTED_VALUE"""),1.179900220789E12)</f>
        <v>1179900220789</v>
      </c>
      <c r="B71" s="2">
        <f>IFERROR(__xludf.DUMMYFUNCTION("""COMPUTED_VALUE"""),617.0)</f>
        <v>617</v>
      </c>
      <c r="C71" s="1" t="str">
        <f>IFERROR(__xludf.DUMMYFUNCTION("""COMPUTED_VALUE"""),"นางสาว")</f>
        <v>นางสาว</v>
      </c>
      <c r="D71" s="1" t="str">
        <f>IFERROR(__xludf.DUMMYFUNCTION("""COMPUTED_VALUE"""),"สุนันทณี")</f>
        <v>สุนันทณี</v>
      </c>
      <c r="E71" s="1" t="str">
        <f>IFERROR(__xludf.DUMMYFUNCTION("""COMPUTED_VALUE"""),"ขุนทอง")</f>
        <v>ขุนทอง</v>
      </c>
      <c r="F71" s="2" t="str">
        <f>IFERROR(__xludf.DUMMYFUNCTION("""COMPUTED_VALUE"""),"ศิลปะ")</f>
        <v>ศิลปะ</v>
      </c>
      <c r="G71" s="1" t="str">
        <f>IFERROR(__xludf.DUMMYFUNCTION("""COMPUTED_VALUE"""),"sunantanee_2732@hotmail.com")</f>
        <v>sunantanee_2732@hotmail.com</v>
      </c>
      <c r="H71" s="1"/>
      <c r="I71" s="1" t="str">
        <f>IFERROR(__xludf.DUMMYFUNCTION("""COMPUTED_VALUE"""),"111134")</f>
        <v>111134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>
        <f>IFERROR(__xludf.DUMMYFUNCTION("""COMPUTED_VALUE"""),1.160100333084E12)</f>
        <v>1160100333084</v>
      </c>
      <c r="B72" s="2">
        <f>IFERROR(__xludf.DUMMYFUNCTION("""COMPUTED_VALUE"""),623.0)</f>
        <v>623</v>
      </c>
      <c r="C72" s="1" t="str">
        <f>IFERROR(__xludf.DUMMYFUNCTION("""COMPUTED_VALUE"""),"นางสาว")</f>
        <v>นางสาว</v>
      </c>
      <c r="D72" s="1" t="str">
        <f>IFERROR(__xludf.DUMMYFUNCTION("""COMPUTED_VALUE"""),"ขนิษฐา")</f>
        <v>ขนิษฐา</v>
      </c>
      <c r="E72" s="1" t="str">
        <f>IFERROR(__xludf.DUMMYFUNCTION("""COMPUTED_VALUE"""),"หรั่งแร่")</f>
        <v>หรั่งแร่</v>
      </c>
      <c r="F72" s="2" t="str">
        <f>IFERROR(__xludf.DUMMYFUNCTION("""COMPUTED_VALUE"""),"ศิลปะ")</f>
        <v>ศิลปะ</v>
      </c>
      <c r="G72" s="1" t="str">
        <f>IFERROR(__xludf.DUMMYFUNCTION("""COMPUTED_VALUE"""),"cutoutppp@gmail.com")</f>
        <v>cutoutppp@gmail.com</v>
      </c>
      <c r="H72" s="1"/>
      <c r="I72" s="1" t="str">
        <f>IFERROR(__xludf.DUMMYFUNCTION("""COMPUTED_VALUE"""),"123456")</f>
        <v>123456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">
        <f>IFERROR(__xludf.DUMMYFUNCTION("""COMPUTED_VALUE"""),1.103100238238E12)</f>
        <v>1103100238238</v>
      </c>
      <c r="B73" s="2">
        <f>IFERROR(__xludf.DUMMYFUNCTION("""COMPUTED_VALUE"""),624.0)</f>
        <v>624</v>
      </c>
      <c r="C73" s="1" t="str">
        <f>IFERROR(__xludf.DUMMYFUNCTION("""COMPUTED_VALUE"""),"นาย")</f>
        <v>นาย</v>
      </c>
      <c r="D73" s="1" t="str">
        <f>IFERROR(__xludf.DUMMYFUNCTION("""COMPUTED_VALUE"""),"ศราวุฒิ")</f>
        <v>ศราวุฒิ</v>
      </c>
      <c r="E73" s="1" t="str">
        <f>IFERROR(__xludf.DUMMYFUNCTION("""COMPUTED_VALUE"""),"จังหวัดเขต")</f>
        <v>จังหวัดเขต</v>
      </c>
      <c r="F73" s="2" t="str">
        <f>IFERROR(__xludf.DUMMYFUNCTION("""COMPUTED_VALUE"""),"ศิลปะ")</f>
        <v>ศิลปะ</v>
      </c>
      <c r="G73" s="1" t="str">
        <f>IFERROR(__xludf.DUMMYFUNCTION("""COMPUTED_VALUE"""),"kru.arm.sarawut@ptnk.ac.th")</f>
        <v>kru.arm.sarawut@ptnk.ac.th</v>
      </c>
      <c r="H73" s="1"/>
      <c r="I73" s="1" t="str">
        <f>IFERROR(__xludf.DUMMYFUNCTION("""COMPUTED_VALUE"""),"240237")</f>
        <v>240237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>
        <f>IFERROR(__xludf.DUMMYFUNCTION("""COMPUTED_VALUE"""),1.160100599971E12)</f>
        <v>1160100599971</v>
      </c>
      <c r="B74" s="2">
        <f>IFERROR(__xludf.DUMMYFUNCTION("""COMPUTED_VALUE"""),625.0)</f>
        <v>625</v>
      </c>
      <c r="C74" s="1" t="str">
        <f>IFERROR(__xludf.DUMMYFUNCTION("""COMPUTED_VALUE"""),"นางสาว")</f>
        <v>นางสาว</v>
      </c>
      <c r="D74" s="1" t="str">
        <f>IFERROR(__xludf.DUMMYFUNCTION("""COMPUTED_VALUE"""),"ชนิดา")</f>
        <v>ชนิดา</v>
      </c>
      <c r="E74" s="1" t="str">
        <f>IFERROR(__xludf.DUMMYFUNCTION("""COMPUTED_VALUE"""),"ศรีบุญญะ")</f>
        <v>ศรีบุญญะ</v>
      </c>
      <c r="F74" s="2" t="str">
        <f>IFERROR(__xludf.DUMMYFUNCTION("""COMPUTED_VALUE"""),"ศิลปะ")</f>
        <v>ศิลปะ</v>
      </c>
      <c r="G74" s="1" t="str">
        <f>IFERROR(__xludf.DUMMYFUNCTION("""COMPUTED_VALUE"""),"cutoutppp@gmail.com")</f>
        <v>cutoutppp@gmail.com</v>
      </c>
      <c r="H74" s="1"/>
      <c r="I74" s="1" t="str">
        <f>IFERROR(__xludf.DUMMYFUNCTION("""COMPUTED_VALUE"""),"123456")</f>
        <v>123456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>
        <f>IFERROR(__xludf.DUMMYFUNCTION("""COMPUTED_VALUE"""),1.478900007666E12)</f>
        <v>1478900007666</v>
      </c>
      <c r="B75" s="2">
        <f>IFERROR(__xludf.DUMMYFUNCTION("""COMPUTED_VALUE"""),626.0)</f>
        <v>626</v>
      </c>
      <c r="C75" s="1" t="str">
        <f>IFERROR(__xludf.DUMMYFUNCTION("""COMPUTED_VALUE"""),"นาย")</f>
        <v>นาย</v>
      </c>
      <c r="D75" s="1" t="str">
        <f>IFERROR(__xludf.DUMMYFUNCTION("""COMPUTED_VALUE"""),"นิติพงษ์")</f>
        <v>นิติพงษ์</v>
      </c>
      <c r="E75" s="1" t="str">
        <f>IFERROR(__xludf.DUMMYFUNCTION("""COMPUTED_VALUE"""),"คำนะ")</f>
        <v>คำนะ</v>
      </c>
      <c r="F75" s="2" t="str">
        <f>IFERROR(__xludf.DUMMYFUNCTION("""COMPUTED_VALUE"""),"ศิลปะ")</f>
        <v>ศิลปะ</v>
      </c>
      <c r="G75" s="1" t="str">
        <f>IFERROR(__xludf.DUMMYFUNCTION("""COMPUTED_VALUE"""),"artclubza10@gmail.com")</f>
        <v>artclubza10@gmail.com</v>
      </c>
      <c r="H75" s="1"/>
      <c r="I75" s="1" t="str">
        <f>IFERROR(__xludf.DUMMYFUNCTION("""COMPUTED_VALUE"""),"090445")</f>
        <v>090445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>
        <f>IFERROR(__xludf.DUMMYFUNCTION("""COMPUTED_VALUE"""),5.361290013266E12)</f>
        <v>5361290013266</v>
      </c>
      <c r="B76" s="2">
        <f>IFERROR(__xludf.DUMMYFUNCTION("""COMPUTED_VALUE"""),708.0)</f>
        <v>708</v>
      </c>
      <c r="C76" s="1" t="str">
        <f>IFERROR(__xludf.DUMMYFUNCTION("""COMPUTED_VALUE"""),"นาง")</f>
        <v>นาง</v>
      </c>
      <c r="D76" s="1" t="str">
        <f>IFERROR(__xludf.DUMMYFUNCTION("""COMPUTED_VALUE"""),"นันทิดา")</f>
        <v>นันทิดา</v>
      </c>
      <c r="E76" s="1" t="str">
        <f>IFERROR(__xludf.DUMMYFUNCTION("""COMPUTED_VALUE"""),"พิมพ์สมบูรณ์")</f>
        <v>พิมพ์สมบูรณ์</v>
      </c>
      <c r="F76" s="2" t="str">
        <f>IFERROR(__xludf.DUMMYFUNCTION("""COMPUTED_VALUE"""),"วิทยาศาสตร์(เทคโนโลยี)")</f>
        <v>วิทยาศาสตร์(เทคโนโลยี)</v>
      </c>
      <c r="G76" s="1" t="str">
        <f>IFERROR(__xludf.DUMMYFUNCTION("""COMPUTED_VALUE"""),"teacherda.com@ptnk.ac.th")</f>
        <v>teacherda.com@ptnk.ac.th</v>
      </c>
      <c r="H76" s="1"/>
      <c r="I76" s="1" t="str">
        <f>IFERROR(__xludf.DUMMYFUNCTION("""COMPUTED_VALUE"""),"084971")</f>
        <v>084971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>
        <f>IFERROR(__xludf.DUMMYFUNCTION("""COMPUTED_VALUE"""),3.160200500124E12)</f>
        <v>3160200500124</v>
      </c>
      <c r="B77" s="2">
        <f>IFERROR(__xludf.DUMMYFUNCTION("""COMPUTED_VALUE"""),712.0)</f>
        <v>712</v>
      </c>
      <c r="C77" s="1" t="str">
        <f>IFERROR(__xludf.DUMMYFUNCTION("""COMPUTED_VALUE"""),"นาง")</f>
        <v>นาง</v>
      </c>
      <c r="D77" s="1" t="str">
        <f>IFERROR(__xludf.DUMMYFUNCTION("""COMPUTED_VALUE"""),"สกาวรัตน์")</f>
        <v>สกาวรัตน์</v>
      </c>
      <c r="E77" s="1" t="str">
        <f>IFERROR(__xludf.DUMMYFUNCTION("""COMPUTED_VALUE"""),"หนูสลุง")</f>
        <v>หนูสลุง</v>
      </c>
      <c r="F77" s="2" t="str">
        <f>IFERROR(__xludf.DUMMYFUNCTION("""COMPUTED_VALUE"""),"วิทยาศาสตร์(เทคโนโลยี)")</f>
        <v>วิทยาศาสตร์(เทคโนโลยี)</v>
      </c>
      <c r="G77" s="1" t="str">
        <f>IFERROR(__xludf.DUMMYFUNCTION("""COMPUTED_VALUE"""),"sakaowrat@ptnk.ac.th")</f>
        <v>sakaowrat@ptnk.ac.th</v>
      </c>
      <c r="H77" s="1"/>
      <c r="I77" s="1" t="str">
        <f>IFERROR(__xludf.DUMMYFUNCTION("""COMPUTED_VALUE"""),"255166")</f>
        <v>255166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>
        <f>IFERROR(__xludf.DUMMYFUNCTION("""COMPUTED_VALUE"""),1.16020005179E12)</f>
        <v>1160200051790</v>
      </c>
      <c r="B78" s="2">
        <f>IFERROR(__xludf.DUMMYFUNCTION("""COMPUTED_VALUE"""),722.0)</f>
        <v>722</v>
      </c>
      <c r="C78" s="1" t="str">
        <f>IFERROR(__xludf.DUMMYFUNCTION("""COMPUTED_VALUE"""),"นางสาว")</f>
        <v>นางสาว</v>
      </c>
      <c r="D78" s="1" t="str">
        <f>IFERROR(__xludf.DUMMYFUNCTION("""COMPUTED_VALUE"""),"ศรีไพร")</f>
        <v>ศรีไพร</v>
      </c>
      <c r="E78" s="1" t="str">
        <f>IFERROR(__xludf.DUMMYFUNCTION("""COMPUTED_VALUE"""),"พูลหลำ")</f>
        <v>พูลหลำ</v>
      </c>
      <c r="F78" s="2" t="str">
        <f>IFERROR(__xludf.DUMMYFUNCTION("""COMPUTED_VALUE"""),"การงานอาชีพ")</f>
        <v>การงานอาชีพ</v>
      </c>
      <c r="G78" s="1" t="str">
        <f>IFERROR(__xludf.DUMMYFUNCTION("""COMPUTED_VALUE"""),"sriprai55@hotmail.co.th")</f>
        <v>sriprai55@hotmail.co.th</v>
      </c>
      <c r="H78" s="1"/>
      <c r="I78" s="1" t="str">
        <f>IFERROR(__xludf.DUMMYFUNCTION("""COMPUTED_VALUE"""),"050505")</f>
        <v>050505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>
        <f>IFERROR(__xludf.DUMMYFUNCTION("""COMPUTED_VALUE"""),3.340800352876E12)</f>
        <v>3340800352876</v>
      </c>
      <c r="B79" s="2">
        <f>IFERROR(__xludf.DUMMYFUNCTION("""COMPUTED_VALUE"""),723.0)</f>
        <v>723</v>
      </c>
      <c r="C79" s="1" t="str">
        <f>IFERROR(__xludf.DUMMYFUNCTION("""COMPUTED_VALUE"""),"นาย")</f>
        <v>นาย</v>
      </c>
      <c r="D79" s="1" t="str">
        <f>IFERROR(__xludf.DUMMYFUNCTION("""COMPUTED_VALUE"""),"พนม")</f>
        <v>พนม</v>
      </c>
      <c r="E79" s="1" t="str">
        <f>IFERROR(__xludf.DUMMYFUNCTION("""COMPUTED_VALUE"""),"บุญมางำ")</f>
        <v>บุญมางำ</v>
      </c>
      <c r="F79" s="2" t="str">
        <f>IFERROR(__xludf.DUMMYFUNCTION("""COMPUTED_VALUE"""),"การงานอาชีพ")</f>
        <v>การงานอาชีพ</v>
      </c>
      <c r="G79" s="1" t="str">
        <f>IFERROR(__xludf.DUMMYFUNCTION("""COMPUTED_VALUE"""),"boonmangum1254@gmail.com")</f>
        <v>boonmangum1254@gmail.com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>
        <f>IFERROR(__xludf.DUMMYFUNCTION("""COMPUTED_VALUE"""),1.199600002841E12)</f>
        <v>1199600002841</v>
      </c>
      <c r="B80" s="2">
        <f>IFERROR(__xludf.DUMMYFUNCTION("""COMPUTED_VALUE"""),725.0)</f>
        <v>725</v>
      </c>
      <c r="C80" s="1" t="str">
        <f>IFERROR(__xludf.DUMMYFUNCTION("""COMPUTED_VALUE"""),"นางสาว")</f>
        <v>นางสาว</v>
      </c>
      <c r="D80" s="1" t="str">
        <f>IFERROR(__xludf.DUMMYFUNCTION("""COMPUTED_VALUE"""),"ณัฏฐ์จิรา")</f>
        <v>ณัฏฐ์จิรา</v>
      </c>
      <c r="E80" s="1" t="str">
        <f>IFERROR(__xludf.DUMMYFUNCTION("""COMPUTED_VALUE"""),"วงษ์ประไพ")</f>
        <v>วงษ์ประไพ</v>
      </c>
      <c r="F80" s="2" t="str">
        <f>IFERROR(__xludf.DUMMYFUNCTION("""COMPUTED_VALUE"""),"การงานอาชีพ")</f>
        <v>การงานอาชีพ</v>
      </c>
      <c r="G80" s="1" t="str">
        <f>IFERROR(__xludf.DUMMYFUNCTION("""COMPUTED_VALUE"""),"srnjr001@gmail.com")</f>
        <v>srnjr001@gmail.com</v>
      </c>
      <c r="H80" s="1"/>
      <c r="I80" s="1" t="str">
        <f>IFERROR(__xludf.DUMMYFUNCTION("""COMPUTED_VALUE"""),"060331")</f>
        <v>060331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>
        <f>IFERROR(__xludf.DUMMYFUNCTION("""COMPUTED_VALUE"""),1.190900025937E12)</f>
        <v>1190900025937</v>
      </c>
      <c r="B81" s="2">
        <f>IFERROR(__xludf.DUMMYFUNCTION("""COMPUTED_VALUE"""),726.0)</f>
        <v>726</v>
      </c>
      <c r="C81" s="1" t="str">
        <f>IFERROR(__xludf.DUMMYFUNCTION("""COMPUTED_VALUE"""),"นางสาว")</f>
        <v>นางสาว</v>
      </c>
      <c r="D81" s="1" t="str">
        <f>IFERROR(__xludf.DUMMYFUNCTION("""COMPUTED_VALUE"""),"ศิริรัตน์")</f>
        <v>ศิริรัตน์</v>
      </c>
      <c r="E81" s="1" t="str">
        <f>IFERROR(__xludf.DUMMYFUNCTION("""COMPUTED_VALUE"""),"คำอยู่")</f>
        <v>คำอยู่</v>
      </c>
      <c r="F81" s="2" t="str">
        <f>IFERROR(__xludf.DUMMYFUNCTION("""COMPUTED_VALUE"""),"การงานอาชีพ")</f>
        <v>การงานอาชีพ</v>
      </c>
      <c r="G81" s="1" t="str">
        <f>IFERROR(__xludf.DUMMYFUNCTION("""COMPUTED_VALUE"""),"siriratkamyu2528@gmail.com")</f>
        <v>siriratkamyu2528@gmail.com</v>
      </c>
      <c r="H81" s="1"/>
      <c r="I81" s="1" t="str">
        <f>IFERROR(__xludf.DUMMYFUNCTION("""COMPUTED_VALUE"""),"172557")</f>
        <v>172557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>
        <f>IFERROR(__xludf.DUMMYFUNCTION("""COMPUTED_VALUE"""),1.505300014986E12)</f>
        <v>1505300014986</v>
      </c>
      <c r="B82" s="2">
        <f>IFERROR(__xludf.DUMMYFUNCTION("""COMPUTED_VALUE"""),727.0)</f>
        <v>727</v>
      </c>
      <c r="C82" s="1" t="str">
        <f>IFERROR(__xludf.DUMMYFUNCTION("""COMPUTED_VALUE"""),"นางสาว")</f>
        <v>นางสาว</v>
      </c>
      <c r="D82" s="1" t="str">
        <f>IFERROR(__xludf.DUMMYFUNCTION("""COMPUTED_VALUE"""),"กฤษฎารัตน์")</f>
        <v>กฤษฎารัตน์</v>
      </c>
      <c r="E82" s="1" t="str">
        <f>IFERROR(__xludf.DUMMYFUNCTION("""COMPUTED_VALUE"""),"เครื่องชนะ")</f>
        <v>เครื่องชนะ</v>
      </c>
      <c r="F82" s="2" t="str">
        <f>IFERROR(__xludf.DUMMYFUNCTION("""COMPUTED_VALUE"""),"การงานอาชีพ")</f>
        <v>การงานอาชีพ</v>
      </c>
      <c r="G82" s="1" t="str">
        <f>IFERROR(__xludf.DUMMYFUNCTION("""COMPUTED_VALUE"""),"krsindarutkim@gmail.com")</f>
        <v>krsindarutkim@gmail.com</v>
      </c>
      <c r="H82" s="1"/>
      <c r="I82" s="1" t="str">
        <f>IFERROR(__xludf.DUMMYFUNCTION("""COMPUTED_VALUE"""),"021239")</f>
        <v>021239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>
        <f>IFERROR(__xludf.DUMMYFUNCTION("""COMPUTED_VALUE"""),1.321200094153E12)</f>
        <v>1321200094153</v>
      </c>
      <c r="B83" s="2">
        <f>IFERROR(__xludf.DUMMYFUNCTION("""COMPUTED_VALUE"""),728.0)</f>
        <v>728</v>
      </c>
      <c r="C83" s="1" t="str">
        <f>IFERROR(__xludf.DUMMYFUNCTION("""COMPUTED_VALUE"""),"นาย")</f>
        <v>นาย</v>
      </c>
      <c r="D83" s="1" t="str">
        <f>IFERROR(__xludf.DUMMYFUNCTION("""COMPUTED_VALUE"""),"วายุ")</f>
        <v>วายุ</v>
      </c>
      <c r="E83" s="1" t="str">
        <f>IFERROR(__xludf.DUMMYFUNCTION("""COMPUTED_VALUE"""),"ก้งทอง")</f>
        <v>ก้งทอง</v>
      </c>
      <c r="F83" s="2" t="str">
        <f>IFERROR(__xludf.DUMMYFUNCTION("""COMPUTED_VALUE"""),"การงานอาชีพ")</f>
        <v>การงานอาชีพ</v>
      </c>
      <c r="G83" s="1" t="str">
        <f>IFERROR(__xludf.DUMMYFUNCTION("""COMPUTED_VALUE"""),"cutoutppp@gmail.com")</f>
        <v>cutoutppp@gmail.com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">
        <f>IFERROR(__xludf.DUMMYFUNCTION("""COMPUTED_VALUE"""),3.191100098279E12)</f>
        <v>3191100098279</v>
      </c>
      <c r="B84" s="2">
        <f>IFERROR(__xludf.DUMMYFUNCTION("""COMPUTED_VALUE"""),805.0)</f>
        <v>805</v>
      </c>
      <c r="C84" s="1" t="str">
        <f>IFERROR(__xludf.DUMMYFUNCTION("""COMPUTED_VALUE"""),"นาง")</f>
        <v>นาง</v>
      </c>
      <c r="D84" s="1" t="str">
        <f>IFERROR(__xludf.DUMMYFUNCTION("""COMPUTED_VALUE"""),"กาญจน์สุดา")</f>
        <v>กาญจน์สุดา</v>
      </c>
      <c r="E84" s="1" t="str">
        <f>IFERROR(__xludf.DUMMYFUNCTION("""COMPUTED_VALUE"""),"มาช่วย")</f>
        <v>มาช่วย</v>
      </c>
      <c r="F84" s="2" t="str">
        <f>IFERROR(__xludf.DUMMYFUNCTION("""COMPUTED_VALUE"""),"ภาษาต่างประเทศ")</f>
        <v>ภาษาต่างประเทศ</v>
      </c>
      <c r="G84" s="1" t="str">
        <f>IFERROR(__xludf.DUMMYFUNCTION("""COMPUTED_VALUE"""),"kansuda09@ptnk.ac.th")</f>
        <v>kansuda09@ptnk.ac.th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">
        <f>IFERROR(__xludf.DUMMYFUNCTION("""COMPUTED_VALUE"""),3.16010140237E12)</f>
        <v>3160101402370</v>
      </c>
      <c r="B85" s="2">
        <f>IFERROR(__xludf.DUMMYFUNCTION("""COMPUTED_VALUE"""),816.0)</f>
        <v>816</v>
      </c>
      <c r="C85" s="1" t="str">
        <f>IFERROR(__xludf.DUMMYFUNCTION("""COMPUTED_VALUE"""),"นางสาว")</f>
        <v>นางสาว</v>
      </c>
      <c r="D85" s="1" t="str">
        <f>IFERROR(__xludf.DUMMYFUNCTION("""COMPUTED_VALUE"""),"จุฑาทิพ")</f>
        <v>จุฑาทิพ</v>
      </c>
      <c r="E85" s="1" t="str">
        <f>IFERROR(__xludf.DUMMYFUNCTION("""COMPUTED_VALUE"""),"ห้องกระจก")</f>
        <v>ห้องกระจก</v>
      </c>
      <c r="F85" s="2" t="str">
        <f>IFERROR(__xludf.DUMMYFUNCTION("""COMPUTED_VALUE"""),"ภาษาต่างประเทศ")</f>
        <v>ภาษาต่างประเทศ</v>
      </c>
      <c r="G85" s="1" t="str">
        <f>IFERROR(__xludf.DUMMYFUNCTION("""COMPUTED_VALUE"""),"cuthathip.hong@gmail.com")</f>
        <v>cuthathip.hong@gmail.com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>
        <f>IFERROR(__xludf.DUMMYFUNCTION("""COMPUTED_VALUE"""),1.629900135167E12)</f>
        <v>1629900135167</v>
      </c>
      <c r="B86" s="2">
        <f>IFERROR(__xludf.DUMMYFUNCTION("""COMPUTED_VALUE"""),824.0)</f>
        <v>824</v>
      </c>
      <c r="C86" s="1" t="str">
        <f>IFERROR(__xludf.DUMMYFUNCTION("""COMPUTED_VALUE"""),"นางสาว")</f>
        <v>นางสาว</v>
      </c>
      <c r="D86" s="1" t="str">
        <f>IFERROR(__xludf.DUMMYFUNCTION("""COMPUTED_VALUE"""),"พรสุดา")</f>
        <v>พรสุดา</v>
      </c>
      <c r="E86" s="1" t="str">
        <f>IFERROR(__xludf.DUMMYFUNCTION("""COMPUTED_VALUE"""),"นามกุณี")</f>
        <v>นามกุณี</v>
      </c>
      <c r="F86" s="2" t="str">
        <f>IFERROR(__xludf.DUMMYFUNCTION("""COMPUTED_VALUE"""),"ภาษาต่างประเทศ")</f>
        <v>ภาษาต่างประเทศ</v>
      </c>
      <c r="G86" s="1" t="str">
        <f>IFERROR(__xludf.DUMMYFUNCTION("""COMPUTED_VALUE"""),"pornsuda.mink31@gmail.com")</f>
        <v>pornsuda.mink31@gmail.com</v>
      </c>
      <c r="H86" s="1"/>
      <c r="I86" s="1" t="str">
        <f>IFERROR(__xludf.DUMMYFUNCTION("""COMPUTED_VALUE"""),"111222")</f>
        <v>111222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">
        <f>IFERROR(__xludf.DUMMYFUNCTION("""COMPUTED_VALUE"""),1.199600070854E12)</f>
        <v>1199600070854</v>
      </c>
      <c r="B87" s="2">
        <f>IFERROR(__xludf.DUMMYFUNCTION("""COMPUTED_VALUE"""),828.0)</f>
        <v>828</v>
      </c>
      <c r="C87" s="1" t="str">
        <f>IFERROR(__xludf.DUMMYFUNCTION("""COMPUTED_VALUE"""),"นางสาว")</f>
        <v>นางสาว</v>
      </c>
      <c r="D87" s="1" t="str">
        <f>IFERROR(__xludf.DUMMYFUNCTION("""COMPUTED_VALUE"""),"ศิรดา")</f>
        <v>ศิรดา</v>
      </c>
      <c r="E87" s="1" t="str">
        <f>IFERROR(__xludf.DUMMYFUNCTION("""COMPUTED_VALUE"""),"ศรีวิลักษณ์")</f>
        <v>ศรีวิลักษณ์</v>
      </c>
      <c r="F87" s="2" t="str">
        <f>IFERROR(__xludf.DUMMYFUNCTION("""COMPUTED_VALUE"""),"ภาษาต่างประเทศ")</f>
        <v>ภาษาต่างประเทศ</v>
      </c>
      <c r="G87" s="1" t="str">
        <f>IFERROR(__xludf.DUMMYFUNCTION("""COMPUTED_VALUE"""),"sirada@ptnk.ac.th")</f>
        <v>sirada@ptnk.ac.th</v>
      </c>
      <c r="H87" s="1"/>
      <c r="I87" s="1" t="str">
        <f>IFERROR(__xludf.DUMMYFUNCTION("""COMPUTED_VALUE"""),"936759")</f>
        <v>936759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">
        <f>IFERROR(__xludf.DUMMYFUNCTION("""COMPUTED_VALUE"""),1.16010044188E12)</f>
        <v>1160100441880</v>
      </c>
      <c r="B88" s="2">
        <f>IFERROR(__xludf.DUMMYFUNCTION("""COMPUTED_VALUE"""),831.0)</f>
        <v>831</v>
      </c>
      <c r="C88" s="1" t="str">
        <f>IFERROR(__xludf.DUMMYFUNCTION("""COMPUTED_VALUE"""),"นางสาว")</f>
        <v>นางสาว</v>
      </c>
      <c r="D88" s="1" t="str">
        <f>IFERROR(__xludf.DUMMYFUNCTION("""COMPUTED_VALUE"""),"สุภาภรณ์")</f>
        <v>สุภาภรณ์</v>
      </c>
      <c r="E88" s="1" t="str">
        <f>IFERROR(__xludf.DUMMYFUNCTION("""COMPUTED_VALUE"""),"แก่นรอด")</f>
        <v>แก่นรอด</v>
      </c>
      <c r="F88" s="2" t="str">
        <f>IFERROR(__xludf.DUMMYFUNCTION("""COMPUTED_VALUE"""),"ภาษาต่างประเทศ")</f>
        <v>ภาษาต่างประเทศ</v>
      </c>
      <c r="G88" s="1" t="str">
        <f>IFERROR(__xludf.DUMMYFUNCTION("""COMPUTED_VALUE"""),"mynameisjaa@ptnk.ac.th")</f>
        <v>mynameisjaa@ptnk.ac.th</v>
      </c>
      <c r="H88" s="1"/>
      <c r="I88" s="1" t="str">
        <f>IFERROR(__xludf.DUMMYFUNCTION("""COMPUTED_VALUE"""),"290637")</f>
        <v>290637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">
        <f>IFERROR(__xludf.DUMMYFUNCTION("""COMPUTED_VALUE"""),1.160100348766E12)</f>
        <v>1160100348766</v>
      </c>
      <c r="B89" s="2">
        <f>IFERROR(__xludf.DUMMYFUNCTION("""COMPUTED_VALUE"""),832.0)</f>
        <v>832</v>
      </c>
      <c r="C89" s="1" t="str">
        <f>IFERROR(__xludf.DUMMYFUNCTION("""COMPUTED_VALUE"""),"นางสาว")</f>
        <v>นางสาว</v>
      </c>
      <c r="D89" s="1" t="str">
        <f>IFERROR(__xludf.DUMMYFUNCTION("""COMPUTED_VALUE"""),"ณัฐนรี")</f>
        <v>ณัฐนรี</v>
      </c>
      <c r="E89" s="1" t="str">
        <f>IFERROR(__xludf.DUMMYFUNCTION("""COMPUTED_VALUE"""),"เคียงกลาง")</f>
        <v>เคียงกลาง</v>
      </c>
      <c r="F89" s="2" t="str">
        <f>IFERROR(__xludf.DUMMYFUNCTION("""COMPUTED_VALUE"""),"ภาษาต่างประเทศ")</f>
        <v>ภาษาต่างประเทศ</v>
      </c>
      <c r="G89" s="1" t="str">
        <f>IFERROR(__xludf.DUMMYFUNCTION("""COMPUTED_VALUE"""),"korkaewlee@gmail.com")</f>
        <v>korkaewlee@gmail.com</v>
      </c>
      <c r="H89" s="1"/>
      <c r="I89" s="1" t="str">
        <f>IFERROR(__xludf.DUMMYFUNCTION("""COMPUTED_VALUE"""),"151291")</f>
        <v>151291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">
        <f>IFERROR(__xludf.DUMMYFUNCTION("""COMPUTED_VALUE"""),1.16010018657E12)</f>
        <v>1160100186570</v>
      </c>
      <c r="B90" s="2">
        <f>IFERROR(__xludf.DUMMYFUNCTION("""COMPUTED_VALUE"""),834.0)</f>
        <v>834</v>
      </c>
      <c r="C90" s="1" t="str">
        <f>IFERROR(__xludf.DUMMYFUNCTION("""COMPUTED_VALUE"""),"นางสาว")</f>
        <v>นางสาว</v>
      </c>
      <c r="D90" s="1" t="str">
        <f>IFERROR(__xludf.DUMMYFUNCTION("""COMPUTED_VALUE"""),"กรรณิกา")</f>
        <v>กรรณิกา</v>
      </c>
      <c r="E90" s="1" t="str">
        <f>IFERROR(__xludf.DUMMYFUNCTION("""COMPUTED_VALUE"""),"เพียรพิจารณ์")</f>
        <v>เพียรพิจารณ์</v>
      </c>
      <c r="F90" s="2" t="str">
        <f>IFERROR(__xludf.DUMMYFUNCTION("""COMPUTED_VALUE"""),"ภาษาต่างประเทศ")</f>
        <v>ภาษาต่างประเทศ</v>
      </c>
      <c r="G90" s="1" t="str">
        <f>IFERROR(__xludf.DUMMYFUNCTION("""COMPUTED_VALUE"""),"sassygirl1108@hotmail.com")</f>
        <v>sassygirl1108@hotmail.com</v>
      </c>
      <c r="H90" s="1"/>
      <c r="I90" s="1" t="str">
        <f>IFERROR(__xludf.DUMMYFUNCTION("""COMPUTED_VALUE"""),"181160")</f>
        <v>181160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">
        <f>IFERROR(__xludf.DUMMYFUNCTION("""COMPUTED_VALUE"""),1.679900196778E12)</f>
        <v>1679900196778</v>
      </c>
      <c r="B91" s="2">
        <f>IFERROR(__xludf.DUMMYFUNCTION("""COMPUTED_VALUE"""),835.0)</f>
        <v>835</v>
      </c>
      <c r="C91" s="1" t="str">
        <f>IFERROR(__xludf.DUMMYFUNCTION("""COMPUTED_VALUE"""),"นางสาว")</f>
        <v>นางสาว</v>
      </c>
      <c r="D91" s="1" t="str">
        <f>IFERROR(__xludf.DUMMYFUNCTION("""COMPUTED_VALUE"""),"จีรญาดา")</f>
        <v>จีรญาดา</v>
      </c>
      <c r="E91" s="1" t="str">
        <f>IFERROR(__xludf.DUMMYFUNCTION("""COMPUTED_VALUE"""),"ทองมีใย")</f>
        <v>ทองมีใย</v>
      </c>
      <c r="F91" s="2" t="str">
        <f>IFERROR(__xludf.DUMMYFUNCTION("""COMPUTED_VALUE"""),"ภาษาต่างประเทศ")</f>
        <v>ภาษาต่างประเทศ</v>
      </c>
      <c r="G91" s="1" t="str">
        <f>IFERROR(__xludf.DUMMYFUNCTION("""COMPUTED_VALUE"""),"yingon2929@gmail.com")</f>
        <v>yingon2929@gmail.com</v>
      </c>
      <c r="H91" s="1"/>
      <c r="I91" s="1" t="str">
        <f>IFERROR(__xludf.DUMMYFUNCTION("""COMPUTED_VALUE"""),"290729")</f>
        <v>290729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">
        <f>IFERROR(__xludf.DUMMYFUNCTION("""COMPUTED_VALUE"""),3.169900103649E12)</f>
        <v>3169900103649</v>
      </c>
      <c r="B92" s="2">
        <f>IFERROR(__xludf.DUMMYFUNCTION("""COMPUTED_VALUE"""),836.0)</f>
        <v>836</v>
      </c>
      <c r="C92" s="1" t="str">
        <f>IFERROR(__xludf.DUMMYFUNCTION("""COMPUTED_VALUE"""),"นาย")</f>
        <v>นาย</v>
      </c>
      <c r="D92" s="1" t="str">
        <f>IFERROR(__xludf.DUMMYFUNCTION("""COMPUTED_VALUE"""),"ฉัฐพิพัฒน์")</f>
        <v>ฉัฐพิพัฒน์</v>
      </c>
      <c r="E92" s="1" t="str">
        <f>IFERROR(__xludf.DUMMYFUNCTION("""COMPUTED_VALUE"""),"สืบเพ็ง")</f>
        <v>สืบเพ็ง</v>
      </c>
      <c r="F92" s="2" t="str">
        <f>IFERROR(__xludf.DUMMYFUNCTION("""COMPUTED_VALUE"""),"ภาษาต่างประเทศ")</f>
        <v>ภาษาต่างประเทศ</v>
      </c>
      <c r="G92" s="1" t="str">
        <f>IFERROR(__xludf.DUMMYFUNCTION("""COMPUTED_VALUE"""),"anuraknature42@gmail.com")</f>
        <v>anuraknature42@gmail.com</v>
      </c>
      <c r="H92" s="1"/>
      <c r="I92" s="1" t="str">
        <f>IFERROR(__xludf.DUMMYFUNCTION("""COMPUTED_VALUE"""),"052522")</f>
        <v>052522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>
        <f>IFERROR(__xludf.DUMMYFUNCTION("""COMPUTED_VALUE"""),1.103703054082E12)</f>
        <v>1103703054082</v>
      </c>
      <c r="B93" s="2">
        <f>IFERROR(__xludf.DUMMYFUNCTION("""COMPUTED_VALUE"""),837.0)</f>
        <v>837</v>
      </c>
      <c r="C93" s="1" t="str">
        <f>IFERROR(__xludf.DUMMYFUNCTION("""COMPUTED_VALUE"""),"นางสาว")</f>
        <v>นางสาว</v>
      </c>
      <c r="D93" s="1" t="str">
        <f>IFERROR(__xludf.DUMMYFUNCTION("""COMPUTED_VALUE"""),"อุไรวรรณ")</f>
        <v>อุไรวรรณ</v>
      </c>
      <c r="E93" s="1" t="str">
        <f>IFERROR(__xludf.DUMMYFUNCTION("""COMPUTED_VALUE"""),"วันดี")</f>
        <v>วันดี</v>
      </c>
      <c r="F93" s="2" t="str">
        <f>IFERROR(__xludf.DUMMYFUNCTION("""COMPUTED_VALUE"""),"ภาษาต่างประเทศ")</f>
        <v>ภาษาต่างประเทศ</v>
      </c>
      <c r="G93" s="1" t="str">
        <f>IFERROR(__xludf.DUMMYFUNCTION("""COMPUTED_VALUE"""),"cutoutppp@gmail.com")</f>
        <v>cutoutppp@gmail.com</v>
      </c>
      <c r="H93" s="1"/>
      <c r="I93" s="1" t="str">
        <f>IFERROR(__xludf.DUMMYFUNCTION("""COMPUTED_VALUE"""),"130160")</f>
        <v>130160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">
        <f>IFERROR(__xludf.DUMMYFUNCTION("""COMPUTED_VALUE"""),1.160400184025E12)</f>
        <v>1160400184025</v>
      </c>
      <c r="B94" s="2">
        <f>IFERROR(__xludf.DUMMYFUNCTION("""COMPUTED_VALUE"""),839.0)</f>
        <v>839</v>
      </c>
      <c r="C94" s="1" t="str">
        <f>IFERROR(__xludf.DUMMYFUNCTION("""COMPUTED_VALUE"""),"นางสาว")</f>
        <v>นางสาว</v>
      </c>
      <c r="D94" s="1" t="str">
        <f>IFERROR(__xludf.DUMMYFUNCTION("""COMPUTED_VALUE"""),"มนันยา")</f>
        <v>มนันยา</v>
      </c>
      <c r="E94" s="1" t="str">
        <f>IFERROR(__xludf.DUMMYFUNCTION("""COMPUTED_VALUE"""),"พิไสยสามนต์เขต")</f>
        <v>พิไสยสามนต์เขต</v>
      </c>
      <c r="F94" s="2" t="str">
        <f>IFERROR(__xludf.DUMMYFUNCTION("""COMPUTED_VALUE"""),"ภาษาต่างประเทศ")</f>
        <v>ภาษาต่างประเทศ</v>
      </c>
      <c r="G94" s="1" t="str">
        <f>IFERROR(__xludf.DUMMYFUNCTION("""COMPUTED_VALUE"""),"mananya.mammoth@gmail.com")</f>
        <v>mananya.mammoth@gmail.com</v>
      </c>
      <c r="H94" s="1"/>
      <c r="I94" s="1" t="str">
        <f>IFERROR(__xludf.DUMMYFUNCTION("""COMPUTED_VALUE"""),"184025")</f>
        <v>184025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">
        <f>IFERROR(__xludf.DUMMYFUNCTION("""COMPUTED_VALUE"""),1.159900189296E12)</f>
        <v>1159900189296</v>
      </c>
      <c r="B95" s="2">
        <f>IFERROR(__xludf.DUMMYFUNCTION("""COMPUTED_VALUE"""),840.0)</f>
        <v>840</v>
      </c>
      <c r="C95" s="1" t="str">
        <f>IFERROR(__xludf.DUMMYFUNCTION("""COMPUTED_VALUE"""),"นางสาว")</f>
        <v>นางสาว</v>
      </c>
      <c r="D95" s="1" t="str">
        <f>IFERROR(__xludf.DUMMYFUNCTION("""COMPUTED_VALUE"""),"วัฒมน")</f>
        <v>วัฒมน</v>
      </c>
      <c r="E95" s="1" t="str">
        <f>IFERROR(__xludf.DUMMYFUNCTION("""COMPUTED_VALUE"""),"ระฤกชาติ")</f>
        <v>ระฤกชาติ</v>
      </c>
      <c r="F95" s="2" t="str">
        <f>IFERROR(__xludf.DUMMYFUNCTION("""COMPUTED_VALUE"""),"ภาษาต่างประเทศ")</f>
        <v>ภาษาต่างประเทศ</v>
      </c>
      <c r="G95" s="1" t="str">
        <f>IFERROR(__xludf.DUMMYFUNCTION("""COMPUTED_VALUE"""),"wattamon.r@ptnk.ac.th")</f>
        <v>wattamon.r@ptnk.ac.th</v>
      </c>
      <c r="H95" s="1"/>
      <c r="I95" s="1" t="str">
        <f>IFERROR(__xludf.DUMMYFUNCTION("""COMPUTED_VALUE"""),"100588")</f>
        <v>100588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>
        <f>IFERROR(__xludf.DUMMYFUNCTION("""COMPUTED_VALUE"""),1.369900407496E12)</f>
        <v>1369900407496</v>
      </c>
      <c r="B96" s="2">
        <f>IFERROR(__xludf.DUMMYFUNCTION("""COMPUTED_VALUE"""),841.0)</f>
        <v>841</v>
      </c>
      <c r="C96" s="1" t="str">
        <f>IFERROR(__xludf.DUMMYFUNCTION("""COMPUTED_VALUE"""),"นางสาว")</f>
        <v>นางสาว</v>
      </c>
      <c r="D96" s="1" t="str">
        <f>IFERROR(__xludf.DUMMYFUNCTION("""COMPUTED_VALUE"""),"สุดารัตน์")</f>
        <v>สุดารัตน์</v>
      </c>
      <c r="E96" s="1" t="str">
        <f>IFERROR(__xludf.DUMMYFUNCTION("""COMPUTED_VALUE"""),"เหวชัยภูมิ")</f>
        <v>เหวชัยภูมิ</v>
      </c>
      <c r="F96" s="2" t="str">
        <f>IFERROR(__xludf.DUMMYFUNCTION("""COMPUTED_VALUE"""),"ภาษาต่างประเทศ")</f>
        <v>ภาษาต่างประเทศ</v>
      </c>
      <c r="G96" s="1" t="str">
        <f>IFERROR(__xludf.DUMMYFUNCTION("""COMPUTED_VALUE"""),"cutoutppp@gmail.com")</f>
        <v>cutoutppp@gmail.com</v>
      </c>
      <c r="H96" s="1"/>
      <c r="I96" s="1" t="str">
        <f>IFERROR(__xludf.DUMMYFUNCTION("""COMPUTED_VALUE"""),"098752")</f>
        <v>098752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">
        <f>IFERROR(__xludf.DUMMYFUNCTION("""COMPUTED_VALUE"""),1.300800224529E12)</f>
        <v>1300800224529</v>
      </c>
      <c r="B97" s="2">
        <f>IFERROR(__xludf.DUMMYFUNCTION("""COMPUTED_VALUE"""),842.0)</f>
        <v>842</v>
      </c>
      <c r="C97" s="1" t="str">
        <f>IFERROR(__xludf.DUMMYFUNCTION("""COMPUTED_VALUE"""),"นางสาว")</f>
        <v>นางสาว</v>
      </c>
      <c r="D97" s="1" t="str">
        <f>IFERROR(__xludf.DUMMYFUNCTION("""COMPUTED_VALUE"""),"วิภา")</f>
        <v>วิภา</v>
      </c>
      <c r="E97" s="1" t="str">
        <f>IFERROR(__xludf.DUMMYFUNCTION("""COMPUTED_VALUE"""),"ศรีไพร")</f>
        <v>ศรีไพร</v>
      </c>
      <c r="F97" s="2" t="str">
        <f>IFERROR(__xludf.DUMMYFUNCTION("""COMPUTED_VALUE"""),"ภาษาต่างประเทศ")</f>
        <v>ภาษาต่างประเทศ</v>
      </c>
      <c r="G97" s="1" t="str">
        <f>IFERROR(__xludf.DUMMYFUNCTION("""COMPUTED_VALUE"""),"jibjib_lovely@hotmail.co.th")</f>
        <v>jibjib_lovely@hotmail.co.th</v>
      </c>
      <c r="H97" s="1"/>
      <c r="I97" s="1" t="str">
        <f>IFERROR(__xludf.DUMMYFUNCTION("""COMPUTED_VALUE"""),"310336")</f>
        <v>310336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">
        <f>IFERROR(__xludf.DUMMYFUNCTION("""COMPUTED_VALUE"""),3.630200383743E12)</f>
        <v>3630200383743</v>
      </c>
      <c r="B98" s="2">
        <f>IFERROR(__xludf.DUMMYFUNCTION("""COMPUTED_VALUE"""),903.0)</f>
        <v>903</v>
      </c>
      <c r="C98" s="1" t="str">
        <f>IFERROR(__xludf.DUMMYFUNCTION("""COMPUTED_VALUE"""),"นาง")</f>
        <v>นาง</v>
      </c>
      <c r="D98" s="1" t="str">
        <f>IFERROR(__xludf.DUMMYFUNCTION("""COMPUTED_VALUE"""),"กาญจนา")</f>
        <v>กาญจนา</v>
      </c>
      <c r="E98" s="1" t="str">
        <f>IFERROR(__xludf.DUMMYFUNCTION("""COMPUTED_VALUE"""),"พันธุรักษ์")</f>
        <v>พันธุรักษ์</v>
      </c>
      <c r="F98" s="2" t="str">
        <f>IFERROR(__xludf.DUMMYFUNCTION("""COMPUTED_VALUE"""),"แนะแนว")</f>
        <v>แนะแนว</v>
      </c>
      <c r="G98" s="1" t="str">
        <f>IFERROR(__xludf.DUMMYFUNCTION("""COMPUTED_VALUE"""),"taayari@gmail.com")</f>
        <v>taayari@gmail.com</v>
      </c>
      <c r="H98" s="1"/>
      <c r="I98" s="1" t="str">
        <f>IFERROR(__xludf.DUMMYFUNCTION("""COMPUTED_VALUE"""),"127704")</f>
        <v>127704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">
        <f>IFERROR(__xludf.DUMMYFUNCTION("""COMPUTED_VALUE"""),1.309901306375E12)</f>
        <v>1309901306375</v>
      </c>
      <c r="B99" s="2">
        <f>IFERROR(__xludf.DUMMYFUNCTION("""COMPUTED_VALUE"""),904.0)</f>
        <v>904</v>
      </c>
      <c r="C99" s="1" t="str">
        <f>IFERROR(__xludf.DUMMYFUNCTION("""COMPUTED_VALUE"""),"นางสาว")</f>
        <v>นางสาว</v>
      </c>
      <c r="D99" s="1" t="str">
        <f>IFERROR(__xludf.DUMMYFUNCTION("""COMPUTED_VALUE"""),"ดวงฤทัย")</f>
        <v>ดวงฤทัย</v>
      </c>
      <c r="E99" s="1" t="str">
        <f>IFERROR(__xludf.DUMMYFUNCTION("""COMPUTED_VALUE"""),"ลำใยจร")</f>
        <v>ลำใยจร</v>
      </c>
      <c r="F99" s="2" t="str">
        <f>IFERROR(__xludf.DUMMYFUNCTION("""COMPUTED_VALUE"""),"แนะแนว")</f>
        <v>แนะแนว</v>
      </c>
      <c r="G99" s="1" t="str">
        <f>IFERROR(__xludf.DUMMYFUNCTION("""COMPUTED_VALUE"""),"Doungrutai09@ptnk.ac.th")</f>
        <v>Doungrutai09@ptnk.ac.th</v>
      </c>
      <c r="H99" s="1"/>
      <c r="I99" s="1" t="str">
        <f>IFERROR(__xludf.DUMMYFUNCTION("""COMPUTED_VALUE"""),"123456")</f>
        <v>123456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tr">
        <f>IFERROR(__xludf.DUMMYFUNCTION("IMPORTRANGE(""https://docs.google.com/spreadsheets/d/1-FZKnLsskjnzqpwzQ3eFIFX5oUVCwVDFiCzOIjokwL8/edit?gid=1132324994#gid=1132324994"", ""View_ClassTeacher!A:Z"")"),"กลุ่ม-ห้อง")</f>
        <v>กลุ่ม-ห้อง</v>
      </c>
      <c r="B1" s="1" t="str">
        <f>IFERROR(__xludf.DUMMYFUNCTION("""COMPUTED_VALUE"""),"ลำดับที่")</f>
        <v>ลำดับที่</v>
      </c>
      <c r="C1" s="1" t="str">
        <f>IFERROR(__xludf.DUMMYFUNCTION("""COMPUTED_VALUE"""),"รหัสวิชา")</f>
        <v>รหัสวิชา</v>
      </c>
      <c r="D1" s="1" t="str">
        <f>IFERROR(__xludf.DUMMYFUNCTION("""COMPUTED_VALUE"""),"วิชา")</f>
        <v>วิชา</v>
      </c>
      <c r="E1" s="1" t="str">
        <f>IFERROR(__xludf.DUMMYFUNCTION("""COMPUTED_VALUE"""),"หน่วยกิต")</f>
        <v>หน่วยกิต</v>
      </c>
      <c r="F1" s="1" t="str">
        <f>IFERROR(__xludf.DUMMYFUNCTION("""COMPUTED_VALUE"""),"ปีการศึกษา")</f>
        <v>ปีการศึกษา</v>
      </c>
      <c r="G1" s="1" t="str">
        <f>IFERROR(__xludf.DUMMYFUNCTION("""COMPUTED_VALUE"""),"ภาคเรียนที่")</f>
        <v>ภาคเรียนที่</v>
      </c>
      <c r="H1" s="1" t="str">
        <f>IFERROR(__xludf.DUMMYFUNCTION("""COMPUTED_VALUE"""),"รหัสครู")</f>
        <v>รหัสครู</v>
      </c>
      <c r="I1" s="1" t="str">
        <f>IFERROR(__xludf.DUMMYFUNCTION("""COMPUTED_VALUE"""),"คำนำหน้า")</f>
        <v>คำนำหน้า</v>
      </c>
      <c r="J1" s="1" t="str">
        <f>IFERROR(__xludf.DUMMYFUNCTION("""COMPUTED_VALUE"""),"ชื่อ")</f>
        <v>ชื่อ</v>
      </c>
      <c r="K1" s="1" t="str">
        <f>IFERROR(__xludf.DUMMYFUNCTION("""COMPUTED_VALUE"""),"นามสกุล")</f>
        <v>นามสกุล</v>
      </c>
      <c r="L1" s="1" t="str">
        <f>IFERROR(__xludf.DUMMYFUNCTION("""COMPUTED_VALUE"""),"ชั้น")</f>
        <v>ชั้น</v>
      </c>
      <c r="M1" s="1" t="str">
        <f>IFERROR(__xludf.DUMMYFUNCTION("""COMPUTED_VALUE"""),"กลุ่มสาระ")</f>
        <v>กลุ่มสาระ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>
        <f>IFERROR(__xludf.DUMMYFUNCTION("""COMPUTED_VALUE"""),1.0)</f>
        <v>1</v>
      </c>
      <c r="B2" s="1">
        <f>IFERROR(__xludf.DUMMYFUNCTION("""COMPUTED_VALUE"""),1.0)</f>
        <v>1</v>
      </c>
      <c r="C2" s="1" t="str">
        <f>IFERROR(__xludf.DUMMYFUNCTION("""COMPUTED_VALUE"""),"ท21101")</f>
        <v>ท21101</v>
      </c>
      <c r="D2" s="1" t="str">
        <f>IFERROR(__xludf.DUMMYFUNCTION("""COMPUTED_VALUE"""),"ภาษาไทย 1")</f>
        <v>ภาษาไทย 1</v>
      </c>
      <c r="E2" s="1">
        <f>IFERROR(__xludf.DUMMYFUNCTION("""COMPUTED_VALUE"""),1.5)</f>
        <v>1.5</v>
      </c>
      <c r="F2" s="1">
        <f>IFERROR(__xludf.DUMMYFUNCTION("""COMPUTED_VALUE"""),2569.0)</f>
        <v>2569</v>
      </c>
      <c r="G2" s="1">
        <f>IFERROR(__xludf.DUMMYFUNCTION("""COMPUTED_VALUE"""),1.0)</f>
        <v>1</v>
      </c>
      <c r="H2" s="1">
        <f>IFERROR(__xludf.DUMMYFUNCTION("""COMPUTED_VALUE"""),119.0)</f>
        <v>119</v>
      </c>
      <c r="I2" s="1" t="str">
        <f>IFERROR(__xludf.DUMMYFUNCTION("""COMPUTED_VALUE"""),"นาง")</f>
        <v>นาง</v>
      </c>
      <c r="J2" s="1" t="str">
        <f>IFERROR(__xludf.DUMMYFUNCTION("""COMPUTED_VALUE"""),"อรนุช")</f>
        <v>อรนุช</v>
      </c>
      <c r="K2" s="1" t="str">
        <f>IFERROR(__xludf.DUMMYFUNCTION("""COMPUTED_VALUE"""),"เอี่ยมธรรม")</f>
        <v>เอี่ยมธรรม</v>
      </c>
      <c r="L2" s="1" t="str">
        <f>IFERROR(__xludf.DUMMYFUNCTION("""COMPUTED_VALUE"""),"ม.1")</f>
        <v>ม.1</v>
      </c>
      <c r="M2" s="1" t="str">
        <f>IFERROR(__xludf.DUMMYFUNCTION("""COMPUTED_VALUE"""),"ภาษาไทย")</f>
        <v>ภาษาไทย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>
        <f>IFERROR(__xludf.DUMMYFUNCTION("""COMPUTED_VALUE"""),4.0)</f>
        <v>4</v>
      </c>
      <c r="B3" s="1">
        <f>IFERROR(__xludf.DUMMYFUNCTION("""COMPUTED_VALUE"""),1.0)</f>
        <v>1</v>
      </c>
      <c r="C3" s="1" t="str">
        <f>IFERROR(__xludf.DUMMYFUNCTION("""COMPUTED_VALUE"""),"ท21101")</f>
        <v>ท21101</v>
      </c>
      <c r="D3" s="1" t="str">
        <f>IFERROR(__xludf.DUMMYFUNCTION("""COMPUTED_VALUE"""),"ภาษาไทย 1")</f>
        <v>ภาษาไทย 1</v>
      </c>
      <c r="E3" s="1">
        <f>IFERROR(__xludf.DUMMYFUNCTION("""COMPUTED_VALUE"""),1.5)</f>
        <v>1.5</v>
      </c>
      <c r="F3" s="1">
        <f>IFERROR(__xludf.DUMMYFUNCTION("""COMPUTED_VALUE"""),2569.0)</f>
        <v>2569</v>
      </c>
      <c r="G3" s="1">
        <f>IFERROR(__xludf.DUMMYFUNCTION("""COMPUTED_VALUE"""),1.0)</f>
        <v>1</v>
      </c>
      <c r="H3" s="1">
        <f>IFERROR(__xludf.DUMMYFUNCTION("""COMPUTED_VALUE"""),119.0)</f>
        <v>119</v>
      </c>
      <c r="I3" s="1" t="str">
        <f>IFERROR(__xludf.DUMMYFUNCTION("""COMPUTED_VALUE"""),"นาง")</f>
        <v>นาง</v>
      </c>
      <c r="J3" s="1" t="str">
        <f>IFERROR(__xludf.DUMMYFUNCTION("""COMPUTED_VALUE"""),"อรนุช")</f>
        <v>อรนุช</v>
      </c>
      <c r="K3" s="1" t="str">
        <f>IFERROR(__xludf.DUMMYFUNCTION("""COMPUTED_VALUE"""),"เอี่ยมธรรม")</f>
        <v>เอี่ยมธรรม</v>
      </c>
      <c r="L3" s="1" t="str">
        <f>IFERROR(__xludf.DUMMYFUNCTION("""COMPUTED_VALUE"""),"ม.1")</f>
        <v>ม.1</v>
      </c>
      <c r="M3" s="1" t="str">
        <f>IFERROR(__xludf.DUMMYFUNCTION("""COMPUTED_VALUE"""),"ภาษาไทย")</f>
        <v>ภาษาไทย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f>IFERROR(__xludf.DUMMYFUNCTION("""COMPUTED_VALUE"""),5.0)</f>
        <v>5</v>
      </c>
      <c r="B4" s="1">
        <f>IFERROR(__xludf.DUMMYFUNCTION("""COMPUTED_VALUE"""),1.0)</f>
        <v>1</v>
      </c>
      <c r="C4" s="1" t="str">
        <f>IFERROR(__xludf.DUMMYFUNCTION("""COMPUTED_VALUE"""),"ท21101")</f>
        <v>ท21101</v>
      </c>
      <c r="D4" s="1" t="str">
        <f>IFERROR(__xludf.DUMMYFUNCTION("""COMPUTED_VALUE"""),"ภาษาไทย 1")</f>
        <v>ภาษาไทย 1</v>
      </c>
      <c r="E4" s="1">
        <f>IFERROR(__xludf.DUMMYFUNCTION("""COMPUTED_VALUE"""),1.5)</f>
        <v>1.5</v>
      </c>
      <c r="F4" s="1">
        <f>IFERROR(__xludf.DUMMYFUNCTION("""COMPUTED_VALUE"""),2569.0)</f>
        <v>2569</v>
      </c>
      <c r="G4" s="1">
        <f>IFERROR(__xludf.DUMMYFUNCTION("""COMPUTED_VALUE"""),1.0)</f>
        <v>1</v>
      </c>
      <c r="H4" s="1">
        <f>IFERROR(__xludf.DUMMYFUNCTION("""COMPUTED_VALUE"""),119.0)</f>
        <v>119</v>
      </c>
      <c r="I4" s="1" t="str">
        <f>IFERROR(__xludf.DUMMYFUNCTION("""COMPUTED_VALUE"""),"นาง")</f>
        <v>นาง</v>
      </c>
      <c r="J4" s="1" t="str">
        <f>IFERROR(__xludf.DUMMYFUNCTION("""COMPUTED_VALUE"""),"อรนุช")</f>
        <v>อรนุช</v>
      </c>
      <c r="K4" s="1" t="str">
        <f>IFERROR(__xludf.DUMMYFUNCTION("""COMPUTED_VALUE"""),"เอี่ยมธรรม")</f>
        <v>เอี่ยมธรรม</v>
      </c>
      <c r="L4" s="1" t="str">
        <f>IFERROR(__xludf.DUMMYFUNCTION("""COMPUTED_VALUE"""),"ม.1")</f>
        <v>ม.1</v>
      </c>
      <c r="M4" s="1" t="str">
        <f>IFERROR(__xludf.DUMMYFUNCTION("""COMPUTED_VALUE"""),"ภาษาไทย")</f>
        <v>ภาษาไทย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f>IFERROR(__xludf.DUMMYFUNCTION("""COMPUTED_VALUE"""),6.0)</f>
        <v>6</v>
      </c>
      <c r="B5" s="1">
        <f>IFERROR(__xludf.DUMMYFUNCTION("""COMPUTED_VALUE"""),1.0)</f>
        <v>1</v>
      </c>
      <c r="C5" s="1" t="str">
        <f>IFERROR(__xludf.DUMMYFUNCTION("""COMPUTED_VALUE"""),"ท21101")</f>
        <v>ท21101</v>
      </c>
      <c r="D5" s="1" t="str">
        <f>IFERROR(__xludf.DUMMYFUNCTION("""COMPUTED_VALUE"""),"ภาษาไทย 1")</f>
        <v>ภาษาไทย 1</v>
      </c>
      <c r="E5" s="1">
        <f>IFERROR(__xludf.DUMMYFUNCTION("""COMPUTED_VALUE"""),1.5)</f>
        <v>1.5</v>
      </c>
      <c r="F5" s="1">
        <f>IFERROR(__xludf.DUMMYFUNCTION("""COMPUTED_VALUE"""),2569.0)</f>
        <v>2569</v>
      </c>
      <c r="G5" s="1">
        <f>IFERROR(__xludf.DUMMYFUNCTION("""COMPUTED_VALUE"""),1.0)</f>
        <v>1</v>
      </c>
      <c r="H5" s="1">
        <f>IFERROR(__xludf.DUMMYFUNCTION("""COMPUTED_VALUE"""),119.0)</f>
        <v>119</v>
      </c>
      <c r="I5" s="1" t="str">
        <f>IFERROR(__xludf.DUMMYFUNCTION("""COMPUTED_VALUE"""),"นาง")</f>
        <v>นาง</v>
      </c>
      <c r="J5" s="1" t="str">
        <f>IFERROR(__xludf.DUMMYFUNCTION("""COMPUTED_VALUE"""),"อรนุช")</f>
        <v>อรนุช</v>
      </c>
      <c r="K5" s="1" t="str">
        <f>IFERROR(__xludf.DUMMYFUNCTION("""COMPUTED_VALUE"""),"เอี่ยมธรรม")</f>
        <v>เอี่ยมธรรม</v>
      </c>
      <c r="L5" s="1" t="str">
        <f>IFERROR(__xludf.DUMMYFUNCTION("""COMPUTED_VALUE"""),"ม.1")</f>
        <v>ม.1</v>
      </c>
      <c r="M5" s="1" t="str">
        <f>IFERROR(__xludf.DUMMYFUNCTION("""COMPUTED_VALUE"""),"ภาษาไทย")</f>
        <v>ภาษาไทย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f>IFERROR(__xludf.DUMMYFUNCTION("""COMPUTED_VALUE"""),7.0)</f>
        <v>7</v>
      </c>
      <c r="B6" s="1">
        <f>IFERROR(__xludf.DUMMYFUNCTION("""COMPUTED_VALUE"""),1.0)</f>
        <v>1</v>
      </c>
      <c r="C6" s="1" t="str">
        <f>IFERROR(__xludf.DUMMYFUNCTION("""COMPUTED_VALUE"""),"ท21101")</f>
        <v>ท21101</v>
      </c>
      <c r="D6" s="1" t="str">
        <f>IFERROR(__xludf.DUMMYFUNCTION("""COMPUTED_VALUE"""),"ภาษาไทย 1")</f>
        <v>ภาษาไทย 1</v>
      </c>
      <c r="E6" s="1">
        <f>IFERROR(__xludf.DUMMYFUNCTION("""COMPUTED_VALUE"""),1.5)</f>
        <v>1.5</v>
      </c>
      <c r="F6" s="1">
        <f>IFERROR(__xludf.DUMMYFUNCTION("""COMPUTED_VALUE"""),2569.0)</f>
        <v>2569</v>
      </c>
      <c r="G6" s="1">
        <f>IFERROR(__xludf.DUMMYFUNCTION("""COMPUTED_VALUE"""),1.0)</f>
        <v>1</v>
      </c>
      <c r="H6" s="1">
        <f>IFERROR(__xludf.DUMMYFUNCTION("""COMPUTED_VALUE"""),119.0)</f>
        <v>119</v>
      </c>
      <c r="I6" s="1" t="str">
        <f>IFERROR(__xludf.DUMMYFUNCTION("""COMPUTED_VALUE"""),"นาง")</f>
        <v>นาง</v>
      </c>
      <c r="J6" s="1" t="str">
        <f>IFERROR(__xludf.DUMMYFUNCTION("""COMPUTED_VALUE"""),"อรนุช")</f>
        <v>อรนุช</v>
      </c>
      <c r="K6" s="1" t="str">
        <f>IFERROR(__xludf.DUMMYFUNCTION("""COMPUTED_VALUE"""),"เอี่ยมธรรม")</f>
        <v>เอี่ยมธรรม</v>
      </c>
      <c r="L6" s="1" t="str">
        <f>IFERROR(__xludf.DUMMYFUNCTION("""COMPUTED_VALUE"""),"ม.1")</f>
        <v>ม.1</v>
      </c>
      <c r="M6" s="1" t="str">
        <f>IFERROR(__xludf.DUMMYFUNCTION("""COMPUTED_VALUE"""),"ภาษาไทย")</f>
        <v>ภาษาไทย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f>IFERROR(__xludf.DUMMYFUNCTION("""COMPUTED_VALUE"""),6.0)</f>
        <v>6</v>
      </c>
      <c r="B7" s="1">
        <f>IFERROR(__xludf.DUMMYFUNCTION("""COMPUTED_VALUE"""),1.0)</f>
        <v>1</v>
      </c>
      <c r="C7" s="1" t="str">
        <f>IFERROR(__xludf.DUMMYFUNCTION("""COMPUTED_VALUE"""),"ส20227")</f>
        <v>ส20227</v>
      </c>
      <c r="D7" s="1" t="str">
        <f>IFERROR(__xludf.DUMMYFUNCTION("""COMPUTED_VALUE"""),"การป้องกันการทุจริต 5")</f>
        <v>การป้องกันการทุจริต 5</v>
      </c>
      <c r="E7" s="1">
        <f>IFERROR(__xludf.DUMMYFUNCTION("""COMPUTED_VALUE"""),0.5)</f>
        <v>0.5</v>
      </c>
      <c r="F7" s="1">
        <f>IFERROR(__xludf.DUMMYFUNCTION("""COMPUTED_VALUE"""),2569.0)</f>
        <v>2569</v>
      </c>
      <c r="G7" s="1">
        <f>IFERROR(__xludf.DUMMYFUNCTION("""COMPUTED_VALUE"""),1.0)</f>
        <v>1</v>
      </c>
      <c r="H7" s="1">
        <f>IFERROR(__xludf.DUMMYFUNCTION("""COMPUTED_VALUE"""),119.0)</f>
        <v>119</v>
      </c>
      <c r="I7" s="1" t="str">
        <f>IFERROR(__xludf.DUMMYFUNCTION("""COMPUTED_VALUE"""),"นาง")</f>
        <v>นาง</v>
      </c>
      <c r="J7" s="1" t="str">
        <f>IFERROR(__xludf.DUMMYFUNCTION("""COMPUTED_VALUE"""),"อรนุช")</f>
        <v>อรนุช</v>
      </c>
      <c r="K7" s="1" t="str">
        <f>IFERROR(__xludf.DUMMYFUNCTION("""COMPUTED_VALUE"""),"เอี่ยมธรรม")</f>
        <v>เอี่ยมธรรม</v>
      </c>
      <c r="L7" s="1" t="str">
        <f>IFERROR(__xludf.DUMMYFUNCTION("""COMPUTED_VALUE"""),"ม.3")</f>
        <v>ม.3</v>
      </c>
      <c r="M7" s="1" t="str">
        <f>IFERROR(__xludf.DUMMYFUNCTION("""COMPUTED_VALUE"""),"ภาษาไทย")</f>
        <v>ภาษาไทย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f>IFERROR(__xludf.DUMMYFUNCTION("""COMPUTED_VALUE"""),8.0)</f>
        <v>8</v>
      </c>
      <c r="B8" s="1">
        <f>IFERROR(__xludf.DUMMYFUNCTION("""COMPUTED_VALUE"""),1.0)</f>
        <v>1</v>
      </c>
      <c r="C8" s="1" t="str">
        <f>IFERROR(__xludf.DUMMYFUNCTION("""COMPUTED_VALUE"""),"I30201")</f>
        <v>I30201</v>
      </c>
      <c r="D8" s="1" t="str">
        <f>IFERROR(__xludf.DUMMYFUNCTION("""COMPUTED_VALUE"""),"การศึกษาค้นคว้าฯ")</f>
        <v>การศึกษาค้นคว้าฯ</v>
      </c>
      <c r="E8" s="1">
        <f>IFERROR(__xludf.DUMMYFUNCTION("""COMPUTED_VALUE"""),1.0)</f>
        <v>1</v>
      </c>
      <c r="F8" s="1">
        <f>IFERROR(__xludf.DUMMYFUNCTION("""COMPUTED_VALUE"""),2569.0)</f>
        <v>2569</v>
      </c>
      <c r="G8" s="1">
        <f>IFERROR(__xludf.DUMMYFUNCTION("""COMPUTED_VALUE"""),1.0)</f>
        <v>1</v>
      </c>
      <c r="H8" s="1">
        <f>IFERROR(__xludf.DUMMYFUNCTION("""COMPUTED_VALUE"""),119.0)</f>
        <v>119</v>
      </c>
      <c r="I8" s="1" t="str">
        <f>IFERROR(__xludf.DUMMYFUNCTION("""COMPUTED_VALUE"""),"นาง")</f>
        <v>นาง</v>
      </c>
      <c r="J8" s="1" t="str">
        <f>IFERROR(__xludf.DUMMYFUNCTION("""COMPUTED_VALUE"""),"อรนุช")</f>
        <v>อรนุช</v>
      </c>
      <c r="K8" s="1" t="str">
        <f>IFERROR(__xludf.DUMMYFUNCTION("""COMPUTED_VALUE"""),"เอี่ยมธรรม")</f>
        <v>เอี่ยมธรรม</v>
      </c>
      <c r="L8" s="1" t="str">
        <f>IFERROR(__xludf.DUMMYFUNCTION("""COMPUTED_VALUE"""),"ม.5")</f>
        <v>ม.5</v>
      </c>
      <c r="M8" s="1" t="str">
        <f>IFERROR(__xludf.DUMMYFUNCTION("""COMPUTED_VALUE"""),"ภาษาไทย")</f>
        <v>ภาษาไทย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f>IFERROR(__xludf.DUMMYFUNCTION("""COMPUTED_VALUE"""),9.0)</f>
        <v>9</v>
      </c>
      <c r="B9" s="1">
        <f>IFERROR(__xludf.DUMMYFUNCTION("""COMPUTED_VALUE"""),1.0)</f>
        <v>1</v>
      </c>
      <c r="C9" s="1" t="str">
        <f>IFERROR(__xludf.DUMMYFUNCTION("""COMPUTED_VALUE"""),"I30201")</f>
        <v>I30201</v>
      </c>
      <c r="D9" s="1" t="str">
        <f>IFERROR(__xludf.DUMMYFUNCTION("""COMPUTED_VALUE"""),"การศึกษาค้นคว้าฯ")</f>
        <v>การศึกษาค้นคว้าฯ</v>
      </c>
      <c r="E9" s="1">
        <f>IFERROR(__xludf.DUMMYFUNCTION("""COMPUTED_VALUE"""),1.0)</f>
        <v>1</v>
      </c>
      <c r="F9" s="1">
        <f>IFERROR(__xludf.DUMMYFUNCTION("""COMPUTED_VALUE"""),2569.0)</f>
        <v>2569</v>
      </c>
      <c r="G9" s="1">
        <f>IFERROR(__xludf.DUMMYFUNCTION("""COMPUTED_VALUE"""),1.0)</f>
        <v>1</v>
      </c>
      <c r="H9" s="1">
        <f>IFERROR(__xludf.DUMMYFUNCTION("""COMPUTED_VALUE"""),119.0)</f>
        <v>119</v>
      </c>
      <c r="I9" s="1" t="str">
        <f>IFERROR(__xludf.DUMMYFUNCTION("""COMPUTED_VALUE"""),"นาง")</f>
        <v>นาง</v>
      </c>
      <c r="J9" s="1" t="str">
        <f>IFERROR(__xludf.DUMMYFUNCTION("""COMPUTED_VALUE"""),"อรนุช")</f>
        <v>อรนุช</v>
      </c>
      <c r="K9" s="1" t="str">
        <f>IFERROR(__xludf.DUMMYFUNCTION("""COMPUTED_VALUE"""),"เอี่ยมธรรม")</f>
        <v>เอี่ยมธรรม</v>
      </c>
      <c r="L9" s="1" t="str">
        <f>IFERROR(__xludf.DUMMYFUNCTION("""COMPUTED_VALUE"""),"ม.5")</f>
        <v>ม.5</v>
      </c>
      <c r="M9" s="1" t="str">
        <f>IFERROR(__xludf.DUMMYFUNCTION("""COMPUTED_VALUE"""),"ภาษาไทย")</f>
        <v>ภาษาไทย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f>IFERROR(__xludf.DUMMYFUNCTION("""COMPUTED_VALUE"""),2.0)</f>
        <v>2</v>
      </c>
      <c r="B10" s="1">
        <f>IFERROR(__xludf.DUMMYFUNCTION("""COMPUTED_VALUE"""),1.0)</f>
        <v>1</v>
      </c>
      <c r="C10" s="1" t="str">
        <f>IFERROR(__xludf.DUMMYFUNCTION("""COMPUTED_VALUE"""),"ท21101")</f>
        <v>ท21101</v>
      </c>
      <c r="D10" s="1" t="str">
        <f>IFERROR(__xludf.DUMMYFUNCTION("""COMPUTED_VALUE"""),"ภาษาไทย 1")</f>
        <v>ภาษาไทย 1</v>
      </c>
      <c r="E10" s="1">
        <f>IFERROR(__xludf.DUMMYFUNCTION("""COMPUTED_VALUE"""),1.5)</f>
        <v>1.5</v>
      </c>
      <c r="F10" s="1">
        <f>IFERROR(__xludf.DUMMYFUNCTION("""COMPUTED_VALUE"""),2569.0)</f>
        <v>2569</v>
      </c>
      <c r="G10" s="1">
        <f>IFERROR(__xludf.DUMMYFUNCTION("""COMPUTED_VALUE"""),1.0)</f>
        <v>1</v>
      </c>
      <c r="H10" s="1">
        <f>IFERROR(__xludf.DUMMYFUNCTION("""COMPUTED_VALUE"""),123.0)</f>
        <v>123</v>
      </c>
      <c r="I10" s="1" t="str">
        <f>IFERROR(__xludf.DUMMYFUNCTION("""COMPUTED_VALUE"""),"นาง")</f>
        <v>นาง</v>
      </c>
      <c r="J10" s="1" t="str">
        <f>IFERROR(__xludf.DUMMYFUNCTION("""COMPUTED_VALUE"""),"นภเกตน์")</f>
        <v>นภเกตน์</v>
      </c>
      <c r="K10" s="1" t="str">
        <f>IFERROR(__xludf.DUMMYFUNCTION("""COMPUTED_VALUE"""),"คำปัน")</f>
        <v>คำปัน</v>
      </c>
      <c r="L10" s="1" t="str">
        <f>IFERROR(__xludf.DUMMYFUNCTION("""COMPUTED_VALUE"""),"ม.1")</f>
        <v>ม.1</v>
      </c>
      <c r="M10" s="1" t="str">
        <f>IFERROR(__xludf.DUMMYFUNCTION("""COMPUTED_VALUE"""),"ภาษาไทย")</f>
        <v>ภาษาไทย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f>IFERROR(__xludf.DUMMYFUNCTION("""COMPUTED_VALUE"""),1.0)</f>
        <v>1</v>
      </c>
      <c r="B11" s="1">
        <f>IFERROR(__xludf.DUMMYFUNCTION("""COMPUTED_VALUE"""),1.0)</f>
        <v>1</v>
      </c>
      <c r="C11" s="1" t="str">
        <f>IFERROR(__xludf.DUMMYFUNCTION("""COMPUTED_VALUE"""),"ท33101")</f>
        <v>ท33101</v>
      </c>
      <c r="D11" s="1" t="str">
        <f>IFERROR(__xludf.DUMMYFUNCTION("""COMPUTED_VALUE"""),"ภาษาไทย 5")</f>
        <v>ภาษาไทย 5</v>
      </c>
      <c r="E11" s="1">
        <f>IFERROR(__xludf.DUMMYFUNCTION("""COMPUTED_VALUE"""),1.0)</f>
        <v>1</v>
      </c>
      <c r="F11" s="1">
        <f>IFERROR(__xludf.DUMMYFUNCTION("""COMPUTED_VALUE"""),2569.0)</f>
        <v>2569</v>
      </c>
      <c r="G11" s="1">
        <f>IFERROR(__xludf.DUMMYFUNCTION("""COMPUTED_VALUE"""),1.0)</f>
        <v>1</v>
      </c>
      <c r="H11" s="1">
        <f>IFERROR(__xludf.DUMMYFUNCTION("""COMPUTED_VALUE"""),123.0)</f>
        <v>123</v>
      </c>
      <c r="I11" s="1" t="str">
        <f>IFERROR(__xludf.DUMMYFUNCTION("""COMPUTED_VALUE"""),"นาง")</f>
        <v>นาง</v>
      </c>
      <c r="J11" s="1" t="str">
        <f>IFERROR(__xludf.DUMMYFUNCTION("""COMPUTED_VALUE"""),"นภเกตน์")</f>
        <v>นภเกตน์</v>
      </c>
      <c r="K11" s="1" t="str">
        <f>IFERROR(__xludf.DUMMYFUNCTION("""COMPUTED_VALUE"""),"คำปัน")</f>
        <v>คำปัน</v>
      </c>
      <c r="L11" s="1" t="str">
        <f>IFERROR(__xludf.DUMMYFUNCTION("""COMPUTED_VALUE"""),"ม.6")</f>
        <v>ม.6</v>
      </c>
      <c r="M11" s="1" t="str">
        <f>IFERROR(__xludf.DUMMYFUNCTION("""COMPUTED_VALUE"""),"ภาษาไทย")</f>
        <v>ภาษาไทย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f>IFERROR(__xludf.DUMMYFUNCTION("""COMPUTED_VALUE"""),3.0)</f>
        <v>3</v>
      </c>
      <c r="B12" s="1">
        <f>IFERROR(__xludf.DUMMYFUNCTION("""COMPUTED_VALUE"""),1.0)</f>
        <v>1</v>
      </c>
      <c r="C12" s="1" t="str">
        <f>IFERROR(__xludf.DUMMYFUNCTION("""COMPUTED_VALUE"""),"ท33101")</f>
        <v>ท33101</v>
      </c>
      <c r="D12" s="1" t="str">
        <f>IFERROR(__xludf.DUMMYFUNCTION("""COMPUTED_VALUE"""),"ภาษาไทย 5")</f>
        <v>ภาษาไทย 5</v>
      </c>
      <c r="E12" s="1">
        <f>IFERROR(__xludf.DUMMYFUNCTION("""COMPUTED_VALUE"""),1.0)</f>
        <v>1</v>
      </c>
      <c r="F12" s="1">
        <f>IFERROR(__xludf.DUMMYFUNCTION("""COMPUTED_VALUE"""),2569.0)</f>
        <v>2569</v>
      </c>
      <c r="G12" s="1">
        <f>IFERROR(__xludf.DUMMYFUNCTION("""COMPUTED_VALUE"""),1.0)</f>
        <v>1</v>
      </c>
      <c r="H12" s="1">
        <f>IFERROR(__xludf.DUMMYFUNCTION("""COMPUTED_VALUE"""),123.0)</f>
        <v>123</v>
      </c>
      <c r="I12" s="1" t="str">
        <f>IFERROR(__xludf.DUMMYFUNCTION("""COMPUTED_VALUE"""),"นาง")</f>
        <v>นาง</v>
      </c>
      <c r="J12" s="1" t="str">
        <f>IFERROR(__xludf.DUMMYFUNCTION("""COMPUTED_VALUE"""),"นภเกตน์")</f>
        <v>นภเกตน์</v>
      </c>
      <c r="K12" s="1" t="str">
        <f>IFERROR(__xludf.DUMMYFUNCTION("""COMPUTED_VALUE"""),"คำปัน")</f>
        <v>คำปัน</v>
      </c>
      <c r="L12" s="1" t="str">
        <f>IFERROR(__xludf.DUMMYFUNCTION("""COMPUTED_VALUE"""),"ม.6")</f>
        <v>ม.6</v>
      </c>
      <c r="M12" s="1" t="str">
        <f>IFERROR(__xludf.DUMMYFUNCTION("""COMPUTED_VALUE"""),"ภาษาไทย")</f>
        <v>ภาษาไทย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f>IFERROR(__xludf.DUMMYFUNCTION("""COMPUTED_VALUE"""),5.0)</f>
        <v>5</v>
      </c>
      <c r="B13" s="1">
        <f>IFERROR(__xludf.DUMMYFUNCTION("""COMPUTED_VALUE"""),1.0)</f>
        <v>1</v>
      </c>
      <c r="C13" s="1" t="str">
        <f>IFERROR(__xludf.DUMMYFUNCTION("""COMPUTED_VALUE"""),"ท33101")</f>
        <v>ท33101</v>
      </c>
      <c r="D13" s="1" t="str">
        <f>IFERROR(__xludf.DUMMYFUNCTION("""COMPUTED_VALUE"""),"ภาษาไทย 5")</f>
        <v>ภาษาไทย 5</v>
      </c>
      <c r="E13" s="1">
        <f>IFERROR(__xludf.DUMMYFUNCTION("""COMPUTED_VALUE"""),1.0)</f>
        <v>1</v>
      </c>
      <c r="F13" s="1">
        <f>IFERROR(__xludf.DUMMYFUNCTION("""COMPUTED_VALUE"""),2569.0)</f>
        <v>2569</v>
      </c>
      <c r="G13" s="1">
        <f>IFERROR(__xludf.DUMMYFUNCTION("""COMPUTED_VALUE"""),1.0)</f>
        <v>1</v>
      </c>
      <c r="H13" s="1">
        <f>IFERROR(__xludf.DUMMYFUNCTION("""COMPUTED_VALUE"""),123.0)</f>
        <v>123</v>
      </c>
      <c r="I13" s="1" t="str">
        <f>IFERROR(__xludf.DUMMYFUNCTION("""COMPUTED_VALUE"""),"นาง")</f>
        <v>นาง</v>
      </c>
      <c r="J13" s="1" t="str">
        <f>IFERROR(__xludf.DUMMYFUNCTION("""COMPUTED_VALUE"""),"นภเกตน์")</f>
        <v>นภเกตน์</v>
      </c>
      <c r="K13" s="1" t="str">
        <f>IFERROR(__xludf.DUMMYFUNCTION("""COMPUTED_VALUE"""),"คำปัน")</f>
        <v>คำปัน</v>
      </c>
      <c r="L13" s="1" t="str">
        <f>IFERROR(__xludf.DUMMYFUNCTION("""COMPUTED_VALUE"""),"ม.6")</f>
        <v>ม.6</v>
      </c>
      <c r="M13" s="1" t="str">
        <f>IFERROR(__xludf.DUMMYFUNCTION("""COMPUTED_VALUE"""),"ภาษาไทย")</f>
        <v>ภาษาไทย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>
        <f>IFERROR(__xludf.DUMMYFUNCTION("""COMPUTED_VALUE"""),7.0)</f>
        <v>7</v>
      </c>
      <c r="B14" s="1">
        <f>IFERROR(__xludf.DUMMYFUNCTION("""COMPUTED_VALUE"""),1.0)</f>
        <v>1</v>
      </c>
      <c r="C14" s="1" t="str">
        <f>IFERROR(__xludf.DUMMYFUNCTION("""COMPUTED_VALUE"""),"ท33101")</f>
        <v>ท33101</v>
      </c>
      <c r="D14" s="1" t="str">
        <f>IFERROR(__xludf.DUMMYFUNCTION("""COMPUTED_VALUE"""),"ภาษาไทย 5")</f>
        <v>ภาษาไทย 5</v>
      </c>
      <c r="E14" s="1">
        <f>IFERROR(__xludf.DUMMYFUNCTION("""COMPUTED_VALUE"""),1.0)</f>
        <v>1</v>
      </c>
      <c r="F14" s="1">
        <f>IFERROR(__xludf.DUMMYFUNCTION("""COMPUTED_VALUE"""),2569.0)</f>
        <v>2569</v>
      </c>
      <c r="G14" s="1">
        <f>IFERROR(__xludf.DUMMYFUNCTION("""COMPUTED_VALUE"""),1.0)</f>
        <v>1</v>
      </c>
      <c r="H14" s="1">
        <f>IFERROR(__xludf.DUMMYFUNCTION("""COMPUTED_VALUE"""),123.0)</f>
        <v>123</v>
      </c>
      <c r="I14" s="1" t="str">
        <f>IFERROR(__xludf.DUMMYFUNCTION("""COMPUTED_VALUE"""),"นาง")</f>
        <v>นาง</v>
      </c>
      <c r="J14" s="1" t="str">
        <f>IFERROR(__xludf.DUMMYFUNCTION("""COMPUTED_VALUE"""),"นภเกตน์")</f>
        <v>นภเกตน์</v>
      </c>
      <c r="K14" s="1" t="str">
        <f>IFERROR(__xludf.DUMMYFUNCTION("""COMPUTED_VALUE"""),"คำปัน")</f>
        <v>คำปัน</v>
      </c>
      <c r="L14" s="1" t="str">
        <f>IFERROR(__xludf.DUMMYFUNCTION("""COMPUTED_VALUE"""),"ม.6")</f>
        <v>ม.6</v>
      </c>
      <c r="M14" s="1" t="str">
        <f>IFERROR(__xludf.DUMMYFUNCTION("""COMPUTED_VALUE"""),"ภาษาไทย")</f>
        <v>ภาษาไทย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>
        <f>IFERROR(__xludf.DUMMYFUNCTION("""COMPUTED_VALUE"""),9.0)</f>
        <v>9</v>
      </c>
      <c r="B15" s="1">
        <f>IFERROR(__xludf.DUMMYFUNCTION("""COMPUTED_VALUE"""),1.0)</f>
        <v>1</v>
      </c>
      <c r="C15" s="1" t="str">
        <f>IFERROR(__xludf.DUMMYFUNCTION("""COMPUTED_VALUE"""),"ท33101")</f>
        <v>ท33101</v>
      </c>
      <c r="D15" s="1" t="str">
        <f>IFERROR(__xludf.DUMMYFUNCTION("""COMPUTED_VALUE"""),"ภาษาไทย 5")</f>
        <v>ภาษาไทย 5</v>
      </c>
      <c r="E15" s="1">
        <f>IFERROR(__xludf.DUMMYFUNCTION("""COMPUTED_VALUE"""),1.0)</f>
        <v>1</v>
      </c>
      <c r="F15" s="1">
        <f>IFERROR(__xludf.DUMMYFUNCTION("""COMPUTED_VALUE"""),2569.0)</f>
        <v>2569</v>
      </c>
      <c r="G15" s="1">
        <f>IFERROR(__xludf.DUMMYFUNCTION("""COMPUTED_VALUE"""),1.0)</f>
        <v>1</v>
      </c>
      <c r="H15" s="1">
        <f>IFERROR(__xludf.DUMMYFUNCTION("""COMPUTED_VALUE"""),123.0)</f>
        <v>123</v>
      </c>
      <c r="I15" s="1" t="str">
        <f>IFERROR(__xludf.DUMMYFUNCTION("""COMPUTED_VALUE"""),"นาง")</f>
        <v>นาง</v>
      </c>
      <c r="J15" s="1" t="str">
        <f>IFERROR(__xludf.DUMMYFUNCTION("""COMPUTED_VALUE"""),"นภเกตน์")</f>
        <v>นภเกตน์</v>
      </c>
      <c r="K15" s="1" t="str">
        <f>IFERROR(__xludf.DUMMYFUNCTION("""COMPUTED_VALUE"""),"คำปัน")</f>
        <v>คำปัน</v>
      </c>
      <c r="L15" s="1" t="str">
        <f>IFERROR(__xludf.DUMMYFUNCTION("""COMPUTED_VALUE"""),"ม.6")</f>
        <v>ม.6</v>
      </c>
      <c r="M15" s="1" t="str">
        <f>IFERROR(__xludf.DUMMYFUNCTION("""COMPUTED_VALUE"""),"ภาษาไทย")</f>
        <v>ภาษาไทย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>
        <f>IFERROR(__xludf.DUMMYFUNCTION("""COMPUTED_VALUE"""),11.0)</f>
        <v>11</v>
      </c>
      <c r="B16" s="1">
        <f>IFERROR(__xludf.DUMMYFUNCTION("""COMPUTED_VALUE"""),1.0)</f>
        <v>1</v>
      </c>
      <c r="C16" s="1" t="str">
        <f>IFERROR(__xludf.DUMMYFUNCTION("""COMPUTED_VALUE"""),"ท33101")</f>
        <v>ท33101</v>
      </c>
      <c r="D16" s="1" t="str">
        <f>IFERROR(__xludf.DUMMYFUNCTION("""COMPUTED_VALUE"""),"ภาษาไทย 5")</f>
        <v>ภาษาไทย 5</v>
      </c>
      <c r="E16" s="1">
        <f>IFERROR(__xludf.DUMMYFUNCTION("""COMPUTED_VALUE"""),1.0)</f>
        <v>1</v>
      </c>
      <c r="F16" s="1">
        <f>IFERROR(__xludf.DUMMYFUNCTION("""COMPUTED_VALUE"""),2569.0)</f>
        <v>2569</v>
      </c>
      <c r="G16" s="1">
        <f>IFERROR(__xludf.DUMMYFUNCTION("""COMPUTED_VALUE"""),1.0)</f>
        <v>1</v>
      </c>
      <c r="H16" s="1">
        <f>IFERROR(__xludf.DUMMYFUNCTION("""COMPUTED_VALUE"""),123.0)</f>
        <v>123</v>
      </c>
      <c r="I16" s="1" t="str">
        <f>IFERROR(__xludf.DUMMYFUNCTION("""COMPUTED_VALUE"""),"นาง")</f>
        <v>นาง</v>
      </c>
      <c r="J16" s="1" t="str">
        <f>IFERROR(__xludf.DUMMYFUNCTION("""COMPUTED_VALUE"""),"นภเกตน์")</f>
        <v>นภเกตน์</v>
      </c>
      <c r="K16" s="1" t="str">
        <f>IFERROR(__xludf.DUMMYFUNCTION("""COMPUTED_VALUE"""),"คำปัน")</f>
        <v>คำปัน</v>
      </c>
      <c r="L16" s="1" t="str">
        <f>IFERROR(__xludf.DUMMYFUNCTION("""COMPUTED_VALUE"""),"ม.6")</f>
        <v>ม.6</v>
      </c>
      <c r="M16" s="1" t="str">
        <f>IFERROR(__xludf.DUMMYFUNCTION("""COMPUTED_VALUE"""),"ภาษาไทย")</f>
        <v>ภาษาไทย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>
        <f>IFERROR(__xludf.DUMMYFUNCTION("""COMPUTED_VALUE"""),8.0)</f>
        <v>8</v>
      </c>
      <c r="B17" s="1">
        <f>IFERROR(__xludf.DUMMYFUNCTION("""COMPUTED_VALUE"""),1.0)</f>
        <v>1</v>
      </c>
      <c r="C17" s="1" t="str">
        <f>IFERROR(__xludf.DUMMYFUNCTION("""COMPUTED_VALUE"""),"ส30249")</f>
        <v>ส30249</v>
      </c>
      <c r="D17" s="1" t="str">
        <f>IFERROR(__xludf.DUMMYFUNCTION("""COMPUTED_VALUE"""),"การป้องกันการทุจริต 3")</f>
        <v>การป้องกันการทุจริต 3</v>
      </c>
      <c r="E17" s="1">
        <f>IFERROR(__xludf.DUMMYFUNCTION("""COMPUTED_VALUE"""),0.5)</f>
        <v>0.5</v>
      </c>
      <c r="F17" s="1">
        <f>IFERROR(__xludf.DUMMYFUNCTION("""COMPUTED_VALUE"""),2569.0)</f>
        <v>2569</v>
      </c>
      <c r="G17" s="1">
        <f>IFERROR(__xludf.DUMMYFUNCTION("""COMPUTED_VALUE"""),1.0)</f>
        <v>1</v>
      </c>
      <c r="H17" s="1">
        <f>IFERROR(__xludf.DUMMYFUNCTION("""COMPUTED_VALUE"""),123.0)</f>
        <v>123</v>
      </c>
      <c r="I17" s="1" t="str">
        <f>IFERROR(__xludf.DUMMYFUNCTION("""COMPUTED_VALUE"""),"นาง")</f>
        <v>นาง</v>
      </c>
      <c r="J17" s="1" t="str">
        <f>IFERROR(__xludf.DUMMYFUNCTION("""COMPUTED_VALUE"""),"นภเกตน์")</f>
        <v>นภเกตน์</v>
      </c>
      <c r="K17" s="1" t="str">
        <f>IFERROR(__xludf.DUMMYFUNCTION("""COMPUTED_VALUE"""),"คำปัน")</f>
        <v>คำปัน</v>
      </c>
      <c r="L17" s="1" t="str">
        <f>IFERROR(__xludf.DUMMYFUNCTION("""COMPUTED_VALUE"""),"ม.5")</f>
        <v>ม.5</v>
      </c>
      <c r="M17" s="1" t="str">
        <f>IFERROR(__xludf.DUMMYFUNCTION("""COMPUTED_VALUE"""),"ภาษาไทย")</f>
        <v>ภาษาไทย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>
        <f>IFERROR(__xludf.DUMMYFUNCTION("""COMPUTED_VALUE"""),1.0)</f>
        <v>1</v>
      </c>
      <c r="B18" s="1">
        <f>IFERROR(__xludf.DUMMYFUNCTION("""COMPUTED_VALUE"""),1.0)</f>
        <v>1</v>
      </c>
      <c r="C18" s="1" t="str">
        <f>IFERROR(__xludf.DUMMYFUNCTION("""COMPUTED_VALUE"""),"ท22101")</f>
        <v>ท22101</v>
      </c>
      <c r="D18" s="1" t="str">
        <f>IFERROR(__xludf.DUMMYFUNCTION("""COMPUTED_VALUE"""),"ภาษาไทย 3")</f>
        <v>ภาษาไทย 3</v>
      </c>
      <c r="E18" s="1">
        <f>IFERROR(__xludf.DUMMYFUNCTION("""COMPUTED_VALUE"""),1.5)</f>
        <v>1.5</v>
      </c>
      <c r="F18" s="1">
        <f>IFERROR(__xludf.DUMMYFUNCTION("""COMPUTED_VALUE"""),2569.0)</f>
        <v>2569</v>
      </c>
      <c r="G18" s="1">
        <f>IFERROR(__xludf.DUMMYFUNCTION("""COMPUTED_VALUE"""),1.0)</f>
        <v>1</v>
      </c>
      <c r="H18" s="1">
        <f>IFERROR(__xludf.DUMMYFUNCTION("""COMPUTED_VALUE"""),124.0)</f>
        <v>124</v>
      </c>
      <c r="I18" s="1" t="str">
        <f>IFERROR(__xludf.DUMMYFUNCTION("""COMPUTED_VALUE"""),"นางสาว")</f>
        <v>นางสาว</v>
      </c>
      <c r="J18" s="1" t="str">
        <f>IFERROR(__xludf.DUMMYFUNCTION("""COMPUTED_VALUE"""),"ปรางค์ทิพย์")</f>
        <v>ปรางค์ทิพย์</v>
      </c>
      <c r="K18" s="1" t="str">
        <f>IFERROR(__xludf.DUMMYFUNCTION("""COMPUTED_VALUE"""),"ทองแย้ม")</f>
        <v>ทองแย้ม</v>
      </c>
      <c r="L18" s="1" t="str">
        <f>IFERROR(__xludf.DUMMYFUNCTION("""COMPUTED_VALUE"""),"ม.2")</f>
        <v>ม.2</v>
      </c>
      <c r="M18" s="1" t="str">
        <f>IFERROR(__xludf.DUMMYFUNCTION("""COMPUTED_VALUE"""),"ภาษาไทย")</f>
        <v>ภาษาไทย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>
        <f>IFERROR(__xludf.DUMMYFUNCTION("""COMPUTED_VALUE"""),3.0)</f>
        <v>3</v>
      </c>
      <c r="B19" s="1">
        <f>IFERROR(__xludf.DUMMYFUNCTION("""COMPUTED_VALUE"""),1.0)</f>
        <v>1</v>
      </c>
      <c r="C19" s="1" t="str">
        <f>IFERROR(__xludf.DUMMYFUNCTION("""COMPUTED_VALUE"""),"ท22101")</f>
        <v>ท22101</v>
      </c>
      <c r="D19" s="1" t="str">
        <f>IFERROR(__xludf.DUMMYFUNCTION("""COMPUTED_VALUE"""),"ภาษาไทย 3")</f>
        <v>ภาษาไทย 3</v>
      </c>
      <c r="E19" s="1">
        <f>IFERROR(__xludf.DUMMYFUNCTION("""COMPUTED_VALUE"""),1.5)</f>
        <v>1.5</v>
      </c>
      <c r="F19" s="1">
        <f>IFERROR(__xludf.DUMMYFUNCTION("""COMPUTED_VALUE"""),2569.0)</f>
        <v>2569</v>
      </c>
      <c r="G19" s="1">
        <f>IFERROR(__xludf.DUMMYFUNCTION("""COMPUTED_VALUE"""),1.0)</f>
        <v>1</v>
      </c>
      <c r="H19" s="1">
        <f>IFERROR(__xludf.DUMMYFUNCTION("""COMPUTED_VALUE"""),124.0)</f>
        <v>124</v>
      </c>
      <c r="I19" s="1" t="str">
        <f>IFERROR(__xludf.DUMMYFUNCTION("""COMPUTED_VALUE"""),"นางสาว")</f>
        <v>นางสาว</v>
      </c>
      <c r="J19" s="1" t="str">
        <f>IFERROR(__xludf.DUMMYFUNCTION("""COMPUTED_VALUE"""),"ปรางค์ทิพย์")</f>
        <v>ปรางค์ทิพย์</v>
      </c>
      <c r="K19" s="1" t="str">
        <f>IFERROR(__xludf.DUMMYFUNCTION("""COMPUTED_VALUE"""),"ทองแย้ม")</f>
        <v>ทองแย้ม</v>
      </c>
      <c r="L19" s="1" t="str">
        <f>IFERROR(__xludf.DUMMYFUNCTION("""COMPUTED_VALUE"""),"ม.2")</f>
        <v>ม.2</v>
      </c>
      <c r="M19" s="1" t="str">
        <f>IFERROR(__xludf.DUMMYFUNCTION("""COMPUTED_VALUE"""),"ภาษาไทย")</f>
        <v>ภาษาไทย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>
        <f>IFERROR(__xludf.DUMMYFUNCTION("""COMPUTED_VALUE"""),5.0)</f>
        <v>5</v>
      </c>
      <c r="B20" s="1">
        <f>IFERROR(__xludf.DUMMYFUNCTION("""COMPUTED_VALUE"""),1.0)</f>
        <v>1</v>
      </c>
      <c r="C20" s="1" t="str">
        <f>IFERROR(__xludf.DUMMYFUNCTION("""COMPUTED_VALUE"""),"ท22101")</f>
        <v>ท22101</v>
      </c>
      <c r="D20" s="1" t="str">
        <f>IFERROR(__xludf.DUMMYFUNCTION("""COMPUTED_VALUE"""),"ภาษาไทย 3")</f>
        <v>ภาษาไทย 3</v>
      </c>
      <c r="E20" s="1">
        <f>IFERROR(__xludf.DUMMYFUNCTION("""COMPUTED_VALUE"""),1.5)</f>
        <v>1.5</v>
      </c>
      <c r="F20" s="1">
        <f>IFERROR(__xludf.DUMMYFUNCTION("""COMPUTED_VALUE"""),2569.0)</f>
        <v>2569</v>
      </c>
      <c r="G20" s="1">
        <f>IFERROR(__xludf.DUMMYFUNCTION("""COMPUTED_VALUE"""),1.0)</f>
        <v>1</v>
      </c>
      <c r="H20" s="1">
        <f>IFERROR(__xludf.DUMMYFUNCTION("""COMPUTED_VALUE"""),124.0)</f>
        <v>124</v>
      </c>
      <c r="I20" s="1" t="str">
        <f>IFERROR(__xludf.DUMMYFUNCTION("""COMPUTED_VALUE"""),"นางสาว")</f>
        <v>นางสาว</v>
      </c>
      <c r="J20" s="1" t="str">
        <f>IFERROR(__xludf.DUMMYFUNCTION("""COMPUTED_VALUE"""),"ปรางค์ทิพย์")</f>
        <v>ปรางค์ทิพย์</v>
      </c>
      <c r="K20" s="1" t="str">
        <f>IFERROR(__xludf.DUMMYFUNCTION("""COMPUTED_VALUE"""),"ทองแย้ม")</f>
        <v>ทองแย้ม</v>
      </c>
      <c r="L20" s="1" t="str">
        <f>IFERROR(__xludf.DUMMYFUNCTION("""COMPUTED_VALUE"""),"ม.2")</f>
        <v>ม.2</v>
      </c>
      <c r="M20" s="1" t="str">
        <f>IFERROR(__xludf.DUMMYFUNCTION("""COMPUTED_VALUE"""),"ภาษาไทย")</f>
        <v>ภาษาไทย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>
        <f>IFERROR(__xludf.DUMMYFUNCTION("""COMPUTED_VALUE"""),7.0)</f>
        <v>7</v>
      </c>
      <c r="B21" s="1">
        <f>IFERROR(__xludf.DUMMYFUNCTION("""COMPUTED_VALUE"""),1.0)</f>
        <v>1</v>
      </c>
      <c r="C21" s="1" t="str">
        <f>IFERROR(__xludf.DUMMYFUNCTION("""COMPUTED_VALUE"""),"ท22101")</f>
        <v>ท22101</v>
      </c>
      <c r="D21" s="1" t="str">
        <f>IFERROR(__xludf.DUMMYFUNCTION("""COMPUTED_VALUE"""),"ภาษาไทย 3")</f>
        <v>ภาษาไทย 3</v>
      </c>
      <c r="E21" s="1">
        <f>IFERROR(__xludf.DUMMYFUNCTION("""COMPUTED_VALUE"""),1.5)</f>
        <v>1.5</v>
      </c>
      <c r="F21" s="1">
        <f>IFERROR(__xludf.DUMMYFUNCTION("""COMPUTED_VALUE"""),2569.0)</f>
        <v>2569</v>
      </c>
      <c r="G21" s="1">
        <f>IFERROR(__xludf.DUMMYFUNCTION("""COMPUTED_VALUE"""),1.0)</f>
        <v>1</v>
      </c>
      <c r="H21" s="1">
        <f>IFERROR(__xludf.DUMMYFUNCTION("""COMPUTED_VALUE"""),124.0)</f>
        <v>124</v>
      </c>
      <c r="I21" s="1" t="str">
        <f>IFERROR(__xludf.DUMMYFUNCTION("""COMPUTED_VALUE"""),"นางสาว")</f>
        <v>นางสาว</v>
      </c>
      <c r="J21" s="1" t="str">
        <f>IFERROR(__xludf.DUMMYFUNCTION("""COMPUTED_VALUE"""),"ปรางค์ทิพย์")</f>
        <v>ปรางค์ทิพย์</v>
      </c>
      <c r="K21" s="1" t="str">
        <f>IFERROR(__xludf.DUMMYFUNCTION("""COMPUTED_VALUE"""),"ทองแย้ม")</f>
        <v>ทองแย้ม</v>
      </c>
      <c r="L21" s="1" t="str">
        <f>IFERROR(__xludf.DUMMYFUNCTION("""COMPUTED_VALUE"""),"ม.2")</f>
        <v>ม.2</v>
      </c>
      <c r="M21" s="1" t="str">
        <f>IFERROR(__xludf.DUMMYFUNCTION("""COMPUTED_VALUE"""),"ภาษาไทย")</f>
        <v>ภาษาไทย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>
        <f>IFERROR(__xludf.DUMMYFUNCTION("""COMPUTED_VALUE"""),8.0)</f>
        <v>8</v>
      </c>
      <c r="B22" s="1">
        <f>IFERROR(__xludf.DUMMYFUNCTION("""COMPUTED_VALUE"""),1.0)</f>
        <v>1</v>
      </c>
      <c r="C22" s="1" t="str">
        <f>IFERROR(__xludf.DUMMYFUNCTION("""COMPUTED_VALUE"""),"ท32203")</f>
        <v>ท32203</v>
      </c>
      <c r="D22" s="1" t="str">
        <f>IFERROR(__xludf.DUMMYFUNCTION("""COMPUTED_VALUE"""),"ประวัติวรรณคดี 1")</f>
        <v>ประวัติวรรณคดี 1</v>
      </c>
      <c r="E22" s="1">
        <f>IFERROR(__xludf.DUMMYFUNCTION("""COMPUTED_VALUE"""),1.0)</f>
        <v>1</v>
      </c>
      <c r="F22" s="1">
        <f>IFERROR(__xludf.DUMMYFUNCTION("""COMPUTED_VALUE"""),2569.0)</f>
        <v>2569</v>
      </c>
      <c r="G22" s="1">
        <f>IFERROR(__xludf.DUMMYFUNCTION("""COMPUTED_VALUE"""),1.0)</f>
        <v>1</v>
      </c>
      <c r="H22" s="1">
        <f>IFERROR(__xludf.DUMMYFUNCTION("""COMPUTED_VALUE"""),124.0)</f>
        <v>124</v>
      </c>
      <c r="I22" s="1" t="str">
        <f>IFERROR(__xludf.DUMMYFUNCTION("""COMPUTED_VALUE"""),"นางสาว")</f>
        <v>นางสาว</v>
      </c>
      <c r="J22" s="1" t="str">
        <f>IFERROR(__xludf.DUMMYFUNCTION("""COMPUTED_VALUE"""),"ปรางค์ทิพย์")</f>
        <v>ปรางค์ทิพย์</v>
      </c>
      <c r="K22" s="1" t="str">
        <f>IFERROR(__xludf.DUMMYFUNCTION("""COMPUTED_VALUE"""),"ทองแย้ม")</f>
        <v>ทองแย้ม</v>
      </c>
      <c r="L22" s="1" t="str">
        <f>IFERROR(__xludf.DUMMYFUNCTION("""COMPUTED_VALUE"""),"ม.5")</f>
        <v>ม.5</v>
      </c>
      <c r="M22" s="1" t="str">
        <f>IFERROR(__xludf.DUMMYFUNCTION("""COMPUTED_VALUE"""),"ภาษาไทย")</f>
        <v>ภาษาไทย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>
        <f>IFERROR(__xludf.DUMMYFUNCTION("""COMPUTED_VALUE"""),9.0)</f>
        <v>9</v>
      </c>
      <c r="B23" s="1">
        <f>IFERROR(__xludf.DUMMYFUNCTION("""COMPUTED_VALUE"""),1.0)</f>
        <v>1</v>
      </c>
      <c r="C23" s="1" t="str">
        <f>IFERROR(__xludf.DUMMYFUNCTION("""COMPUTED_VALUE"""),"ท32203")</f>
        <v>ท32203</v>
      </c>
      <c r="D23" s="1" t="str">
        <f>IFERROR(__xludf.DUMMYFUNCTION("""COMPUTED_VALUE"""),"ประวัติวรรณคดี 1")</f>
        <v>ประวัติวรรณคดี 1</v>
      </c>
      <c r="E23" s="1">
        <f>IFERROR(__xludf.DUMMYFUNCTION("""COMPUTED_VALUE"""),1.0)</f>
        <v>1</v>
      </c>
      <c r="F23" s="1">
        <f>IFERROR(__xludf.DUMMYFUNCTION("""COMPUTED_VALUE"""),2569.0)</f>
        <v>2569</v>
      </c>
      <c r="G23" s="1">
        <f>IFERROR(__xludf.DUMMYFUNCTION("""COMPUTED_VALUE"""),1.0)</f>
        <v>1</v>
      </c>
      <c r="H23" s="1">
        <f>IFERROR(__xludf.DUMMYFUNCTION("""COMPUTED_VALUE"""),124.0)</f>
        <v>124</v>
      </c>
      <c r="I23" s="1" t="str">
        <f>IFERROR(__xludf.DUMMYFUNCTION("""COMPUTED_VALUE"""),"นางสาว")</f>
        <v>นางสาว</v>
      </c>
      <c r="J23" s="1" t="str">
        <f>IFERROR(__xludf.DUMMYFUNCTION("""COMPUTED_VALUE"""),"ปรางค์ทิพย์")</f>
        <v>ปรางค์ทิพย์</v>
      </c>
      <c r="K23" s="1" t="str">
        <f>IFERROR(__xludf.DUMMYFUNCTION("""COMPUTED_VALUE"""),"ทองแย้ม")</f>
        <v>ทองแย้ม</v>
      </c>
      <c r="L23" s="1" t="str">
        <f>IFERROR(__xludf.DUMMYFUNCTION("""COMPUTED_VALUE"""),"ม.5")</f>
        <v>ม.5</v>
      </c>
      <c r="M23" s="1" t="str">
        <f>IFERROR(__xludf.DUMMYFUNCTION("""COMPUTED_VALUE"""),"ภาษาไทย")</f>
        <v>ภาษาไทย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>
        <f>IFERROR(__xludf.DUMMYFUNCTION("""COMPUTED_VALUE"""),10.0)</f>
        <v>10</v>
      </c>
      <c r="B24" s="1">
        <f>IFERROR(__xludf.DUMMYFUNCTION("""COMPUTED_VALUE"""),1.0)</f>
        <v>1</v>
      </c>
      <c r="C24" s="1" t="str">
        <f>IFERROR(__xludf.DUMMYFUNCTION("""COMPUTED_VALUE"""),"ท32203")</f>
        <v>ท32203</v>
      </c>
      <c r="D24" s="1" t="str">
        <f>IFERROR(__xludf.DUMMYFUNCTION("""COMPUTED_VALUE"""),"ประวัติวรรณคดี 1")</f>
        <v>ประวัติวรรณคดี 1</v>
      </c>
      <c r="E24" s="1">
        <f>IFERROR(__xludf.DUMMYFUNCTION("""COMPUTED_VALUE"""),1.0)</f>
        <v>1</v>
      </c>
      <c r="F24" s="1">
        <f>IFERROR(__xludf.DUMMYFUNCTION("""COMPUTED_VALUE"""),2569.0)</f>
        <v>2569</v>
      </c>
      <c r="G24" s="1">
        <f>IFERROR(__xludf.DUMMYFUNCTION("""COMPUTED_VALUE"""),1.0)</f>
        <v>1</v>
      </c>
      <c r="H24" s="1">
        <f>IFERROR(__xludf.DUMMYFUNCTION("""COMPUTED_VALUE"""),124.0)</f>
        <v>124</v>
      </c>
      <c r="I24" s="1" t="str">
        <f>IFERROR(__xludf.DUMMYFUNCTION("""COMPUTED_VALUE"""),"นางสาว")</f>
        <v>นางสาว</v>
      </c>
      <c r="J24" s="1" t="str">
        <f>IFERROR(__xludf.DUMMYFUNCTION("""COMPUTED_VALUE"""),"ปรางค์ทิพย์")</f>
        <v>ปรางค์ทิพย์</v>
      </c>
      <c r="K24" s="1" t="str">
        <f>IFERROR(__xludf.DUMMYFUNCTION("""COMPUTED_VALUE"""),"ทองแย้ม")</f>
        <v>ทองแย้ม</v>
      </c>
      <c r="L24" s="1" t="str">
        <f>IFERROR(__xludf.DUMMYFUNCTION("""COMPUTED_VALUE"""),"ม.5")</f>
        <v>ม.5</v>
      </c>
      <c r="M24" s="1" t="str">
        <f>IFERROR(__xludf.DUMMYFUNCTION("""COMPUTED_VALUE"""),"ภาษาไทย")</f>
        <v>ภาษาไทย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>
        <f>IFERROR(__xludf.DUMMYFUNCTION("""COMPUTED_VALUE"""),7.0)</f>
        <v>7</v>
      </c>
      <c r="B25" s="1">
        <f>IFERROR(__xludf.DUMMYFUNCTION("""COMPUTED_VALUE"""),1.0)</f>
        <v>1</v>
      </c>
      <c r="C25" s="1" t="str">
        <f>IFERROR(__xludf.DUMMYFUNCTION("""COMPUTED_VALUE"""),"ส20227")</f>
        <v>ส20227</v>
      </c>
      <c r="D25" s="1" t="str">
        <f>IFERROR(__xludf.DUMMYFUNCTION("""COMPUTED_VALUE"""),"การป้องกันการทุจริต 5")</f>
        <v>การป้องกันการทุจริต 5</v>
      </c>
      <c r="E25" s="1">
        <f>IFERROR(__xludf.DUMMYFUNCTION("""COMPUTED_VALUE"""),0.5)</f>
        <v>0.5</v>
      </c>
      <c r="F25" s="1">
        <f>IFERROR(__xludf.DUMMYFUNCTION("""COMPUTED_VALUE"""),2569.0)</f>
        <v>2569</v>
      </c>
      <c r="G25" s="1">
        <f>IFERROR(__xludf.DUMMYFUNCTION("""COMPUTED_VALUE"""),1.0)</f>
        <v>1</v>
      </c>
      <c r="H25" s="1">
        <f>IFERROR(__xludf.DUMMYFUNCTION("""COMPUTED_VALUE"""),124.0)</f>
        <v>124</v>
      </c>
      <c r="I25" s="1" t="str">
        <f>IFERROR(__xludf.DUMMYFUNCTION("""COMPUTED_VALUE"""),"นางสาว")</f>
        <v>นางสาว</v>
      </c>
      <c r="J25" s="1" t="str">
        <f>IFERROR(__xludf.DUMMYFUNCTION("""COMPUTED_VALUE"""),"ปรางค์ทิพย์")</f>
        <v>ปรางค์ทิพย์</v>
      </c>
      <c r="K25" s="1" t="str">
        <f>IFERROR(__xludf.DUMMYFUNCTION("""COMPUTED_VALUE"""),"ทองแย้ม")</f>
        <v>ทองแย้ม</v>
      </c>
      <c r="L25" s="1" t="str">
        <f>IFERROR(__xludf.DUMMYFUNCTION("""COMPUTED_VALUE"""),"ม.3")</f>
        <v>ม.3</v>
      </c>
      <c r="M25" s="1" t="str">
        <f>IFERROR(__xludf.DUMMYFUNCTION("""COMPUTED_VALUE"""),"ภาษาไทย")</f>
        <v>ภาษาไทย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>
        <f>IFERROR(__xludf.DUMMYFUNCTION("""COMPUTED_VALUE"""),1.0)</f>
        <v>1</v>
      </c>
      <c r="B26" s="1">
        <f>IFERROR(__xludf.DUMMYFUNCTION("""COMPUTED_VALUE"""),1.0)</f>
        <v>1</v>
      </c>
      <c r="C26" s="1" t="str">
        <f>IFERROR(__xludf.DUMMYFUNCTION("""COMPUTED_VALUE"""),"ท23101")</f>
        <v>ท23101</v>
      </c>
      <c r="D26" s="1" t="str">
        <f>IFERROR(__xludf.DUMMYFUNCTION("""COMPUTED_VALUE"""),"ภาษาไทย 5")</f>
        <v>ภาษาไทย 5</v>
      </c>
      <c r="E26" s="1">
        <f>IFERROR(__xludf.DUMMYFUNCTION("""COMPUTED_VALUE"""),1.5)</f>
        <v>1.5</v>
      </c>
      <c r="F26" s="1">
        <f>IFERROR(__xludf.DUMMYFUNCTION("""COMPUTED_VALUE"""),2569.0)</f>
        <v>2569</v>
      </c>
      <c r="G26" s="1">
        <f>IFERROR(__xludf.DUMMYFUNCTION("""COMPUTED_VALUE"""),1.0)</f>
        <v>1</v>
      </c>
      <c r="H26" s="1">
        <f>IFERROR(__xludf.DUMMYFUNCTION("""COMPUTED_VALUE"""),125.0)</f>
        <v>125</v>
      </c>
      <c r="I26" s="1" t="str">
        <f>IFERROR(__xludf.DUMMYFUNCTION("""COMPUTED_VALUE"""),"นาง")</f>
        <v>นาง</v>
      </c>
      <c r="J26" s="1" t="str">
        <f>IFERROR(__xludf.DUMMYFUNCTION("""COMPUTED_VALUE"""),"ใจทิพย์")</f>
        <v>ใจทิพย์</v>
      </c>
      <c r="K26" s="1" t="str">
        <f>IFERROR(__xludf.DUMMYFUNCTION("""COMPUTED_VALUE"""),"อนันต์สลุง")</f>
        <v>อนันต์สลุง</v>
      </c>
      <c r="L26" s="1" t="str">
        <f>IFERROR(__xludf.DUMMYFUNCTION("""COMPUTED_VALUE"""),"ม.3")</f>
        <v>ม.3</v>
      </c>
      <c r="M26" s="1" t="str">
        <f>IFERROR(__xludf.DUMMYFUNCTION("""COMPUTED_VALUE"""),"ภาษาไทย")</f>
        <v>ภาษาไทย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>
        <f>IFERROR(__xludf.DUMMYFUNCTION("""COMPUTED_VALUE"""),3.0)</f>
        <v>3</v>
      </c>
      <c r="B27" s="1">
        <f>IFERROR(__xludf.DUMMYFUNCTION("""COMPUTED_VALUE"""),1.0)</f>
        <v>1</v>
      </c>
      <c r="C27" s="1" t="str">
        <f>IFERROR(__xludf.DUMMYFUNCTION("""COMPUTED_VALUE"""),"ท23101")</f>
        <v>ท23101</v>
      </c>
      <c r="D27" s="1" t="str">
        <f>IFERROR(__xludf.DUMMYFUNCTION("""COMPUTED_VALUE"""),"ภาษาไทย 5")</f>
        <v>ภาษาไทย 5</v>
      </c>
      <c r="E27" s="1">
        <f>IFERROR(__xludf.DUMMYFUNCTION("""COMPUTED_VALUE"""),1.5)</f>
        <v>1.5</v>
      </c>
      <c r="F27" s="1">
        <f>IFERROR(__xludf.DUMMYFUNCTION("""COMPUTED_VALUE"""),2569.0)</f>
        <v>2569</v>
      </c>
      <c r="G27" s="1">
        <f>IFERROR(__xludf.DUMMYFUNCTION("""COMPUTED_VALUE"""),1.0)</f>
        <v>1</v>
      </c>
      <c r="H27" s="1">
        <f>IFERROR(__xludf.DUMMYFUNCTION("""COMPUTED_VALUE"""),125.0)</f>
        <v>125</v>
      </c>
      <c r="I27" s="1" t="str">
        <f>IFERROR(__xludf.DUMMYFUNCTION("""COMPUTED_VALUE"""),"นาง")</f>
        <v>นาง</v>
      </c>
      <c r="J27" s="1" t="str">
        <f>IFERROR(__xludf.DUMMYFUNCTION("""COMPUTED_VALUE"""),"ใจทิพย์")</f>
        <v>ใจทิพย์</v>
      </c>
      <c r="K27" s="1" t="str">
        <f>IFERROR(__xludf.DUMMYFUNCTION("""COMPUTED_VALUE"""),"อนันต์สลุง")</f>
        <v>อนันต์สลุง</v>
      </c>
      <c r="L27" s="1" t="str">
        <f>IFERROR(__xludf.DUMMYFUNCTION("""COMPUTED_VALUE"""),"ม.3")</f>
        <v>ม.3</v>
      </c>
      <c r="M27" s="1" t="str">
        <f>IFERROR(__xludf.DUMMYFUNCTION("""COMPUTED_VALUE"""),"ภาษาไทย")</f>
        <v>ภาษาไทย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>
        <f>IFERROR(__xludf.DUMMYFUNCTION("""COMPUTED_VALUE"""),4.0)</f>
        <v>4</v>
      </c>
      <c r="B28" s="1">
        <f>IFERROR(__xludf.DUMMYFUNCTION("""COMPUTED_VALUE"""),1.0)</f>
        <v>1</v>
      </c>
      <c r="C28" s="1" t="str">
        <f>IFERROR(__xludf.DUMMYFUNCTION("""COMPUTED_VALUE"""),"ท23101")</f>
        <v>ท23101</v>
      </c>
      <c r="D28" s="1" t="str">
        <f>IFERROR(__xludf.DUMMYFUNCTION("""COMPUTED_VALUE"""),"ภาษาไทย 5")</f>
        <v>ภาษาไทย 5</v>
      </c>
      <c r="E28" s="1">
        <f>IFERROR(__xludf.DUMMYFUNCTION("""COMPUTED_VALUE"""),1.5)</f>
        <v>1.5</v>
      </c>
      <c r="F28" s="1">
        <f>IFERROR(__xludf.DUMMYFUNCTION("""COMPUTED_VALUE"""),2569.0)</f>
        <v>2569</v>
      </c>
      <c r="G28" s="1">
        <f>IFERROR(__xludf.DUMMYFUNCTION("""COMPUTED_VALUE"""),1.0)</f>
        <v>1</v>
      </c>
      <c r="H28" s="1">
        <f>IFERROR(__xludf.DUMMYFUNCTION("""COMPUTED_VALUE"""),125.0)</f>
        <v>125</v>
      </c>
      <c r="I28" s="1" t="str">
        <f>IFERROR(__xludf.DUMMYFUNCTION("""COMPUTED_VALUE"""),"นาง")</f>
        <v>นาง</v>
      </c>
      <c r="J28" s="1" t="str">
        <f>IFERROR(__xludf.DUMMYFUNCTION("""COMPUTED_VALUE"""),"ใจทิพย์")</f>
        <v>ใจทิพย์</v>
      </c>
      <c r="K28" s="1" t="str">
        <f>IFERROR(__xludf.DUMMYFUNCTION("""COMPUTED_VALUE"""),"อนันต์สลุง")</f>
        <v>อนันต์สลุง</v>
      </c>
      <c r="L28" s="1" t="str">
        <f>IFERROR(__xludf.DUMMYFUNCTION("""COMPUTED_VALUE"""),"ม.3")</f>
        <v>ม.3</v>
      </c>
      <c r="M28" s="1" t="str">
        <f>IFERROR(__xludf.DUMMYFUNCTION("""COMPUTED_VALUE"""),"ภาษาไทย")</f>
        <v>ภาษาไทย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>
        <f>IFERROR(__xludf.DUMMYFUNCTION("""COMPUTED_VALUE"""),5.0)</f>
        <v>5</v>
      </c>
      <c r="B29" s="1">
        <f>IFERROR(__xludf.DUMMYFUNCTION("""COMPUTED_VALUE"""),1.0)</f>
        <v>1</v>
      </c>
      <c r="C29" s="1" t="str">
        <f>IFERROR(__xludf.DUMMYFUNCTION("""COMPUTED_VALUE"""),"ท23101")</f>
        <v>ท23101</v>
      </c>
      <c r="D29" s="1" t="str">
        <f>IFERROR(__xludf.DUMMYFUNCTION("""COMPUTED_VALUE"""),"ภาษาไทย 5")</f>
        <v>ภาษาไทย 5</v>
      </c>
      <c r="E29" s="1">
        <f>IFERROR(__xludf.DUMMYFUNCTION("""COMPUTED_VALUE"""),1.5)</f>
        <v>1.5</v>
      </c>
      <c r="F29" s="1">
        <f>IFERROR(__xludf.DUMMYFUNCTION("""COMPUTED_VALUE"""),2569.0)</f>
        <v>2569</v>
      </c>
      <c r="G29" s="1">
        <f>IFERROR(__xludf.DUMMYFUNCTION("""COMPUTED_VALUE"""),1.0)</f>
        <v>1</v>
      </c>
      <c r="H29" s="1">
        <f>IFERROR(__xludf.DUMMYFUNCTION("""COMPUTED_VALUE"""),125.0)</f>
        <v>125</v>
      </c>
      <c r="I29" s="1" t="str">
        <f>IFERROR(__xludf.DUMMYFUNCTION("""COMPUTED_VALUE"""),"นาง")</f>
        <v>นาง</v>
      </c>
      <c r="J29" s="1" t="str">
        <f>IFERROR(__xludf.DUMMYFUNCTION("""COMPUTED_VALUE"""),"ใจทิพย์")</f>
        <v>ใจทิพย์</v>
      </c>
      <c r="K29" s="1" t="str">
        <f>IFERROR(__xludf.DUMMYFUNCTION("""COMPUTED_VALUE"""),"อนันต์สลุง")</f>
        <v>อนันต์สลุง</v>
      </c>
      <c r="L29" s="1" t="str">
        <f>IFERROR(__xludf.DUMMYFUNCTION("""COMPUTED_VALUE"""),"ม.3")</f>
        <v>ม.3</v>
      </c>
      <c r="M29" s="1" t="str">
        <f>IFERROR(__xludf.DUMMYFUNCTION("""COMPUTED_VALUE"""),"ภาษาไทย")</f>
        <v>ภาษาไทย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>
        <f>IFERROR(__xludf.DUMMYFUNCTION("""COMPUTED_VALUE"""),6.0)</f>
        <v>6</v>
      </c>
      <c r="B30" s="1">
        <f>IFERROR(__xludf.DUMMYFUNCTION("""COMPUTED_VALUE"""),1.0)</f>
        <v>1</v>
      </c>
      <c r="C30" s="1" t="str">
        <f>IFERROR(__xludf.DUMMYFUNCTION("""COMPUTED_VALUE"""),"ท23101")</f>
        <v>ท23101</v>
      </c>
      <c r="D30" s="1" t="str">
        <f>IFERROR(__xludf.DUMMYFUNCTION("""COMPUTED_VALUE"""),"ภาษาไทย 5")</f>
        <v>ภาษาไทย 5</v>
      </c>
      <c r="E30" s="1">
        <f>IFERROR(__xludf.DUMMYFUNCTION("""COMPUTED_VALUE"""),1.5)</f>
        <v>1.5</v>
      </c>
      <c r="F30" s="1">
        <f>IFERROR(__xludf.DUMMYFUNCTION("""COMPUTED_VALUE"""),2569.0)</f>
        <v>2569</v>
      </c>
      <c r="G30" s="1">
        <f>IFERROR(__xludf.DUMMYFUNCTION("""COMPUTED_VALUE"""),1.0)</f>
        <v>1</v>
      </c>
      <c r="H30" s="1">
        <f>IFERROR(__xludf.DUMMYFUNCTION("""COMPUTED_VALUE"""),125.0)</f>
        <v>125</v>
      </c>
      <c r="I30" s="1" t="str">
        <f>IFERROR(__xludf.DUMMYFUNCTION("""COMPUTED_VALUE"""),"นาง")</f>
        <v>นาง</v>
      </c>
      <c r="J30" s="1" t="str">
        <f>IFERROR(__xludf.DUMMYFUNCTION("""COMPUTED_VALUE"""),"ใจทิพย์")</f>
        <v>ใจทิพย์</v>
      </c>
      <c r="K30" s="1" t="str">
        <f>IFERROR(__xludf.DUMMYFUNCTION("""COMPUTED_VALUE"""),"อนันต์สลุง")</f>
        <v>อนันต์สลุง</v>
      </c>
      <c r="L30" s="1" t="str">
        <f>IFERROR(__xludf.DUMMYFUNCTION("""COMPUTED_VALUE"""),"ม.3")</f>
        <v>ม.3</v>
      </c>
      <c r="M30" s="1" t="str">
        <f>IFERROR(__xludf.DUMMYFUNCTION("""COMPUTED_VALUE"""),"ภาษาไทย")</f>
        <v>ภาษาไทย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>
        <f>IFERROR(__xludf.DUMMYFUNCTION("""COMPUTED_VALUE"""),5.0)</f>
        <v>5</v>
      </c>
      <c r="B31" s="1">
        <f>IFERROR(__xludf.DUMMYFUNCTION("""COMPUTED_VALUE"""),1.0)</f>
        <v>1</v>
      </c>
      <c r="C31" s="1" t="str">
        <f>IFERROR(__xludf.DUMMYFUNCTION("""COMPUTED_VALUE"""),"ส20225")</f>
        <v>ส20225</v>
      </c>
      <c r="D31" s="1" t="str">
        <f>IFERROR(__xludf.DUMMYFUNCTION("""COMPUTED_VALUE"""),"การป้องกันการทุจริต 3")</f>
        <v>การป้องกันการทุจริต 3</v>
      </c>
      <c r="E31" s="1">
        <f>IFERROR(__xludf.DUMMYFUNCTION("""COMPUTED_VALUE"""),0.5)</f>
        <v>0.5</v>
      </c>
      <c r="F31" s="1">
        <f>IFERROR(__xludf.DUMMYFUNCTION("""COMPUTED_VALUE"""),2569.0)</f>
        <v>2569</v>
      </c>
      <c r="G31" s="1">
        <f>IFERROR(__xludf.DUMMYFUNCTION("""COMPUTED_VALUE"""),1.0)</f>
        <v>1</v>
      </c>
      <c r="H31" s="1">
        <f>IFERROR(__xludf.DUMMYFUNCTION("""COMPUTED_VALUE"""),125.0)</f>
        <v>125</v>
      </c>
      <c r="I31" s="1" t="str">
        <f>IFERROR(__xludf.DUMMYFUNCTION("""COMPUTED_VALUE"""),"นาง")</f>
        <v>นาง</v>
      </c>
      <c r="J31" s="1" t="str">
        <f>IFERROR(__xludf.DUMMYFUNCTION("""COMPUTED_VALUE"""),"ใจทิพย์")</f>
        <v>ใจทิพย์</v>
      </c>
      <c r="K31" s="1" t="str">
        <f>IFERROR(__xludf.DUMMYFUNCTION("""COMPUTED_VALUE"""),"อนันต์สลุง")</f>
        <v>อนันต์สลุง</v>
      </c>
      <c r="L31" s="1" t="str">
        <f>IFERROR(__xludf.DUMMYFUNCTION("""COMPUTED_VALUE"""),"ม.2")</f>
        <v>ม.2</v>
      </c>
      <c r="M31" s="1" t="str">
        <f>IFERROR(__xludf.DUMMYFUNCTION("""COMPUTED_VALUE"""),"ภาษาไทย")</f>
        <v>ภาษาไทย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>
        <f>IFERROR(__xludf.DUMMYFUNCTION("""COMPUTED_VALUE"""),1.0)</f>
        <v>1</v>
      </c>
      <c r="B32" s="1">
        <f>IFERROR(__xludf.DUMMYFUNCTION("""COMPUTED_VALUE"""),1.0)</f>
        <v>1</v>
      </c>
      <c r="C32" s="1" t="str">
        <f>IFERROR(__xludf.DUMMYFUNCTION("""COMPUTED_VALUE"""),"ท31101")</f>
        <v>ท31101</v>
      </c>
      <c r="D32" s="1" t="str">
        <f>IFERROR(__xludf.DUMMYFUNCTION("""COMPUTED_VALUE"""),"ภาษาไทย 1")</f>
        <v>ภาษาไทย 1</v>
      </c>
      <c r="E32" s="1">
        <f>IFERROR(__xludf.DUMMYFUNCTION("""COMPUTED_VALUE"""),1.0)</f>
        <v>1</v>
      </c>
      <c r="F32" s="1">
        <f>IFERROR(__xludf.DUMMYFUNCTION("""COMPUTED_VALUE"""),2569.0)</f>
        <v>2569</v>
      </c>
      <c r="G32" s="1">
        <f>IFERROR(__xludf.DUMMYFUNCTION("""COMPUTED_VALUE"""),1.0)</f>
        <v>1</v>
      </c>
      <c r="H32" s="1">
        <f>IFERROR(__xludf.DUMMYFUNCTION("""COMPUTED_VALUE"""),127.0)</f>
        <v>127</v>
      </c>
      <c r="I32" s="1" t="str">
        <f>IFERROR(__xludf.DUMMYFUNCTION("""COMPUTED_VALUE"""),"นางสาว")</f>
        <v>นางสาว</v>
      </c>
      <c r="J32" s="1" t="str">
        <f>IFERROR(__xludf.DUMMYFUNCTION("""COMPUTED_VALUE"""),"จริยา")</f>
        <v>จริยา</v>
      </c>
      <c r="K32" s="1" t="str">
        <f>IFERROR(__xludf.DUMMYFUNCTION("""COMPUTED_VALUE"""),"บัวพนัส")</f>
        <v>บัวพนัส</v>
      </c>
      <c r="L32" s="1" t="str">
        <f>IFERROR(__xludf.DUMMYFUNCTION("""COMPUTED_VALUE"""),"ม.4")</f>
        <v>ม.4</v>
      </c>
      <c r="M32" s="1" t="str">
        <f>IFERROR(__xludf.DUMMYFUNCTION("""COMPUTED_VALUE"""),"ภาษาไทย")</f>
        <v>ภาษาไทย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>
        <f>IFERROR(__xludf.DUMMYFUNCTION("""COMPUTED_VALUE"""),3.0)</f>
        <v>3</v>
      </c>
      <c r="B33" s="1">
        <f>IFERROR(__xludf.DUMMYFUNCTION("""COMPUTED_VALUE"""),1.0)</f>
        <v>1</v>
      </c>
      <c r="C33" s="1" t="str">
        <f>IFERROR(__xludf.DUMMYFUNCTION("""COMPUTED_VALUE"""),"ท31101")</f>
        <v>ท31101</v>
      </c>
      <c r="D33" s="1" t="str">
        <f>IFERROR(__xludf.DUMMYFUNCTION("""COMPUTED_VALUE"""),"ภาษาไทย 1")</f>
        <v>ภาษาไทย 1</v>
      </c>
      <c r="E33" s="1">
        <f>IFERROR(__xludf.DUMMYFUNCTION("""COMPUTED_VALUE"""),1.0)</f>
        <v>1</v>
      </c>
      <c r="F33" s="1">
        <f>IFERROR(__xludf.DUMMYFUNCTION("""COMPUTED_VALUE"""),2569.0)</f>
        <v>2569</v>
      </c>
      <c r="G33" s="1">
        <f>IFERROR(__xludf.DUMMYFUNCTION("""COMPUTED_VALUE"""),1.0)</f>
        <v>1</v>
      </c>
      <c r="H33" s="1">
        <f>IFERROR(__xludf.DUMMYFUNCTION("""COMPUTED_VALUE"""),127.0)</f>
        <v>127</v>
      </c>
      <c r="I33" s="1" t="str">
        <f>IFERROR(__xludf.DUMMYFUNCTION("""COMPUTED_VALUE"""),"นางสาว")</f>
        <v>นางสาว</v>
      </c>
      <c r="J33" s="1" t="str">
        <f>IFERROR(__xludf.DUMMYFUNCTION("""COMPUTED_VALUE"""),"จริยา")</f>
        <v>จริยา</v>
      </c>
      <c r="K33" s="1" t="str">
        <f>IFERROR(__xludf.DUMMYFUNCTION("""COMPUTED_VALUE"""),"บัวพนัส")</f>
        <v>บัวพนัส</v>
      </c>
      <c r="L33" s="1" t="str">
        <f>IFERROR(__xludf.DUMMYFUNCTION("""COMPUTED_VALUE"""),"ม.4")</f>
        <v>ม.4</v>
      </c>
      <c r="M33" s="1" t="str">
        <f>IFERROR(__xludf.DUMMYFUNCTION("""COMPUTED_VALUE"""),"ภาษาไทย")</f>
        <v>ภาษาไทย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>
        <f>IFERROR(__xludf.DUMMYFUNCTION("""COMPUTED_VALUE"""),5.0)</f>
        <v>5</v>
      </c>
      <c r="B34" s="1">
        <f>IFERROR(__xludf.DUMMYFUNCTION("""COMPUTED_VALUE"""),1.0)</f>
        <v>1</v>
      </c>
      <c r="C34" s="1" t="str">
        <f>IFERROR(__xludf.DUMMYFUNCTION("""COMPUTED_VALUE"""),"ท31101")</f>
        <v>ท31101</v>
      </c>
      <c r="D34" s="1" t="str">
        <f>IFERROR(__xludf.DUMMYFUNCTION("""COMPUTED_VALUE"""),"ภาษาไทย 1")</f>
        <v>ภาษาไทย 1</v>
      </c>
      <c r="E34" s="1">
        <f>IFERROR(__xludf.DUMMYFUNCTION("""COMPUTED_VALUE"""),1.0)</f>
        <v>1</v>
      </c>
      <c r="F34" s="1">
        <f>IFERROR(__xludf.DUMMYFUNCTION("""COMPUTED_VALUE"""),2569.0)</f>
        <v>2569</v>
      </c>
      <c r="G34" s="1">
        <f>IFERROR(__xludf.DUMMYFUNCTION("""COMPUTED_VALUE"""),1.0)</f>
        <v>1</v>
      </c>
      <c r="H34" s="1">
        <f>IFERROR(__xludf.DUMMYFUNCTION("""COMPUTED_VALUE"""),127.0)</f>
        <v>127</v>
      </c>
      <c r="I34" s="1" t="str">
        <f>IFERROR(__xludf.DUMMYFUNCTION("""COMPUTED_VALUE"""),"นางสาว")</f>
        <v>นางสาว</v>
      </c>
      <c r="J34" s="1" t="str">
        <f>IFERROR(__xludf.DUMMYFUNCTION("""COMPUTED_VALUE"""),"จริยา")</f>
        <v>จริยา</v>
      </c>
      <c r="K34" s="1" t="str">
        <f>IFERROR(__xludf.DUMMYFUNCTION("""COMPUTED_VALUE"""),"บัวพนัส")</f>
        <v>บัวพนัส</v>
      </c>
      <c r="L34" s="1" t="str">
        <f>IFERROR(__xludf.DUMMYFUNCTION("""COMPUTED_VALUE"""),"ม.4")</f>
        <v>ม.4</v>
      </c>
      <c r="M34" s="1" t="str">
        <f>IFERROR(__xludf.DUMMYFUNCTION("""COMPUTED_VALUE"""),"ภาษาไทย")</f>
        <v>ภาษาไทย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>
        <f>IFERROR(__xludf.DUMMYFUNCTION("""COMPUTED_VALUE"""),7.0)</f>
        <v>7</v>
      </c>
      <c r="B35" s="1">
        <f>IFERROR(__xludf.DUMMYFUNCTION("""COMPUTED_VALUE"""),1.0)</f>
        <v>1</v>
      </c>
      <c r="C35" s="1" t="str">
        <f>IFERROR(__xludf.DUMMYFUNCTION("""COMPUTED_VALUE"""),"ท31101")</f>
        <v>ท31101</v>
      </c>
      <c r="D35" s="1" t="str">
        <f>IFERROR(__xludf.DUMMYFUNCTION("""COMPUTED_VALUE"""),"ภาษาไทย 1")</f>
        <v>ภาษาไทย 1</v>
      </c>
      <c r="E35" s="1">
        <f>IFERROR(__xludf.DUMMYFUNCTION("""COMPUTED_VALUE"""),1.0)</f>
        <v>1</v>
      </c>
      <c r="F35" s="1">
        <f>IFERROR(__xludf.DUMMYFUNCTION("""COMPUTED_VALUE"""),2569.0)</f>
        <v>2569</v>
      </c>
      <c r="G35" s="1">
        <f>IFERROR(__xludf.DUMMYFUNCTION("""COMPUTED_VALUE"""),1.0)</f>
        <v>1</v>
      </c>
      <c r="H35" s="1">
        <f>IFERROR(__xludf.DUMMYFUNCTION("""COMPUTED_VALUE"""),127.0)</f>
        <v>127</v>
      </c>
      <c r="I35" s="1" t="str">
        <f>IFERROR(__xludf.DUMMYFUNCTION("""COMPUTED_VALUE"""),"นางสาว")</f>
        <v>นางสาว</v>
      </c>
      <c r="J35" s="1" t="str">
        <f>IFERROR(__xludf.DUMMYFUNCTION("""COMPUTED_VALUE"""),"จริยา")</f>
        <v>จริยา</v>
      </c>
      <c r="K35" s="1" t="str">
        <f>IFERROR(__xludf.DUMMYFUNCTION("""COMPUTED_VALUE"""),"บัวพนัส")</f>
        <v>บัวพนัส</v>
      </c>
      <c r="L35" s="1" t="str">
        <f>IFERROR(__xludf.DUMMYFUNCTION("""COMPUTED_VALUE"""),"ม.4")</f>
        <v>ม.4</v>
      </c>
      <c r="M35" s="1" t="str">
        <f>IFERROR(__xludf.DUMMYFUNCTION("""COMPUTED_VALUE"""),"ภาษาไทย")</f>
        <v>ภาษาไทย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>
        <f>IFERROR(__xludf.DUMMYFUNCTION("""COMPUTED_VALUE"""),8.0)</f>
        <v>8</v>
      </c>
      <c r="B36" s="1">
        <f>IFERROR(__xludf.DUMMYFUNCTION("""COMPUTED_VALUE"""),1.0)</f>
        <v>1</v>
      </c>
      <c r="C36" s="1" t="str">
        <f>IFERROR(__xludf.DUMMYFUNCTION("""COMPUTED_VALUE"""),"ท31101")</f>
        <v>ท31101</v>
      </c>
      <c r="D36" s="1" t="str">
        <f>IFERROR(__xludf.DUMMYFUNCTION("""COMPUTED_VALUE"""),"ภาษาไทย 1")</f>
        <v>ภาษาไทย 1</v>
      </c>
      <c r="E36" s="1">
        <f>IFERROR(__xludf.DUMMYFUNCTION("""COMPUTED_VALUE"""),1.0)</f>
        <v>1</v>
      </c>
      <c r="F36" s="1">
        <f>IFERROR(__xludf.DUMMYFUNCTION("""COMPUTED_VALUE"""),2569.0)</f>
        <v>2569</v>
      </c>
      <c r="G36" s="1">
        <f>IFERROR(__xludf.DUMMYFUNCTION("""COMPUTED_VALUE"""),1.0)</f>
        <v>1</v>
      </c>
      <c r="H36" s="1">
        <f>IFERROR(__xludf.DUMMYFUNCTION("""COMPUTED_VALUE"""),127.0)</f>
        <v>127</v>
      </c>
      <c r="I36" s="1" t="str">
        <f>IFERROR(__xludf.DUMMYFUNCTION("""COMPUTED_VALUE"""),"นางสาว")</f>
        <v>นางสาว</v>
      </c>
      <c r="J36" s="1" t="str">
        <f>IFERROR(__xludf.DUMMYFUNCTION("""COMPUTED_VALUE"""),"จริยา")</f>
        <v>จริยา</v>
      </c>
      <c r="K36" s="1" t="str">
        <f>IFERROR(__xludf.DUMMYFUNCTION("""COMPUTED_VALUE"""),"บัวพนัส")</f>
        <v>บัวพนัส</v>
      </c>
      <c r="L36" s="1" t="str">
        <f>IFERROR(__xludf.DUMMYFUNCTION("""COMPUTED_VALUE"""),"ม.4")</f>
        <v>ม.4</v>
      </c>
      <c r="M36" s="1" t="str">
        <f>IFERROR(__xludf.DUMMYFUNCTION("""COMPUTED_VALUE"""),"ภาษาไทย")</f>
        <v>ภาษาไทย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>
        <f>IFERROR(__xludf.DUMMYFUNCTION("""COMPUTED_VALUE"""),9.0)</f>
        <v>9</v>
      </c>
      <c r="B37" s="1">
        <f>IFERROR(__xludf.DUMMYFUNCTION("""COMPUTED_VALUE"""),1.0)</f>
        <v>1</v>
      </c>
      <c r="C37" s="1" t="str">
        <f>IFERROR(__xludf.DUMMYFUNCTION("""COMPUTED_VALUE"""),"ท31101")</f>
        <v>ท31101</v>
      </c>
      <c r="D37" s="1" t="str">
        <f>IFERROR(__xludf.DUMMYFUNCTION("""COMPUTED_VALUE"""),"ภาษาไทย 1")</f>
        <v>ภาษาไทย 1</v>
      </c>
      <c r="E37" s="1">
        <f>IFERROR(__xludf.DUMMYFUNCTION("""COMPUTED_VALUE"""),1.0)</f>
        <v>1</v>
      </c>
      <c r="F37" s="1">
        <f>IFERROR(__xludf.DUMMYFUNCTION("""COMPUTED_VALUE"""),2569.0)</f>
        <v>2569</v>
      </c>
      <c r="G37" s="1">
        <f>IFERROR(__xludf.DUMMYFUNCTION("""COMPUTED_VALUE"""),1.0)</f>
        <v>1</v>
      </c>
      <c r="H37" s="1">
        <f>IFERROR(__xludf.DUMMYFUNCTION("""COMPUTED_VALUE"""),127.0)</f>
        <v>127</v>
      </c>
      <c r="I37" s="1" t="str">
        <f>IFERROR(__xludf.DUMMYFUNCTION("""COMPUTED_VALUE"""),"นางสาว")</f>
        <v>นางสาว</v>
      </c>
      <c r="J37" s="1" t="str">
        <f>IFERROR(__xludf.DUMMYFUNCTION("""COMPUTED_VALUE"""),"จริยา")</f>
        <v>จริยา</v>
      </c>
      <c r="K37" s="1" t="str">
        <f>IFERROR(__xludf.DUMMYFUNCTION("""COMPUTED_VALUE"""),"บัวพนัส")</f>
        <v>บัวพนัส</v>
      </c>
      <c r="L37" s="1" t="str">
        <f>IFERROR(__xludf.DUMMYFUNCTION("""COMPUTED_VALUE"""),"ม.4")</f>
        <v>ม.4</v>
      </c>
      <c r="M37" s="1" t="str">
        <f>IFERROR(__xludf.DUMMYFUNCTION("""COMPUTED_VALUE"""),"ภาษาไทย")</f>
        <v>ภาษาไทย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>
        <f>IFERROR(__xludf.DUMMYFUNCTION("""COMPUTED_VALUE"""),8.0)</f>
        <v>8</v>
      </c>
      <c r="B38" s="1">
        <f>IFERROR(__xludf.DUMMYFUNCTION("""COMPUTED_VALUE"""),1.0)</f>
        <v>1</v>
      </c>
      <c r="C38" s="1" t="str">
        <f>IFERROR(__xludf.DUMMYFUNCTION("""COMPUTED_VALUE"""),"ท32201")</f>
        <v>ท32201</v>
      </c>
      <c r="D38" s="1" t="str">
        <f>IFERROR(__xludf.DUMMYFUNCTION("""COMPUTED_VALUE"""),"การพูด")</f>
        <v>การพูด</v>
      </c>
      <c r="E38" s="1">
        <f>IFERROR(__xludf.DUMMYFUNCTION("""COMPUTED_VALUE"""),1.0)</f>
        <v>1</v>
      </c>
      <c r="F38" s="1">
        <f>IFERROR(__xludf.DUMMYFUNCTION("""COMPUTED_VALUE"""),2569.0)</f>
        <v>2569</v>
      </c>
      <c r="G38" s="1">
        <f>IFERROR(__xludf.DUMMYFUNCTION("""COMPUTED_VALUE"""),1.0)</f>
        <v>1</v>
      </c>
      <c r="H38" s="1">
        <f>IFERROR(__xludf.DUMMYFUNCTION("""COMPUTED_VALUE"""),127.0)</f>
        <v>127</v>
      </c>
      <c r="I38" s="1" t="str">
        <f>IFERROR(__xludf.DUMMYFUNCTION("""COMPUTED_VALUE"""),"นางสาว")</f>
        <v>นางสาว</v>
      </c>
      <c r="J38" s="1" t="str">
        <f>IFERROR(__xludf.DUMMYFUNCTION("""COMPUTED_VALUE"""),"จริยา")</f>
        <v>จริยา</v>
      </c>
      <c r="K38" s="1" t="str">
        <f>IFERROR(__xludf.DUMMYFUNCTION("""COMPUTED_VALUE"""),"บัวพนัส")</f>
        <v>บัวพนัส</v>
      </c>
      <c r="L38" s="1" t="str">
        <f>IFERROR(__xludf.DUMMYFUNCTION("""COMPUTED_VALUE"""),"ม.5")</f>
        <v>ม.5</v>
      </c>
      <c r="M38" s="1" t="str">
        <f>IFERROR(__xludf.DUMMYFUNCTION("""COMPUTED_VALUE"""),"ภาษาไทย")</f>
        <v>ภาษาไทย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>
        <f>IFERROR(__xludf.DUMMYFUNCTION("""COMPUTED_VALUE"""),9.0)</f>
        <v>9</v>
      </c>
      <c r="B39" s="1">
        <f>IFERROR(__xludf.DUMMYFUNCTION("""COMPUTED_VALUE"""),1.0)</f>
        <v>1</v>
      </c>
      <c r="C39" s="1" t="str">
        <f>IFERROR(__xludf.DUMMYFUNCTION("""COMPUTED_VALUE"""),"ท32201")</f>
        <v>ท32201</v>
      </c>
      <c r="D39" s="1" t="str">
        <f>IFERROR(__xludf.DUMMYFUNCTION("""COMPUTED_VALUE"""),"การพูด")</f>
        <v>การพูด</v>
      </c>
      <c r="E39" s="1">
        <f>IFERROR(__xludf.DUMMYFUNCTION("""COMPUTED_VALUE"""),1.0)</f>
        <v>1</v>
      </c>
      <c r="F39" s="1">
        <f>IFERROR(__xludf.DUMMYFUNCTION("""COMPUTED_VALUE"""),2569.0)</f>
        <v>2569</v>
      </c>
      <c r="G39" s="1">
        <f>IFERROR(__xludf.DUMMYFUNCTION("""COMPUTED_VALUE"""),1.0)</f>
        <v>1</v>
      </c>
      <c r="H39" s="1">
        <f>IFERROR(__xludf.DUMMYFUNCTION("""COMPUTED_VALUE"""),127.0)</f>
        <v>127</v>
      </c>
      <c r="I39" s="1" t="str">
        <f>IFERROR(__xludf.DUMMYFUNCTION("""COMPUTED_VALUE"""),"นางสาว")</f>
        <v>นางสาว</v>
      </c>
      <c r="J39" s="1" t="str">
        <f>IFERROR(__xludf.DUMMYFUNCTION("""COMPUTED_VALUE"""),"จริยา")</f>
        <v>จริยา</v>
      </c>
      <c r="K39" s="1" t="str">
        <f>IFERROR(__xludf.DUMMYFUNCTION("""COMPUTED_VALUE"""),"บัวพนัส")</f>
        <v>บัวพนัส</v>
      </c>
      <c r="L39" s="1" t="str">
        <f>IFERROR(__xludf.DUMMYFUNCTION("""COMPUTED_VALUE"""),"ม.5")</f>
        <v>ม.5</v>
      </c>
      <c r="M39" s="1" t="str">
        <f>IFERROR(__xludf.DUMMYFUNCTION("""COMPUTED_VALUE"""),"ภาษาไทย")</f>
        <v>ภาษาไทย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>
        <f>IFERROR(__xludf.DUMMYFUNCTION("""COMPUTED_VALUE"""),10.0)</f>
        <v>10</v>
      </c>
      <c r="B40" s="1">
        <f>IFERROR(__xludf.DUMMYFUNCTION("""COMPUTED_VALUE"""),1.0)</f>
        <v>1</v>
      </c>
      <c r="C40" s="1" t="str">
        <f>IFERROR(__xludf.DUMMYFUNCTION("""COMPUTED_VALUE"""),"ท32201")</f>
        <v>ท32201</v>
      </c>
      <c r="D40" s="1" t="str">
        <f>IFERROR(__xludf.DUMMYFUNCTION("""COMPUTED_VALUE"""),"การพูด")</f>
        <v>การพูด</v>
      </c>
      <c r="E40" s="1">
        <f>IFERROR(__xludf.DUMMYFUNCTION("""COMPUTED_VALUE"""),1.0)</f>
        <v>1</v>
      </c>
      <c r="F40" s="1">
        <f>IFERROR(__xludf.DUMMYFUNCTION("""COMPUTED_VALUE"""),2569.0)</f>
        <v>2569</v>
      </c>
      <c r="G40" s="1">
        <f>IFERROR(__xludf.DUMMYFUNCTION("""COMPUTED_VALUE"""),1.0)</f>
        <v>1</v>
      </c>
      <c r="H40" s="1">
        <f>IFERROR(__xludf.DUMMYFUNCTION("""COMPUTED_VALUE"""),127.0)</f>
        <v>127</v>
      </c>
      <c r="I40" s="1" t="str">
        <f>IFERROR(__xludf.DUMMYFUNCTION("""COMPUTED_VALUE"""),"นางสาว")</f>
        <v>นางสาว</v>
      </c>
      <c r="J40" s="1" t="str">
        <f>IFERROR(__xludf.DUMMYFUNCTION("""COMPUTED_VALUE"""),"จริยา")</f>
        <v>จริยา</v>
      </c>
      <c r="K40" s="1" t="str">
        <f>IFERROR(__xludf.DUMMYFUNCTION("""COMPUTED_VALUE"""),"บัวพนัส")</f>
        <v>บัวพนัส</v>
      </c>
      <c r="L40" s="1" t="str">
        <f>IFERROR(__xludf.DUMMYFUNCTION("""COMPUTED_VALUE"""),"ม.5")</f>
        <v>ม.5</v>
      </c>
      <c r="M40" s="1" t="str">
        <f>IFERROR(__xludf.DUMMYFUNCTION("""COMPUTED_VALUE"""),"ภาษาไทย")</f>
        <v>ภาษาไทย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>
        <f>IFERROR(__xludf.DUMMYFUNCTION("""COMPUTED_VALUE"""),6.0)</f>
        <v>6</v>
      </c>
      <c r="B41" s="1">
        <f>IFERROR(__xludf.DUMMYFUNCTION("""COMPUTED_VALUE"""),1.0)</f>
        <v>1</v>
      </c>
      <c r="C41" s="1" t="str">
        <f>IFERROR(__xludf.DUMMYFUNCTION("""COMPUTED_VALUE"""),"ส20223")</f>
        <v>ส20223</v>
      </c>
      <c r="D41" s="1" t="str">
        <f>IFERROR(__xludf.DUMMYFUNCTION("""COMPUTED_VALUE"""),"การป้องกันการทุจริต 1")</f>
        <v>การป้องกันการทุจริต 1</v>
      </c>
      <c r="E41" s="1">
        <f>IFERROR(__xludf.DUMMYFUNCTION("""COMPUTED_VALUE"""),0.5)</f>
        <v>0.5</v>
      </c>
      <c r="F41" s="1">
        <f>IFERROR(__xludf.DUMMYFUNCTION("""COMPUTED_VALUE"""),2569.0)</f>
        <v>2569</v>
      </c>
      <c r="G41" s="1">
        <f>IFERROR(__xludf.DUMMYFUNCTION("""COMPUTED_VALUE"""),1.0)</f>
        <v>1</v>
      </c>
      <c r="H41" s="1">
        <f>IFERROR(__xludf.DUMMYFUNCTION("""COMPUTED_VALUE"""),127.0)</f>
        <v>127</v>
      </c>
      <c r="I41" s="1" t="str">
        <f>IFERROR(__xludf.DUMMYFUNCTION("""COMPUTED_VALUE"""),"นางสาว")</f>
        <v>นางสาว</v>
      </c>
      <c r="J41" s="1" t="str">
        <f>IFERROR(__xludf.DUMMYFUNCTION("""COMPUTED_VALUE"""),"จริยา")</f>
        <v>จริยา</v>
      </c>
      <c r="K41" s="1" t="str">
        <f>IFERROR(__xludf.DUMMYFUNCTION("""COMPUTED_VALUE"""),"บัวพนัส")</f>
        <v>บัวพนัส</v>
      </c>
      <c r="L41" s="1" t="str">
        <f>IFERROR(__xludf.DUMMYFUNCTION("""COMPUTED_VALUE"""),"ม.1")</f>
        <v>ม.1</v>
      </c>
      <c r="M41" s="1" t="str">
        <f>IFERROR(__xludf.DUMMYFUNCTION("""COMPUTED_VALUE"""),"ภาษาไทย")</f>
        <v>ภาษาไทย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>
        <f>IFERROR(__xludf.DUMMYFUNCTION("""COMPUTED_VALUE"""),8.0)</f>
        <v>8</v>
      </c>
      <c r="B42" s="1">
        <f>IFERROR(__xludf.DUMMYFUNCTION("""COMPUTED_VALUE"""),1.0)</f>
        <v>1</v>
      </c>
      <c r="C42" s="1" t="str">
        <f>IFERROR(__xludf.DUMMYFUNCTION("""COMPUTED_VALUE"""),"ท30201")</f>
        <v>ท30201</v>
      </c>
      <c r="D42" s="1" t="str">
        <f>IFERROR(__xludf.DUMMYFUNCTION("""COMPUTED_VALUE"""),"ภาษาไทยเพื่อกิจกรรมการแสดง 1")</f>
        <v>ภาษาไทยเพื่อกิจกรรมการแสดง 1</v>
      </c>
      <c r="E42" s="1">
        <f>IFERROR(__xludf.DUMMYFUNCTION("""COMPUTED_VALUE"""),1.0)</f>
        <v>1</v>
      </c>
      <c r="F42" s="1">
        <f>IFERROR(__xludf.DUMMYFUNCTION("""COMPUTED_VALUE"""),2569.0)</f>
        <v>2569</v>
      </c>
      <c r="G42" s="1">
        <f>IFERROR(__xludf.DUMMYFUNCTION("""COMPUTED_VALUE"""),1.0)</f>
        <v>1</v>
      </c>
      <c r="H42" s="1">
        <f>IFERROR(__xludf.DUMMYFUNCTION("""COMPUTED_VALUE"""),130.0)</f>
        <v>130</v>
      </c>
      <c r="I42" s="1" t="str">
        <f>IFERROR(__xludf.DUMMYFUNCTION("""COMPUTED_VALUE"""),"นางสาว")</f>
        <v>นางสาว</v>
      </c>
      <c r="J42" s="1" t="str">
        <f>IFERROR(__xludf.DUMMYFUNCTION("""COMPUTED_VALUE"""),"อัญชิสา")</f>
        <v>อัญชิสา</v>
      </c>
      <c r="K42" s="1" t="str">
        <f>IFERROR(__xludf.DUMMYFUNCTION("""COMPUTED_VALUE"""),"ภิรมย์สุทธิ์")</f>
        <v>ภิรมย์สุทธิ์</v>
      </c>
      <c r="L42" s="1" t="str">
        <f>IFERROR(__xludf.DUMMYFUNCTION("""COMPUTED_VALUE"""),"ม.6")</f>
        <v>ม.6</v>
      </c>
      <c r="M42" s="1" t="str">
        <f>IFERROR(__xludf.DUMMYFUNCTION("""COMPUTED_VALUE"""),"ภาษาไทย")</f>
        <v>ภาษาไทย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>
        <f>IFERROR(__xludf.DUMMYFUNCTION("""COMPUTED_VALUE"""),9.0)</f>
        <v>9</v>
      </c>
      <c r="B43" s="1">
        <f>IFERROR(__xludf.DUMMYFUNCTION("""COMPUTED_VALUE"""),1.0)</f>
        <v>1</v>
      </c>
      <c r="C43" s="1" t="str">
        <f>IFERROR(__xludf.DUMMYFUNCTION("""COMPUTED_VALUE"""),"ท30201")</f>
        <v>ท30201</v>
      </c>
      <c r="D43" s="1" t="str">
        <f>IFERROR(__xludf.DUMMYFUNCTION("""COMPUTED_VALUE"""),"ภาษาไทยเพื่อกิจกรรมการแสดง 1")</f>
        <v>ภาษาไทยเพื่อกิจกรรมการแสดง 1</v>
      </c>
      <c r="E43" s="1">
        <f>IFERROR(__xludf.DUMMYFUNCTION("""COMPUTED_VALUE"""),1.0)</f>
        <v>1</v>
      </c>
      <c r="F43" s="1">
        <f>IFERROR(__xludf.DUMMYFUNCTION("""COMPUTED_VALUE"""),2569.0)</f>
        <v>2569</v>
      </c>
      <c r="G43" s="1">
        <f>IFERROR(__xludf.DUMMYFUNCTION("""COMPUTED_VALUE"""),1.0)</f>
        <v>1</v>
      </c>
      <c r="H43" s="1">
        <f>IFERROR(__xludf.DUMMYFUNCTION("""COMPUTED_VALUE"""),130.0)</f>
        <v>130</v>
      </c>
      <c r="I43" s="1" t="str">
        <f>IFERROR(__xludf.DUMMYFUNCTION("""COMPUTED_VALUE"""),"นางสาว")</f>
        <v>นางสาว</v>
      </c>
      <c r="J43" s="1" t="str">
        <f>IFERROR(__xludf.DUMMYFUNCTION("""COMPUTED_VALUE"""),"อัญชิสา")</f>
        <v>อัญชิสา</v>
      </c>
      <c r="K43" s="1" t="str">
        <f>IFERROR(__xludf.DUMMYFUNCTION("""COMPUTED_VALUE"""),"ภิรมย์สุทธิ์")</f>
        <v>ภิรมย์สุทธิ์</v>
      </c>
      <c r="L43" s="1" t="str">
        <f>IFERROR(__xludf.DUMMYFUNCTION("""COMPUTED_VALUE"""),"ม.6")</f>
        <v>ม.6</v>
      </c>
      <c r="M43" s="1" t="str">
        <f>IFERROR(__xludf.DUMMYFUNCTION("""COMPUTED_VALUE"""),"ภาษาไทย")</f>
        <v>ภาษาไทย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>
        <f>IFERROR(__xludf.DUMMYFUNCTION("""COMPUTED_VALUE"""),10.0)</f>
        <v>10</v>
      </c>
      <c r="B44" s="1">
        <f>IFERROR(__xludf.DUMMYFUNCTION("""COMPUTED_VALUE"""),1.0)</f>
        <v>1</v>
      </c>
      <c r="C44" s="1" t="str">
        <f>IFERROR(__xludf.DUMMYFUNCTION("""COMPUTED_VALUE"""),"ท30201")</f>
        <v>ท30201</v>
      </c>
      <c r="D44" s="1" t="str">
        <f>IFERROR(__xludf.DUMMYFUNCTION("""COMPUTED_VALUE"""),"ภาษาไทยเพื่อกิจกรรมการแสดง 1")</f>
        <v>ภาษาไทยเพื่อกิจกรรมการแสดง 1</v>
      </c>
      <c r="E44" s="1">
        <f>IFERROR(__xludf.DUMMYFUNCTION("""COMPUTED_VALUE"""),1.0)</f>
        <v>1</v>
      </c>
      <c r="F44" s="1">
        <f>IFERROR(__xludf.DUMMYFUNCTION("""COMPUTED_VALUE"""),2569.0)</f>
        <v>2569</v>
      </c>
      <c r="G44" s="1">
        <f>IFERROR(__xludf.DUMMYFUNCTION("""COMPUTED_VALUE"""),1.0)</f>
        <v>1</v>
      </c>
      <c r="H44" s="1">
        <f>IFERROR(__xludf.DUMMYFUNCTION("""COMPUTED_VALUE"""),130.0)</f>
        <v>130</v>
      </c>
      <c r="I44" s="1" t="str">
        <f>IFERROR(__xludf.DUMMYFUNCTION("""COMPUTED_VALUE"""),"นางสาว")</f>
        <v>นางสาว</v>
      </c>
      <c r="J44" s="1" t="str">
        <f>IFERROR(__xludf.DUMMYFUNCTION("""COMPUTED_VALUE"""),"อัญชิสา")</f>
        <v>อัญชิสา</v>
      </c>
      <c r="K44" s="1" t="str">
        <f>IFERROR(__xludf.DUMMYFUNCTION("""COMPUTED_VALUE"""),"ภิรมย์สุทธิ์")</f>
        <v>ภิรมย์สุทธิ์</v>
      </c>
      <c r="L44" s="1" t="str">
        <f>IFERROR(__xludf.DUMMYFUNCTION("""COMPUTED_VALUE"""),"ม.6")</f>
        <v>ม.6</v>
      </c>
      <c r="M44" s="1" t="str">
        <f>IFERROR(__xludf.DUMMYFUNCTION("""COMPUTED_VALUE"""),"ภาษาไทย")</f>
        <v>ภาษาไทย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>
        <f>IFERROR(__xludf.DUMMYFUNCTION("""COMPUTED_VALUE"""),2.0)</f>
        <v>2</v>
      </c>
      <c r="B45" s="1">
        <f>IFERROR(__xludf.DUMMYFUNCTION("""COMPUTED_VALUE"""),1.0)</f>
        <v>1</v>
      </c>
      <c r="C45" s="1" t="str">
        <f>IFERROR(__xludf.DUMMYFUNCTION("""COMPUTED_VALUE"""),"ท32101")</f>
        <v>ท32101</v>
      </c>
      <c r="D45" s="1" t="str">
        <f>IFERROR(__xludf.DUMMYFUNCTION("""COMPUTED_VALUE"""),"ภาษาไทย 3")</f>
        <v>ภาษาไทย 3</v>
      </c>
      <c r="E45" s="1">
        <f>IFERROR(__xludf.DUMMYFUNCTION("""COMPUTED_VALUE"""),1.0)</f>
        <v>1</v>
      </c>
      <c r="F45" s="1">
        <f>IFERROR(__xludf.DUMMYFUNCTION("""COMPUTED_VALUE"""),2569.0)</f>
        <v>2569</v>
      </c>
      <c r="G45" s="1">
        <f>IFERROR(__xludf.DUMMYFUNCTION("""COMPUTED_VALUE"""),1.0)</f>
        <v>1</v>
      </c>
      <c r="H45" s="1">
        <f>IFERROR(__xludf.DUMMYFUNCTION("""COMPUTED_VALUE"""),130.0)</f>
        <v>130</v>
      </c>
      <c r="I45" s="1" t="str">
        <f>IFERROR(__xludf.DUMMYFUNCTION("""COMPUTED_VALUE"""),"นางสาว")</f>
        <v>นางสาว</v>
      </c>
      <c r="J45" s="1" t="str">
        <f>IFERROR(__xludf.DUMMYFUNCTION("""COMPUTED_VALUE"""),"อัญชิสา")</f>
        <v>อัญชิสา</v>
      </c>
      <c r="K45" s="1" t="str">
        <f>IFERROR(__xludf.DUMMYFUNCTION("""COMPUTED_VALUE"""),"ภิรมย์สุทธิ์")</f>
        <v>ภิรมย์สุทธิ์</v>
      </c>
      <c r="L45" s="1" t="str">
        <f>IFERROR(__xludf.DUMMYFUNCTION("""COMPUTED_VALUE"""),"ม.5")</f>
        <v>ม.5</v>
      </c>
      <c r="M45" s="1" t="str">
        <f>IFERROR(__xludf.DUMMYFUNCTION("""COMPUTED_VALUE"""),"ภาษาไทย")</f>
        <v>ภาษาไทย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>
        <f>IFERROR(__xludf.DUMMYFUNCTION("""COMPUTED_VALUE"""),4.0)</f>
        <v>4</v>
      </c>
      <c r="B46" s="1">
        <f>IFERROR(__xludf.DUMMYFUNCTION("""COMPUTED_VALUE"""),1.0)</f>
        <v>1</v>
      </c>
      <c r="C46" s="1" t="str">
        <f>IFERROR(__xludf.DUMMYFUNCTION("""COMPUTED_VALUE"""),"ท32101")</f>
        <v>ท32101</v>
      </c>
      <c r="D46" s="1" t="str">
        <f>IFERROR(__xludf.DUMMYFUNCTION("""COMPUTED_VALUE"""),"ภาษาไทย 3")</f>
        <v>ภาษาไทย 3</v>
      </c>
      <c r="E46" s="1">
        <f>IFERROR(__xludf.DUMMYFUNCTION("""COMPUTED_VALUE"""),1.0)</f>
        <v>1</v>
      </c>
      <c r="F46" s="1">
        <f>IFERROR(__xludf.DUMMYFUNCTION("""COMPUTED_VALUE"""),2569.0)</f>
        <v>2569</v>
      </c>
      <c r="G46" s="1">
        <f>IFERROR(__xludf.DUMMYFUNCTION("""COMPUTED_VALUE"""),1.0)</f>
        <v>1</v>
      </c>
      <c r="H46" s="1">
        <f>IFERROR(__xludf.DUMMYFUNCTION("""COMPUTED_VALUE"""),130.0)</f>
        <v>130</v>
      </c>
      <c r="I46" s="1" t="str">
        <f>IFERROR(__xludf.DUMMYFUNCTION("""COMPUTED_VALUE"""),"นางสาว")</f>
        <v>นางสาว</v>
      </c>
      <c r="J46" s="1" t="str">
        <f>IFERROR(__xludf.DUMMYFUNCTION("""COMPUTED_VALUE"""),"อัญชิสา")</f>
        <v>อัญชิสา</v>
      </c>
      <c r="K46" s="1" t="str">
        <f>IFERROR(__xludf.DUMMYFUNCTION("""COMPUTED_VALUE"""),"ภิรมย์สุทธิ์")</f>
        <v>ภิรมย์สุทธิ์</v>
      </c>
      <c r="L46" s="1" t="str">
        <f>IFERROR(__xludf.DUMMYFUNCTION("""COMPUTED_VALUE"""),"ม.5")</f>
        <v>ม.5</v>
      </c>
      <c r="M46" s="1" t="str">
        <f>IFERROR(__xludf.DUMMYFUNCTION("""COMPUTED_VALUE"""),"ภาษาไทย")</f>
        <v>ภาษาไทย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>
        <f>IFERROR(__xludf.DUMMYFUNCTION("""COMPUTED_VALUE"""),8.0)</f>
        <v>8</v>
      </c>
      <c r="B47" s="1">
        <f>IFERROR(__xludf.DUMMYFUNCTION("""COMPUTED_VALUE"""),1.0)</f>
        <v>1</v>
      </c>
      <c r="C47" s="1" t="str">
        <f>IFERROR(__xludf.DUMMYFUNCTION("""COMPUTED_VALUE"""),"ท32101")</f>
        <v>ท32101</v>
      </c>
      <c r="D47" s="1" t="str">
        <f>IFERROR(__xludf.DUMMYFUNCTION("""COMPUTED_VALUE"""),"ภาษาไทย 3")</f>
        <v>ภาษาไทย 3</v>
      </c>
      <c r="E47" s="1">
        <f>IFERROR(__xludf.DUMMYFUNCTION("""COMPUTED_VALUE"""),1.0)</f>
        <v>1</v>
      </c>
      <c r="F47" s="1">
        <f>IFERROR(__xludf.DUMMYFUNCTION("""COMPUTED_VALUE"""),2569.0)</f>
        <v>2569</v>
      </c>
      <c r="G47" s="1">
        <f>IFERROR(__xludf.DUMMYFUNCTION("""COMPUTED_VALUE"""),1.0)</f>
        <v>1</v>
      </c>
      <c r="H47" s="1">
        <f>IFERROR(__xludf.DUMMYFUNCTION("""COMPUTED_VALUE"""),130.0)</f>
        <v>130</v>
      </c>
      <c r="I47" s="1" t="str">
        <f>IFERROR(__xludf.DUMMYFUNCTION("""COMPUTED_VALUE"""),"นางสาว")</f>
        <v>นางสาว</v>
      </c>
      <c r="J47" s="1" t="str">
        <f>IFERROR(__xludf.DUMMYFUNCTION("""COMPUTED_VALUE"""),"อัญชิสา")</f>
        <v>อัญชิสา</v>
      </c>
      <c r="K47" s="1" t="str">
        <f>IFERROR(__xludf.DUMMYFUNCTION("""COMPUTED_VALUE"""),"ภิรมย์สุทธิ์")</f>
        <v>ภิรมย์สุทธิ์</v>
      </c>
      <c r="L47" s="1" t="str">
        <f>IFERROR(__xludf.DUMMYFUNCTION("""COMPUTED_VALUE"""),"ม.5")</f>
        <v>ม.5</v>
      </c>
      <c r="M47" s="1" t="str">
        <f>IFERROR(__xludf.DUMMYFUNCTION("""COMPUTED_VALUE"""),"ภาษาไทย")</f>
        <v>ภาษาไทย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>
        <f>IFERROR(__xludf.DUMMYFUNCTION("""COMPUTED_VALUE"""),10.0)</f>
        <v>10</v>
      </c>
      <c r="B48" s="1">
        <f>IFERROR(__xludf.DUMMYFUNCTION("""COMPUTED_VALUE"""),1.0)</f>
        <v>1</v>
      </c>
      <c r="C48" s="1" t="str">
        <f>IFERROR(__xludf.DUMMYFUNCTION("""COMPUTED_VALUE"""),"ท32101")</f>
        <v>ท32101</v>
      </c>
      <c r="D48" s="1" t="str">
        <f>IFERROR(__xludf.DUMMYFUNCTION("""COMPUTED_VALUE"""),"ภาษาไทย 3")</f>
        <v>ภาษาไทย 3</v>
      </c>
      <c r="E48" s="1">
        <f>IFERROR(__xludf.DUMMYFUNCTION("""COMPUTED_VALUE"""),1.0)</f>
        <v>1</v>
      </c>
      <c r="F48" s="1">
        <f>IFERROR(__xludf.DUMMYFUNCTION("""COMPUTED_VALUE"""),2569.0)</f>
        <v>2569</v>
      </c>
      <c r="G48" s="1">
        <f>IFERROR(__xludf.DUMMYFUNCTION("""COMPUTED_VALUE"""),1.0)</f>
        <v>1</v>
      </c>
      <c r="H48" s="1">
        <f>IFERROR(__xludf.DUMMYFUNCTION("""COMPUTED_VALUE"""),130.0)</f>
        <v>130</v>
      </c>
      <c r="I48" s="1" t="str">
        <f>IFERROR(__xludf.DUMMYFUNCTION("""COMPUTED_VALUE"""),"นางสาว")</f>
        <v>นางสาว</v>
      </c>
      <c r="J48" s="1" t="str">
        <f>IFERROR(__xludf.DUMMYFUNCTION("""COMPUTED_VALUE"""),"อัญชิสา")</f>
        <v>อัญชิสา</v>
      </c>
      <c r="K48" s="1" t="str">
        <f>IFERROR(__xludf.DUMMYFUNCTION("""COMPUTED_VALUE"""),"ภิรมย์สุทธิ์")</f>
        <v>ภิรมย์สุทธิ์</v>
      </c>
      <c r="L48" s="1" t="str">
        <f>IFERROR(__xludf.DUMMYFUNCTION("""COMPUTED_VALUE"""),"ม.5")</f>
        <v>ม.5</v>
      </c>
      <c r="M48" s="1" t="str">
        <f>IFERROR(__xludf.DUMMYFUNCTION("""COMPUTED_VALUE"""),"ภาษาไทย")</f>
        <v>ภาษาไทย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>
        <f>IFERROR(__xludf.DUMMYFUNCTION("""COMPUTED_VALUE"""),6.0)</f>
        <v>6</v>
      </c>
      <c r="B49" s="1">
        <f>IFERROR(__xludf.DUMMYFUNCTION("""COMPUTED_VALUE"""),1.0)</f>
        <v>1</v>
      </c>
      <c r="C49" s="1" t="str">
        <f>IFERROR(__xludf.DUMMYFUNCTION("""COMPUTED_VALUE"""),"ท33201")</f>
        <v>ท33201</v>
      </c>
      <c r="D49" s="1" t="str">
        <f>IFERROR(__xludf.DUMMYFUNCTION("""COMPUTED_VALUE"""),"ภาษาไทยเพื่อการศึกษาต่อ 1")</f>
        <v>ภาษาไทยเพื่อการศึกษาต่อ 1</v>
      </c>
      <c r="E49" s="1">
        <f>IFERROR(__xludf.DUMMYFUNCTION("""COMPUTED_VALUE"""),1.0)</f>
        <v>1</v>
      </c>
      <c r="F49" s="1">
        <f>IFERROR(__xludf.DUMMYFUNCTION("""COMPUTED_VALUE"""),2569.0)</f>
        <v>2569</v>
      </c>
      <c r="G49" s="1">
        <f>IFERROR(__xludf.DUMMYFUNCTION("""COMPUTED_VALUE"""),1.0)</f>
        <v>1</v>
      </c>
      <c r="H49" s="1">
        <f>IFERROR(__xludf.DUMMYFUNCTION("""COMPUTED_VALUE"""),130.0)</f>
        <v>130</v>
      </c>
      <c r="I49" s="1" t="str">
        <f>IFERROR(__xludf.DUMMYFUNCTION("""COMPUTED_VALUE"""),"นางสาว")</f>
        <v>นางสาว</v>
      </c>
      <c r="J49" s="1" t="str">
        <f>IFERROR(__xludf.DUMMYFUNCTION("""COMPUTED_VALUE"""),"อัญชิสา")</f>
        <v>อัญชิสา</v>
      </c>
      <c r="K49" s="1" t="str">
        <f>IFERROR(__xludf.DUMMYFUNCTION("""COMPUTED_VALUE"""),"ภิรมย์สุทธิ์")</f>
        <v>ภิรมย์สุทธิ์</v>
      </c>
      <c r="L49" s="1" t="str">
        <f>IFERROR(__xludf.DUMMYFUNCTION("""COMPUTED_VALUE"""),"ม.6")</f>
        <v>ม.6</v>
      </c>
      <c r="M49" s="1" t="str">
        <f>IFERROR(__xludf.DUMMYFUNCTION("""COMPUTED_VALUE"""),"ภาษาไทย")</f>
        <v>ภาษาไทย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>
        <f>IFERROR(__xludf.DUMMYFUNCTION("""COMPUTED_VALUE"""),7.0)</f>
        <v>7</v>
      </c>
      <c r="B50" s="1">
        <f>IFERROR(__xludf.DUMMYFUNCTION("""COMPUTED_VALUE"""),1.0)</f>
        <v>1</v>
      </c>
      <c r="C50" s="1" t="str">
        <f>IFERROR(__xludf.DUMMYFUNCTION("""COMPUTED_VALUE"""),"ท33201")</f>
        <v>ท33201</v>
      </c>
      <c r="D50" s="1" t="str">
        <f>IFERROR(__xludf.DUMMYFUNCTION("""COMPUTED_VALUE"""),"ภาษาไทยเพื่อการศึกษาต่อ 1")</f>
        <v>ภาษาไทยเพื่อการศึกษาต่อ 1</v>
      </c>
      <c r="E50" s="1">
        <f>IFERROR(__xludf.DUMMYFUNCTION("""COMPUTED_VALUE"""),1.0)</f>
        <v>1</v>
      </c>
      <c r="F50" s="1">
        <f>IFERROR(__xludf.DUMMYFUNCTION("""COMPUTED_VALUE"""),2569.0)</f>
        <v>2569</v>
      </c>
      <c r="G50" s="1">
        <f>IFERROR(__xludf.DUMMYFUNCTION("""COMPUTED_VALUE"""),1.0)</f>
        <v>1</v>
      </c>
      <c r="H50" s="1">
        <f>IFERROR(__xludf.DUMMYFUNCTION("""COMPUTED_VALUE"""),130.0)</f>
        <v>130</v>
      </c>
      <c r="I50" s="1" t="str">
        <f>IFERROR(__xludf.DUMMYFUNCTION("""COMPUTED_VALUE"""),"นางสาว")</f>
        <v>นางสาว</v>
      </c>
      <c r="J50" s="1" t="str">
        <f>IFERROR(__xludf.DUMMYFUNCTION("""COMPUTED_VALUE"""),"อัญชิสา")</f>
        <v>อัญชิสา</v>
      </c>
      <c r="K50" s="1" t="str">
        <f>IFERROR(__xludf.DUMMYFUNCTION("""COMPUTED_VALUE"""),"ภิรมย์สุทธิ์")</f>
        <v>ภิรมย์สุทธิ์</v>
      </c>
      <c r="L50" s="1" t="str">
        <f>IFERROR(__xludf.DUMMYFUNCTION("""COMPUTED_VALUE"""),"ม.6")</f>
        <v>ม.6</v>
      </c>
      <c r="M50" s="1" t="str">
        <f>IFERROR(__xludf.DUMMYFUNCTION("""COMPUTED_VALUE"""),"ภาษาไทย")</f>
        <v>ภาษาไทย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>
        <f>IFERROR(__xludf.DUMMYFUNCTION("""COMPUTED_VALUE"""),10.0)</f>
        <v>10</v>
      </c>
      <c r="B51" s="1">
        <f>IFERROR(__xludf.DUMMYFUNCTION("""COMPUTED_VALUE"""),1.0)</f>
        <v>1</v>
      </c>
      <c r="C51" s="1" t="str">
        <f>IFERROR(__xludf.DUMMYFUNCTION("""COMPUTED_VALUE"""),"ส30249")</f>
        <v>ส30249</v>
      </c>
      <c r="D51" s="1" t="str">
        <f>IFERROR(__xludf.DUMMYFUNCTION("""COMPUTED_VALUE"""),"การป้องกันการทุจริต 3")</f>
        <v>การป้องกันการทุจริต 3</v>
      </c>
      <c r="E51" s="1">
        <f>IFERROR(__xludf.DUMMYFUNCTION("""COMPUTED_VALUE"""),0.5)</f>
        <v>0.5</v>
      </c>
      <c r="F51" s="1">
        <f>IFERROR(__xludf.DUMMYFUNCTION("""COMPUTED_VALUE"""),2569.0)</f>
        <v>2569</v>
      </c>
      <c r="G51" s="1">
        <f>IFERROR(__xludf.DUMMYFUNCTION("""COMPUTED_VALUE"""),1.0)</f>
        <v>1</v>
      </c>
      <c r="H51" s="1">
        <f>IFERROR(__xludf.DUMMYFUNCTION("""COMPUTED_VALUE"""),130.0)</f>
        <v>130</v>
      </c>
      <c r="I51" s="1" t="str">
        <f>IFERROR(__xludf.DUMMYFUNCTION("""COMPUTED_VALUE"""),"นางสาว")</f>
        <v>นางสาว</v>
      </c>
      <c r="J51" s="1" t="str">
        <f>IFERROR(__xludf.DUMMYFUNCTION("""COMPUTED_VALUE"""),"อัญชิสา")</f>
        <v>อัญชิสา</v>
      </c>
      <c r="K51" s="1" t="str">
        <f>IFERROR(__xludf.DUMMYFUNCTION("""COMPUTED_VALUE"""),"ภิรมย์สุทธิ์")</f>
        <v>ภิรมย์สุทธิ์</v>
      </c>
      <c r="L51" s="1" t="str">
        <f>IFERROR(__xludf.DUMMYFUNCTION("""COMPUTED_VALUE"""),"ม.5")</f>
        <v>ม.5</v>
      </c>
      <c r="M51" s="1" t="str">
        <f>IFERROR(__xludf.DUMMYFUNCTION("""COMPUTED_VALUE"""),"ภาษาไทย")</f>
        <v>ภาษาไทย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>
        <f>IFERROR(__xludf.DUMMYFUNCTION("""COMPUTED_VALUE"""),3.0)</f>
        <v>3</v>
      </c>
      <c r="B52" s="1">
        <f>IFERROR(__xludf.DUMMYFUNCTION("""COMPUTED_VALUE"""),1.0)</f>
        <v>1</v>
      </c>
      <c r="C52" s="1" t="str">
        <f>IFERROR(__xludf.DUMMYFUNCTION("""COMPUTED_VALUE"""),"ท21101")</f>
        <v>ท21101</v>
      </c>
      <c r="D52" s="1" t="str">
        <f>IFERROR(__xludf.DUMMYFUNCTION("""COMPUTED_VALUE"""),"ภาษาไทย 1")</f>
        <v>ภาษาไทย 1</v>
      </c>
      <c r="E52" s="1">
        <f>IFERROR(__xludf.DUMMYFUNCTION("""COMPUTED_VALUE"""),1.5)</f>
        <v>1.5</v>
      </c>
      <c r="F52" s="1">
        <f>IFERROR(__xludf.DUMMYFUNCTION("""COMPUTED_VALUE"""),2569.0)</f>
        <v>2569</v>
      </c>
      <c r="G52" s="1">
        <f>IFERROR(__xludf.DUMMYFUNCTION("""COMPUTED_VALUE"""),1.0)</f>
        <v>1</v>
      </c>
      <c r="H52" s="1">
        <f>IFERROR(__xludf.DUMMYFUNCTION("""COMPUTED_VALUE"""),131.0)</f>
        <v>131</v>
      </c>
      <c r="I52" s="1" t="str">
        <f>IFERROR(__xludf.DUMMYFUNCTION("""COMPUTED_VALUE"""),"นาง")</f>
        <v>นาง</v>
      </c>
      <c r="J52" s="1" t="str">
        <f>IFERROR(__xludf.DUMMYFUNCTION("""COMPUTED_VALUE"""),"เรวดี")</f>
        <v>เรวดี</v>
      </c>
      <c r="K52" s="1" t="str">
        <f>IFERROR(__xludf.DUMMYFUNCTION("""COMPUTED_VALUE"""),"กวางโตน")</f>
        <v>กวางโตน</v>
      </c>
      <c r="L52" s="1" t="str">
        <f>IFERROR(__xludf.DUMMYFUNCTION("""COMPUTED_VALUE"""),"ม.1")</f>
        <v>ม.1</v>
      </c>
      <c r="M52" s="1" t="str">
        <f>IFERROR(__xludf.DUMMYFUNCTION("""COMPUTED_VALUE"""),"ภาษาไทย")</f>
        <v>ภาษาไทย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>
        <f>IFERROR(__xludf.DUMMYFUNCTION("""COMPUTED_VALUE"""),1.0)</f>
        <v>1</v>
      </c>
      <c r="B53" s="1">
        <f>IFERROR(__xludf.DUMMYFUNCTION("""COMPUTED_VALUE"""),1.0)</f>
        <v>1</v>
      </c>
      <c r="C53" s="1" t="str">
        <f>IFERROR(__xludf.DUMMYFUNCTION("""COMPUTED_VALUE"""),"ท32101")</f>
        <v>ท32101</v>
      </c>
      <c r="D53" s="1" t="str">
        <f>IFERROR(__xludf.DUMMYFUNCTION("""COMPUTED_VALUE"""),"ภาษาไทย 3")</f>
        <v>ภาษาไทย 3</v>
      </c>
      <c r="E53" s="1">
        <f>IFERROR(__xludf.DUMMYFUNCTION("""COMPUTED_VALUE"""),1.0)</f>
        <v>1</v>
      </c>
      <c r="F53" s="1">
        <f>IFERROR(__xludf.DUMMYFUNCTION("""COMPUTED_VALUE"""),2569.0)</f>
        <v>2569</v>
      </c>
      <c r="G53" s="1">
        <f>IFERROR(__xludf.DUMMYFUNCTION("""COMPUTED_VALUE"""),1.0)</f>
        <v>1</v>
      </c>
      <c r="H53" s="1">
        <f>IFERROR(__xludf.DUMMYFUNCTION("""COMPUTED_VALUE"""),131.0)</f>
        <v>131</v>
      </c>
      <c r="I53" s="1" t="str">
        <f>IFERROR(__xludf.DUMMYFUNCTION("""COMPUTED_VALUE"""),"นาง")</f>
        <v>นาง</v>
      </c>
      <c r="J53" s="1" t="str">
        <f>IFERROR(__xludf.DUMMYFUNCTION("""COMPUTED_VALUE"""),"เรวดี")</f>
        <v>เรวดี</v>
      </c>
      <c r="K53" s="1" t="str">
        <f>IFERROR(__xludf.DUMMYFUNCTION("""COMPUTED_VALUE"""),"กวางโตน")</f>
        <v>กวางโตน</v>
      </c>
      <c r="L53" s="1" t="str">
        <f>IFERROR(__xludf.DUMMYFUNCTION("""COMPUTED_VALUE"""),"ม.5")</f>
        <v>ม.5</v>
      </c>
      <c r="M53" s="1" t="str">
        <f>IFERROR(__xludf.DUMMYFUNCTION("""COMPUTED_VALUE"""),"ภาษาไทย")</f>
        <v>ภาษาไทย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>
        <f>IFERROR(__xludf.DUMMYFUNCTION("""COMPUTED_VALUE"""),3.0)</f>
        <v>3</v>
      </c>
      <c r="B54" s="1">
        <f>IFERROR(__xludf.DUMMYFUNCTION("""COMPUTED_VALUE"""),1.0)</f>
        <v>1</v>
      </c>
      <c r="C54" s="1" t="str">
        <f>IFERROR(__xludf.DUMMYFUNCTION("""COMPUTED_VALUE"""),"ท32101")</f>
        <v>ท32101</v>
      </c>
      <c r="D54" s="1" t="str">
        <f>IFERROR(__xludf.DUMMYFUNCTION("""COMPUTED_VALUE"""),"ภาษาไทย 3")</f>
        <v>ภาษาไทย 3</v>
      </c>
      <c r="E54" s="1">
        <f>IFERROR(__xludf.DUMMYFUNCTION("""COMPUTED_VALUE"""),1.0)</f>
        <v>1</v>
      </c>
      <c r="F54" s="1">
        <f>IFERROR(__xludf.DUMMYFUNCTION("""COMPUTED_VALUE"""),2569.0)</f>
        <v>2569</v>
      </c>
      <c r="G54" s="1">
        <f>IFERROR(__xludf.DUMMYFUNCTION("""COMPUTED_VALUE"""),1.0)</f>
        <v>1</v>
      </c>
      <c r="H54" s="1">
        <f>IFERROR(__xludf.DUMMYFUNCTION("""COMPUTED_VALUE"""),131.0)</f>
        <v>131</v>
      </c>
      <c r="I54" s="1" t="str">
        <f>IFERROR(__xludf.DUMMYFUNCTION("""COMPUTED_VALUE"""),"นาง")</f>
        <v>นาง</v>
      </c>
      <c r="J54" s="1" t="str">
        <f>IFERROR(__xludf.DUMMYFUNCTION("""COMPUTED_VALUE"""),"เรวดี")</f>
        <v>เรวดี</v>
      </c>
      <c r="K54" s="1" t="str">
        <f>IFERROR(__xludf.DUMMYFUNCTION("""COMPUTED_VALUE"""),"กวางโตน")</f>
        <v>กวางโตน</v>
      </c>
      <c r="L54" s="1" t="str">
        <f>IFERROR(__xludf.DUMMYFUNCTION("""COMPUTED_VALUE"""),"ม.5")</f>
        <v>ม.5</v>
      </c>
      <c r="M54" s="1" t="str">
        <f>IFERROR(__xludf.DUMMYFUNCTION("""COMPUTED_VALUE"""),"ภาษาไทย")</f>
        <v>ภาษาไทย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>
        <f>IFERROR(__xludf.DUMMYFUNCTION("""COMPUTED_VALUE"""),5.0)</f>
        <v>5</v>
      </c>
      <c r="B55" s="1">
        <f>IFERROR(__xludf.DUMMYFUNCTION("""COMPUTED_VALUE"""),1.0)</f>
        <v>1</v>
      </c>
      <c r="C55" s="1" t="str">
        <f>IFERROR(__xludf.DUMMYFUNCTION("""COMPUTED_VALUE"""),"ท32101")</f>
        <v>ท32101</v>
      </c>
      <c r="D55" s="1" t="str">
        <f>IFERROR(__xludf.DUMMYFUNCTION("""COMPUTED_VALUE"""),"ภาษาไทย 3")</f>
        <v>ภาษาไทย 3</v>
      </c>
      <c r="E55" s="1">
        <f>IFERROR(__xludf.DUMMYFUNCTION("""COMPUTED_VALUE"""),1.0)</f>
        <v>1</v>
      </c>
      <c r="F55" s="1">
        <f>IFERROR(__xludf.DUMMYFUNCTION("""COMPUTED_VALUE"""),2569.0)</f>
        <v>2569</v>
      </c>
      <c r="G55" s="1">
        <f>IFERROR(__xludf.DUMMYFUNCTION("""COMPUTED_VALUE"""),1.0)</f>
        <v>1</v>
      </c>
      <c r="H55" s="1">
        <f>IFERROR(__xludf.DUMMYFUNCTION("""COMPUTED_VALUE"""),131.0)</f>
        <v>131</v>
      </c>
      <c r="I55" s="1" t="str">
        <f>IFERROR(__xludf.DUMMYFUNCTION("""COMPUTED_VALUE"""),"นาง")</f>
        <v>นาง</v>
      </c>
      <c r="J55" s="1" t="str">
        <f>IFERROR(__xludf.DUMMYFUNCTION("""COMPUTED_VALUE"""),"เรวดี")</f>
        <v>เรวดี</v>
      </c>
      <c r="K55" s="1" t="str">
        <f>IFERROR(__xludf.DUMMYFUNCTION("""COMPUTED_VALUE"""),"กวางโตน")</f>
        <v>กวางโตน</v>
      </c>
      <c r="L55" s="1" t="str">
        <f>IFERROR(__xludf.DUMMYFUNCTION("""COMPUTED_VALUE"""),"ม.5")</f>
        <v>ม.5</v>
      </c>
      <c r="M55" s="1" t="str">
        <f>IFERROR(__xludf.DUMMYFUNCTION("""COMPUTED_VALUE"""),"ภาษาไทย")</f>
        <v>ภาษาไทย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>
        <f>IFERROR(__xludf.DUMMYFUNCTION("""COMPUTED_VALUE"""),6.0)</f>
        <v>6</v>
      </c>
      <c r="B56" s="1">
        <f>IFERROR(__xludf.DUMMYFUNCTION("""COMPUTED_VALUE"""),1.0)</f>
        <v>1</v>
      </c>
      <c r="C56" s="1" t="str">
        <f>IFERROR(__xludf.DUMMYFUNCTION("""COMPUTED_VALUE"""),"ท32101")</f>
        <v>ท32101</v>
      </c>
      <c r="D56" s="1" t="str">
        <f>IFERROR(__xludf.DUMMYFUNCTION("""COMPUTED_VALUE"""),"ภาษาไทย 3")</f>
        <v>ภาษาไทย 3</v>
      </c>
      <c r="E56" s="1">
        <f>IFERROR(__xludf.DUMMYFUNCTION("""COMPUTED_VALUE"""),1.0)</f>
        <v>1</v>
      </c>
      <c r="F56" s="1">
        <f>IFERROR(__xludf.DUMMYFUNCTION("""COMPUTED_VALUE"""),2569.0)</f>
        <v>2569</v>
      </c>
      <c r="G56" s="1">
        <f>IFERROR(__xludf.DUMMYFUNCTION("""COMPUTED_VALUE"""),1.0)</f>
        <v>1</v>
      </c>
      <c r="H56" s="1">
        <f>IFERROR(__xludf.DUMMYFUNCTION("""COMPUTED_VALUE"""),131.0)</f>
        <v>131</v>
      </c>
      <c r="I56" s="1" t="str">
        <f>IFERROR(__xludf.DUMMYFUNCTION("""COMPUTED_VALUE"""),"นาง")</f>
        <v>นาง</v>
      </c>
      <c r="J56" s="1" t="str">
        <f>IFERROR(__xludf.DUMMYFUNCTION("""COMPUTED_VALUE"""),"เรวดี")</f>
        <v>เรวดี</v>
      </c>
      <c r="K56" s="1" t="str">
        <f>IFERROR(__xludf.DUMMYFUNCTION("""COMPUTED_VALUE"""),"กวางโตน")</f>
        <v>กวางโตน</v>
      </c>
      <c r="L56" s="1" t="str">
        <f>IFERROR(__xludf.DUMMYFUNCTION("""COMPUTED_VALUE"""),"ม.5")</f>
        <v>ม.5</v>
      </c>
      <c r="M56" s="1" t="str">
        <f>IFERROR(__xludf.DUMMYFUNCTION("""COMPUTED_VALUE"""),"ภาษาไทย")</f>
        <v>ภาษาไทย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>
        <f>IFERROR(__xludf.DUMMYFUNCTION("""COMPUTED_VALUE"""),7.0)</f>
        <v>7</v>
      </c>
      <c r="B57" s="1">
        <f>IFERROR(__xludf.DUMMYFUNCTION("""COMPUTED_VALUE"""),1.0)</f>
        <v>1</v>
      </c>
      <c r="C57" s="1" t="str">
        <f>IFERROR(__xludf.DUMMYFUNCTION("""COMPUTED_VALUE"""),"ท32101")</f>
        <v>ท32101</v>
      </c>
      <c r="D57" s="1" t="str">
        <f>IFERROR(__xludf.DUMMYFUNCTION("""COMPUTED_VALUE"""),"ภาษาไทย 3")</f>
        <v>ภาษาไทย 3</v>
      </c>
      <c r="E57" s="1">
        <f>IFERROR(__xludf.DUMMYFUNCTION("""COMPUTED_VALUE"""),1.0)</f>
        <v>1</v>
      </c>
      <c r="F57" s="1">
        <f>IFERROR(__xludf.DUMMYFUNCTION("""COMPUTED_VALUE"""),2569.0)</f>
        <v>2569</v>
      </c>
      <c r="G57" s="1">
        <f>IFERROR(__xludf.DUMMYFUNCTION("""COMPUTED_VALUE"""),1.0)</f>
        <v>1</v>
      </c>
      <c r="H57" s="1">
        <f>IFERROR(__xludf.DUMMYFUNCTION("""COMPUTED_VALUE"""),131.0)</f>
        <v>131</v>
      </c>
      <c r="I57" s="1" t="str">
        <f>IFERROR(__xludf.DUMMYFUNCTION("""COMPUTED_VALUE"""),"นาง")</f>
        <v>นาง</v>
      </c>
      <c r="J57" s="1" t="str">
        <f>IFERROR(__xludf.DUMMYFUNCTION("""COMPUTED_VALUE"""),"เรวดี")</f>
        <v>เรวดี</v>
      </c>
      <c r="K57" s="1" t="str">
        <f>IFERROR(__xludf.DUMMYFUNCTION("""COMPUTED_VALUE"""),"กวางโตน")</f>
        <v>กวางโตน</v>
      </c>
      <c r="L57" s="1" t="str">
        <f>IFERROR(__xludf.DUMMYFUNCTION("""COMPUTED_VALUE"""),"ม.5")</f>
        <v>ม.5</v>
      </c>
      <c r="M57" s="1" t="str">
        <f>IFERROR(__xludf.DUMMYFUNCTION("""COMPUTED_VALUE"""),"ภาษาไทย")</f>
        <v>ภาษาไทย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>
        <f>IFERROR(__xludf.DUMMYFUNCTION("""COMPUTED_VALUE"""),9.0)</f>
        <v>9</v>
      </c>
      <c r="B58" s="1">
        <f>IFERROR(__xludf.DUMMYFUNCTION("""COMPUTED_VALUE"""),1.0)</f>
        <v>1</v>
      </c>
      <c r="C58" s="1" t="str">
        <f>IFERROR(__xludf.DUMMYFUNCTION("""COMPUTED_VALUE"""),"ท32101")</f>
        <v>ท32101</v>
      </c>
      <c r="D58" s="1" t="str">
        <f>IFERROR(__xludf.DUMMYFUNCTION("""COMPUTED_VALUE"""),"ภาษาไทย 3")</f>
        <v>ภาษาไทย 3</v>
      </c>
      <c r="E58" s="1">
        <f>IFERROR(__xludf.DUMMYFUNCTION("""COMPUTED_VALUE"""),1.0)</f>
        <v>1</v>
      </c>
      <c r="F58" s="1">
        <f>IFERROR(__xludf.DUMMYFUNCTION("""COMPUTED_VALUE"""),2569.0)</f>
        <v>2569</v>
      </c>
      <c r="G58" s="1">
        <f>IFERROR(__xludf.DUMMYFUNCTION("""COMPUTED_VALUE"""),1.0)</f>
        <v>1</v>
      </c>
      <c r="H58" s="1">
        <f>IFERROR(__xludf.DUMMYFUNCTION("""COMPUTED_VALUE"""),131.0)</f>
        <v>131</v>
      </c>
      <c r="I58" s="1" t="str">
        <f>IFERROR(__xludf.DUMMYFUNCTION("""COMPUTED_VALUE"""),"นาง")</f>
        <v>นาง</v>
      </c>
      <c r="J58" s="1" t="str">
        <f>IFERROR(__xludf.DUMMYFUNCTION("""COMPUTED_VALUE"""),"เรวดี")</f>
        <v>เรวดี</v>
      </c>
      <c r="K58" s="1" t="str">
        <f>IFERROR(__xludf.DUMMYFUNCTION("""COMPUTED_VALUE"""),"กวางโตน")</f>
        <v>กวางโตน</v>
      </c>
      <c r="L58" s="1" t="str">
        <f>IFERROR(__xludf.DUMMYFUNCTION("""COMPUTED_VALUE"""),"ม.5")</f>
        <v>ม.5</v>
      </c>
      <c r="M58" s="1" t="str">
        <f>IFERROR(__xludf.DUMMYFUNCTION("""COMPUTED_VALUE"""),"ภาษาไทย")</f>
        <v>ภาษาไทย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>
        <f>IFERROR(__xludf.DUMMYFUNCTION("""COMPUTED_VALUE"""),11.0)</f>
        <v>11</v>
      </c>
      <c r="B59" s="1">
        <f>IFERROR(__xludf.DUMMYFUNCTION("""COMPUTED_VALUE"""),1.0)</f>
        <v>1</v>
      </c>
      <c r="C59" s="1" t="str">
        <f>IFERROR(__xludf.DUMMYFUNCTION("""COMPUTED_VALUE"""),"ท32101")</f>
        <v>ท32101</v>
      </c>
      <c r="D59" s="1" t="str">
        <f>IFERROR(__xludf.DUMMYFUNCTION("""COMPUTED_VALUE"""),"ภาษาไทย 3")</f>
        <v>ภาษาไทย 3</v>
      </c>
      <c r="E59" s="1">
        <f>IFERROR(__xludf.DUMMYFUNCTION("""COMPUTED_VALUE"""),1.0)</f>
        <v>1</v>
      </c>
      <c r="F59" s="1">
        <f>IFERROR(__xludf.DUMMYFUNCTION("""COMPUTED_VALUE"""),2569.0)</f>
        <v>2569</v>
      </c>
      <c r="G59" s="1">
        <f>IFERROR(__xludf.DUMMYFUNCTION("""COMPUTED_VALUE"""),1.0)</f>
        <v>1</v>
      </c>
      <c r="H59" s="1">
        <f>IFERROR(__xludf.DUMMYFUNCTION("""COMPUTED_VALUE"""),131.0)</f>
        <v>131</v>
      </c>
      <c r="I59" s="1" t="str">
        <f>IFERROR(__xludf.DUMMYFUNCTION("""COMPUTED_VALUE"""),"นาง")</f>
        <v>นาง</v>
      </c>
      <c r="J59" s="1" t="str">
        <f>IFERROR(__xludf.DUMMYFUNCTION("""COMPUTED_VALUE"""),"เรวดี")</f>
        <v>เรวดี</v>
      </c>
      <c r="K59" s="1" t="str">
        <f>IFERROR(__xludf.DUMMYFUNCTION("""COMPUTED_VALUE"""),"กวางโตน")</f>
        <v>กวางโตน</v>
      </c>
      <c r="L59" s="1" t="str">
        <f>IFERROR(__xludf.DUMMYFUNCTION("""COMPUTED_VALUE"""),"ม.5")</f>
        <v>ม.5</v>
      </c>
      <c r="M59" s="1" t="str">
        <f>IFERROR(__xludf.DUMMYFUNCTION("""COMPUTED_VALUE"""),"ภาษาไทย")</f>
        <v>ภาษาไทย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>
        <f>IFERROR(__xludf.DUMMYFUNCTION("""COMPUTED_VALUE"""),7.0)</f>
        <v>7</v>
      </c>
      <c r="B60" s="1">
        <f>IFERROR(__xludf.DUMMYFUNCTION("""COMPUTED_VALUE"""),1.0)</f>
        <v>1</v>
      </c>
      <c r="C60" s="1" t="str">
        <f>IFERROR(__xludf.DUMMYFUNCTION("""COMPUTED_VALUE"""),"ส30247")</f>
        <v>ส30247</v>
      </c>
      <c r="D60" s="1" t="str">
        <f>IFERROR(__xludf.DUMMYFUNCTION("""COMPUTED_VALUE"""),"การป้องกันการทุจริต 1")</f>
        <v>การป้องกันการทุจริต 1</v>
      </c>
      <c r="E60" s="1">
        <f>IFERROR(__xludf.DUMMYFUNCTION("""COMPUTED_VALUE"""),0.5)</f>
        <v>0.5</v>
      </c>
      <c r="F60" s="1">
        <f>IFERROR(__xludf.DUMMYFUNCTION("""COMPUTED_VALUE"""),2569.0)</f>
        <v>2569</v>
      </c>
      <c r="G60" s="1">
        <f>IFERROR(__xludf.DUMMYFUNCTION("""COMPUTED_VALUE"""),1.0)</f>
        <v>1</v>
      </c>
      <c r="H60" s="1">
        <f>IFERROR(__xludf.DUMMYFUNCTION("""COMPUTED_VALUE"""),131.0)</f>
        <v>131</v>
      </c>
      <c r="I60" s="1" t="str">
        <f>IFERROR(__xludf.DUMMYFUNCTION("""COMPUTED_VALUE"""),"นาง")</f>
        <v>นาง</v>
      </c>
      <c r="J60" s="1" t="str">
        <f>IFERROR(__xludf.DUMMYFUNCTION("""COMPUTED_VALUE"""),"เรวดี")</f>
        <v>เรวดี</v>
      </c>
      <c r="K60" s="1" t="str">
        <f>IFERROR(__xludf.DUMMYFUNCTION("""COMPUTED_VALUE"""),"กวางโตน")</f>
        <v>กวางโตน</v>
      </c>
      <c r="L60" s="1" t="str">
        <f>IFERROR(__xludf.DUMMYFUNCTION("""COMPUTED_VALUE"""),"ม.4")</f>
        <v>ม.4</v>
      </c>
      <c r="M60" s="1" t="str">
        <f>IFERROR(__xludf.DUMMYFUNCTION("""COMPUTED_VALUE"""),"ภาษาไทย")</f>
        <v>ภาษาไทย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>
        <f>IFERROR(__xludf.DUMMYFUNCTION("""COMPUTED_VALUE"""),2.0)</f>
        <v>2</v>
      </c>
      <c r="B61" s="1">
        <f>IFERROR(__xludf.DUMMYFUNCTION("""COMPUTED_VALUE"""),1.0)</f>
        <v>1</v>
      </c>
      <c r="C61" s="1" t="str">
        <f>IFERROR(__xludf.DUMMYFUNCTION("""COMPUTED_VALUE"""),"ท23101")</f>
        <v>ท23101</v>
      </c>
      <c r="D61" s="1" t="str">
        <f>IFERROR(__xludf.DUMMYFUNCTION("""COMPUTED_VALUE"""),"ภาษาไทย 5")</f>
        <v>ภาษาไทย 5</v>
      </c>
      <c r="E61" s="1">
        <f>IFERROR(__xludf.DUMMYFUNCTION("""COMPUTED_VALUE"""),1.5)</f>
        <v>1.5</v>
      </c>
      <c r="F61" s="1">
        <f>IFERROR(__xludf.DUMMYFUNCTION("""COMPUTED_VALUE"""),2569.0)</f>
        <v>2569</v>
      </c>
      <c r="G61" s="1">
        <f>IFERROR(__xludf.DUMMYFUNCTION("""COMPUTED_VALUE"""),1.0)</f>
        <v>1</v>
      </c>
      <c r="H61" s="1">
        <f>IFERROR(__xludf.DUMMYFUNCTION("""COMPUTED_VALUE"""),137.0)</f>
        <v>137</v>
      </c>
      <c r="I61" s="1" t="str">
        <f>IFERROR(__xludf.DUMMYFUNCTION("""COMPUTED_VALUE"""),"นางสาว")</f>
        <v>นางสาว</v>
      </c>
      <c r="J61" s="1" t="str">
        <f>IFERROR(__xludf.DUMMYFUNCTION("""COMPUTED_VALUE"""),"พรปวีณ์")</f>
        <v>พรปวีณ์</v>
      </c>
      <c r="K61" s="1" t="str">
        <f>IFERROR(__xludf.DUMMYFUNCTION("""COMPUTED_VALUE"""),"แขวนสันเทียะ")</f>
        <v>แขวนสันเทียะ</v>
      </c>
      <c r="L61" s="1" t="str">
        <f>IFERROR(__xludf.DUMMYFUNCTION("""COMPUTED_VALUE"""),"ม.3")</f>
        <v>ม.3</v>
      </c>
      <c r="M61" s="1" t="str">
        <f>IFERROR(__xludf.DUMMYFUNCTION("""COMPUTED_VALUE"""),"ภาษาไทย")</f>
        <v>ภาษาไทย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>
        <f>IFERROR(__xludf.DUMMYFUNCTION("""COMPUTED_VALUE"""),7.0)</f>
        <v>7</v>
      </c>
      <c r="B62" s="1">
        <f>IFERROR(__xludf.DUMMYFUNCTION("""COMPUTED_VALUE"""),1.0)</f>
        <v>1</v>
      </c>
      <c r="C62" s="1" t="str">
        <f>IFERROR(__xludf.DUMMYFUNCTION("""COMPUTED_VALUE"""),"ท23101")</f>
        <v>ท23101</v>
      </c>
      <c r="D62" s="1" t="str">
        <f>IFERROR(__xludf.DUMMYFUNCTION("""COMPUTED_VALUE"""),"ภาษาไทย 5")</f>
        <v>ภาษาไทย 5</v>
      </c>
      <c r="E62" s="1">
        <f>IFERROR(__xludf.DUMMYFUNCTION("""COMPUTED_VALUE"""),1.5)</f>
        <v>1.5</v>
      </c>
      <c r="F62" s="1">
        <f>IFERROR(__xludf.DUMMYFUNCTION("""COMPUTED_VALUE"""),2569.0)</f>
        <v>2569</v>
      </c>
      <c r="G62" s="1">
        <f>IFERROR(__xludf.DUMMYFUNCTION("""COMPUTED_VALUE"""),1.0)</f>
        <v>1</v>
      </c>
      <c r="H62" s="1">
        <f>IFERROR(__xludf.DUMMYFUNCTION("""COMPUTED_VALUE"""),137.0)</f>
        <v>137</v>
      </c>
      <c r="I62" s="1" t="str">
        <f>IFERROR(__xludf.DUMMYFUNCTION("""COMPUTED_VALUE"""),"นางสาว")</f>
        <v>นางสาว</v>
      </c>
      <c r="J62" s="1" t="str">
        <f>IFERROR(__xludf.DUMMYFUNCTION("""COMPUTED_VALUE"""),"พรปวีณ์")</f>
        <v>พรปวีณ์</v>
      </c>
      <c r="K62" s="1" t="str">
        <f>IFERROR(__xludf.DUMMYFUNCTION("""COMPUTED_VALUE"""),"แขวนสันเทียะ")</f>
        <v>แขวนสันเทียะ</v>
      </c>
      <c r="L62" s="1" t="str">
        <f>IFERROR(__xludf.DUMMYFUNCTION("""COMPUTED_VALUE"""),"ม.3")</f>
        <v>ม.3</v>
      </c>
      <c r="M62" s="1" t="str">
        <f>IFERROR(__xludf.DUMMYFUNCTION("""COMPUTED_VALUE"""),"ภาษาไทย")</f>
        <v>ภาษาไทย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>
        <f>IFERROR(__xludf.DUMMYFUNCTION("""COMPUTED_VALUE"""),8.0)</f>
        <v>8</v>
      </c>
      <c r="B63" s="1">
        <f>IFERROR(__xludf.DUMMYFUNCTION("""COMPUTED_VALUE"""),1.0)</f>
        <v>1</v>
      </c>
      <c r="C63" s="1" t="str">
        <f>IFERROR(__xludf.DUMMYFUNCTION("""COMPUTED_VALUE"""),"ท23101")</f>
        <v>ท23101</v>
      </c>
      <c r="D63" s="1" t="str">
        <f>IFERROR(__xludf.DUMMYFUNCTION("""COMPUTED_VALUE"""),"ภาษาไทย 5")</f>
        <v>ภาษาไทย 5</v>
      </c>
      <c r="E63" s="1">
        <f>IFERROR(__xludf.DUMMYFUNCTION("""COMPUTED_VALUE"""),1.5)</f>
        <v>1.5</v>
      </c>
      <c r="F63" s="1">
        <f>IFERROR(__xludf.DUMMYFUNCTION("""COMPUTED_VALUE"""),2569.0)</f>
        <v>2569</v>
      </c>
      <c r="G63" s="1">
        <f>IFERROR(__xludf.DUMMYFUNCTION("""COMPUTED_VALUE"""),1.0)</f>
        <v>1</v>
      </c>
      <c r="H63" s="1">
        <f>IFERROR(__xludf.DUMMYFUNCTION("""COMPUTED_VALUE"""),137.0)</f>
        <v>137</v>
      </c>
      <c r="I63" s="1" t="str">
        <f>IFERROR(__xludf.DUMMYFUNCTION("""COMPUTED_VALUE"""),"นางสาว")</f>
        <v>นางสาว</v>
      </c>
      <c r="J63" s="1" t="str">
        <f>IFERROR(__xludf.DUMMYFUNCTION("""COMPUTED_VALUE"""),"พรปวีณ์")</f>
        <v>พรปวีณ์</v>
      </c>
      <c r="K63" s="1" t="str">
        <f>IFERROR(__xludf.DUMMYFUNCTION("""COMPUTED_VALUE"""),"แขวนสันเทียะ")</f>
        <v>แขวนสันเทียะ</v>
      </c>
      <c r="L63" s="1" t="str">
        <f>IFERROR(__xludf.DUMMYFUNCTION("""COMPUTED_VALUE"""),"ม.3")</f>
        <v>ม.3</v>
      </c>
      <c r="M63" s="1" t="str">
        <f>IFERROR(__xludf.DUMMYFUNCTION("""COMPUTED_VALUE"""),"ภาษาไทย")</f>
        <v>ภาษาไทย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>
        <f>IFERROR(__xludf.DUMMYFUNCTION("""COMPUTED_VALUE"""),7.0)</f>
        <v>7</v>
      </c>
      <c r="B64" s="1">
        <f>IFERROR(__xludf.DUMMYFUNCTION("""COMPUTED_VALUE"""),1.0)</f>
        <v>1</v>
      </c>
      <c r="C64" s="1" t="str">
        <f>IFERROR(__xludf.DUMMYFUNCTION("""COMPUTED_VALUE"""),"ท30204")</f>
        <v>ท30204</v>
      </c>
      <c r="D64" s="1" t="str">
        <f>IFERROR(__xludf.DUMMYFUNCTION("""COMPUTED_VALUE"""),"พลวัตภาษาและวิถีวัฒนธรรม")</f>
        <v>พลวัตภาษาและวิถีวัฒนธรรม</v>
      </c>
      <c r="E64" s="1">
        <f>IFERROR(__xludf.DUMMYFUNCTION("""COMPUTED_VALUE"""),1.0)</f>
        <v>1</v>
      </c>
      <c r="F64" s="1">
        <f>IFERROR(__xludf.DUMMYFUNCTION("""COMPUTED_VALUE"""),2569.0)</f>
        <v>2569</v>
      </c>
      <c r="G64" s="1">
        <f>IFERROR(__xludf.DUMMYFUNCTION("""COMPUTED_VALUE"""),1.0)</f>
        <v>1</v>
      </c>
      <c r="H64" s="1">
        <f>IFERROR(__xludf.DUMMYFUNCTION("""COMPUTED_VALUE"""),137.0)</f>
        <v>137</v>
      </c>
      <c r="I64" s="1" t="str">
        <f>IFERROR(__xludf.DUMMYFUNCTION("""COMPUTED_VALUE"""),"นางสาว")</f>
        <v>นางสาว</v>
      </c>
      <c r="J64" s="1" t="str">
        <f>IFERROR(__xludf.DUMMYFUNCTION("""COMPUTED_VALUE"""),"พรปวีณ์")</f>
        <v>พรปวีณ์</v>
      </c>
      <c r="K64" s="1" t="str">
        <f>IFERROR(__xludf.DUMMYFUNCTION("""COMPUTED_VALUE"""),"แขวนสันเทียะ")</f>
        <v>แขวนสันเทียะ</v>
      </c>
      <c r="L64" s="1" t="str">
        <f>IFERROR(__xludf.DUMMYFUNCTION("""COMPUTED_VALUE"""),"ม.4")</f>
        <v>ม.4</v>
      </c>
      <c r="M64" s="1" t="str">
        <f>IFERROR(__xludf.DUMMYFUNCTION("""COMPUTED_VALUE"""),"ภาษาไทย")</f>
        <v>ภาษาไทย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>
        <f>IFERROR(__xludf.DUMMYFUNCTION("""COMPUTED_VALUE"""),8.0)</f>
        <v>8</v>
      </c>
      <c r="B65" s="1">
        <f>IFERROR(__xludf.DUMMYFUNCTION("""COMPUTED_VALUE"""),1.0)</f>
        <v>1</v>
      </c>
      <c r="C65" s="1" t="str">
        <f>IFERROR(__xludf.DUMMYFUNCTION("""COMPUTED_VALUE"""),"ท30204")</f>
        <v>ท30204</v>
      </c>
      <c r="D65" s="1" t="str">
        <f>IFERROR(__xludf.DUMMYFUNCTION("""COMPUTED_VALUE"""),"พลวัตภาษาและวิถีวัฒนธรรม")</f>
        <v>พลวัตภาษาและวิถีวัฒนธรรม</v>
      </c>
      <c r="E65" s="1">
        <f>IFERROR(__xludf.DUMMYFUNCTION("""COMPUTED_VALUE"""),1.0)</f>
        <v>1</v>
      </c>
      <c r="F65" s="1">
        <f>IFERROR(__xludf.DUMMYFUNCTION("""COMPUTED_VALUE"""),2569.0)</f>
        <v>2569</v>
      </c>
      <c r="G65" s="1">
        <f>IFERROR(__xludf.DUMMYFUNCTION("""COMPUTED_VALUE"""),1.0)</f>
        <v>1</v>
      </c>
      <c r="H65" s="1">
        <f>IFERROR(__xludf.DUMMYFUNCTION("""COMPUTED_VALUE"""),137.0)</f>
        <v>137</v>
      </c>
      <c r="I65" s="1" t="str">
        <f>IFERROR(__xludf.DUMMYFUNCTION("""COMPUTED_VALUE"""),"นางสาว")</f>
        <v>นางสาว</v>
      </c>
      <c r="J65" s="1" t="str">
        <f>IFERROR(__xludf.DUMMYFUNCTION("""COMPUTED_VALUE"""),"พรปวีณ์")</f>
        <v>พรปวีณ์</v>
      </c>
      <c r="K65" s="1" t="str">
        <f>IFERROR(__xludf.DUMMYFUNCTION("""COMPUTED_VALUE"""),"แขวนสันเทียะ")</f>
        <v>แขวนสันเทียะ</v>
      </c>
      <c r="L65" s="1" t="str">
        <f>IFERROR(__xludf.DUMMYFUNCTION("""COMPUTED_VALUE"""),"ม.4")</f>
        <v>ม.4</v>
      </c>
      <c r="M65" s="1" t="str">
        <f>IFERROR(__xludf.DUMMYFUNCTION("""COMPUTED_VALUE"""),"ภาษาไทย")</f>
        <v>ภาษาไทย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>
        <f>IFERROR(__xludf.DUMMYFUNCTION("""COMPUTED_VALUE"""),2.0)</f>
        <v>2</v>
      </c>
      <c r="B66" s="1">
        <f>IFERROR(__xludf.DUMMYFUNCTION("""COMPUTED_VALUE"""),1.0)</f>
        <v>1</v>
      </c>
      <c r="C66" s="1" t="str">
        <f>IFERROR(__xludf.DUMMYFUNCTION("""COMPUTED_VALUE"""),"ท31101")</f>
        <v>ท31101</v>
      </c>
      <c r="D66" s="1" t="str">
        <f>IFERROR(__xludf.DUMMYFUNCTION("""COMPUTED_VALUE"""),"ภาษาไทย 1")</f>
        <v>ภาษาไทย 1</v>
      </c>
      <c r="E66" s="1">
        <f>IFERROR(__xludf.DUMMYFUNCTION("""COMPUTED_VALUE"""),1.0)</f>
        <v>1</v>
      </c>
      <c r="F66" s="1">
        <f>IFERROR(__xludf.DUMMYFUNCTION("""COMPUTED_VALUE"""),2569.0)</f>
        <v>2569</v>
      </c>
      <c r="G66" s="1">
        <f>IFERROR(__xludf.DUMMYFUNCTION("""COMPUTED_VALUE"""),1.0)</f>
        <v>1</v>
      </c>
      <c r="H66" s="1">
        <f>IFERROR(__xludf.DUMMYFUNCTION("""COMPUTED_VALUE"""),137.0)</f>
        <v>137</v>
      </c>
      <c r="I66" s="1" t="str">
        <f>IFERROR(__xludf.DUMMYFUNCTION("""COMPUTED_VALUE"""),"นางสาว")</f>
        <v>นางสาว</v>
      </c>
      <c r="J66" s="1" t="str">
        <f>IFERROR(__xludf.DUMMYFUNCTION("""COMPUTED_VALUE"""),"พรปวีณ์")</f>
        <v>พรปวีณ์</v>
      </c>
      <c r="K66" s="1" t="str">
        <f>IFERROR(__xludf.DUMMYFUNCTION("""COMPUTED_VALUE"""),"แขวนสันเทียะ")</f>
        <v>แขวนสันเทียะ</v>
      </c>
      <c r="L66" s="1" t="str">
        <f>IFERROR(__xludf.DUMMYFUNCTION("""COMPUTED_VALUE"""),"ม.4")</f>
        <v>ม.4</v>
      </c>
      <c r="M66" s="1" t="str">
        <f>IFERROR(__xludf.DUMMYFUNCTION("""COMPUTED_VALUE"""),"ภาษาไทย")</f>
        <v>ภาษาไทย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>
        <f>IFERROR(__xludf.DUMMYFUNCTION("""COMPUTED_VALUE"""),4.0)</f>
        <v>4</v>
      </c>
      <c r="B67" s="1">
        <f>IFERROR(__xludf.DUMMYFUNCTION("""COMPUTED_VALUE"""),1.0)</f>
        <v>1</v>
      </c>
      <c r="C67" s="1" t="str">
        <f>IFERROR(__xludf.DUMMYFUNCTION("""COMPUTED_VALUE"""),"ท31101")</f>
        <v>ท31101</v>
      </c>
      <c r="D67" s="1" t="str">
        <f>IFERROR(__xludf.DUMMYFUNCTION("""COMPUTED_VALUE"""),"ภาษาไทย 1")</f>
        <v>ภาษาไทย 1</v>
      </c>
      <c r="E67" s="1">
        <f>IFERROR(__xludf.DUMMYFUNCTION("""COMPUTED_VALUE"""),1.0)</f>
        <v>1</v>
      </c>
      <c r="F67" s="1">
        <f>IFERROR(__xludf.DUMMYFUNCTION("""COMPUTED_VALUE"""),2569.0)</f>
        <v>2569</v>
      </c>
      <c r="G67" s="1">
        <f>IFERROR(__xludf.DUMMYFUNCTION("""COMPUTED_VALUE"""),1.0)</f>
        <v>1</v>
      </c>
      <c r="H67" s="1">
        <f>IFERROR(__xludf.DUMMYFUNCTION("""COMPUTED_VALUE"""),137.0)</f>
        <v>137</v>
      </c>
      <c r="I67" s="1" t="str">
        <f>IFERROR(__xludf.DUMMYFUNCTION("""COMPUTED_VALUE"""),"นางสาว")</f>
        <v>นางสาว</v>
      </c>
      <c r="J67" s="1" t="str">
        <f>IFERROR(__xludf.DUMMYFUNCTION("""COMPUTED_VALUE"""),"พรปวีณ์")</f>
        <v>พรปวีณ์</v>
      </c>
      <c r="K67" s="1" t="str">
        <f>IFERROR(__xludf.DUMMYFUNCTION("""COMPUTED_VALUE"""),"แขวนสันเทียะ")</f>
        <v>แขวนสันเทียะ</v>
      </c>
      <c r="L67" s="1" t="str">
        <f>IFERROR(__xludf.DUMMYFUNCTION("""COMPUTED_VALUE"""),"ม.4")</f>
        <v>ม.4</v>
      </c>
      <c r="M67" s="1" t="str">
        <f>IFERROR(__xludf.DUMMYFUNCTION("""COMPUTED_VALUE"""),"ภาษาไทย")</f>
        <v>ภาษาไทย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>
        <f>IFERROR(__xludf.DUMMYFUNCTION("""COMPUTED_VALUE"""),6.0)</f>
        <v>6</v>
      </c>
      <c r="B68" s="1">
        <f>IFERROR(__xludf.DUMMYFUNCTION("""COMPUTED_VALUE"""),1.0)</f>
        <v>1</v>
      </c>
      <c r="C68" s="1" t="str">
        <f>IFERROR(__xludf.DUMMYFUNCTION("""COMPUTED_VALUE"""),"ท31101")</f>
        <v>ท31101</v>
      </c>
      <c r="D68" s="1" t="str">
        <f>IFERROR(__xludf.DUMMYFUNCTION("""COMPUTED_VALUE"""),"ภาษาไทย 1")</f>
        <v>ภาษาไทย 1</v>
      </c>
      <c r="E68" s="1">
        <f>IFERROR(__xludf.DUMMYFUNCTION("""COMPUTED_VALUE"""),1.0)</f>
        <v>1</v>
      </c>
      <c r="F68" s="1">
        <f>IFERROR(__xludf.DUMMYFUNCTION("""COMPUTED_VALUE"""),2569.0)</f>
        <v>2569</v>
      </c>
      <c r="G68" s="1">
        <f>IFERROR(__xludf.DUMMYFUNCTION("""COMPUTED_VALUE"""),1.0)</f>
        <v>1</v>
      </c>
      <c r="H68" s="1">
        <f>IFERROR(__xludf.DUMMYFUNCTION("""COMPUTED_VALUE"""),137.0)</f>
        <v>137</v>
      </c>
      <c r="I68" s="1" t="str">
        <f>IFERROR(__xludf.DUMMYFUNCTION("""COMPUTED_VALUE"""),"นางสาว")</f>
        <v>นางสาว</v>
      </c>
      <c r="J68" s="1" t="str">
        <f>IFERROR(__xludf.DUMMYFUNCTION("""COMPUTED_VALUE"""),"พรปวีณ์")</f>
        <v>พรปวีณ์</v>
      </c>
      <c r="K68" s="1" t="str">
        <f>IFERROR(__xludf.DUMMYFUNCTION("""COMPUTED_VALUE"""),"แขวนสันเทียะ")</f>
        <v>แขวนสันเทียะ</v>
      </c>
      <c r="L68" s="1" t="str">
        <f>IFERROR(__xludf.DUMMYFUNCTION("""COMPUTED_VALUE"""),"ม.4")</f>
        <v>ม.4</v>
      </c>
      <c r="M68" s="1" t="str">
        <f>IFERROR(__xludf.DUMMYFUNCTION("""COMPUTED_VALUE"""),"ภาษาไทย")</f>
        <v>ภาษาไทย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>
        <f>IFERROR(__xludf.DUMMYFUNCTION("""COMPUTED_VALUE"""),5.0)</f>
        <v>5</v>
      </c>
      <c r="B69" s="1">
        <f>IFERROR(__xludf.DUMMYFUNCTION("""COMPUTED_VALUE"""),1.0)</f>
        <v>1</v>
      </c>
      <c r="C69" s="1" t="str">
        <f>IFERROR(__xludf.DUMMYFUNCTION("""COMPUTED_VALUE"""),"ส30247")</f>
        <v>ส30247</v>
      </c>
      <c r="D69" s="1" t="str">
        <f>IFERROR(__xludf.DUMMYFUNCTION("""COMPUTED_VALUE"""),"การป้องกันการทุจริต 1")</f>
        <v>การป้องกันการทุจริต 1</v>
      </c>
      <c r="E69" s="1">
        <f>IFERROR(__xludf.DUMMYFUNCTION("""COMPUTED_VALUE"""),0.5)</f>
        <v>0.5</v>
      </c>
      <c r="F69" s="1">
        <f>IFERROR(__xludf.DUMMYFUNCTION("""COMPUTED_VALUE"""),2569.0)</f>
        <v>2569</v>
      </c>
      <c r="G69" s="1">
        <f>IFERROR(__xludf.DUMMYFUNCTION("""COMPUTED_VALUE"""),1.0)</f>
        <v>1</v>
      </c>
      <c r="H69" s="1">
        <f>IFERROR(__xludf.DUMMYFUNCTION("""COMPUTED_VALUE"""),137.0)</f>
        <v>137</v>
      </c>
      <c r="I69" s="1" t="str">
        <f>IFERROR(__xludf.DUMMYFUNCTION("""COMPUTED_VALUE"""),"นางสาว")</f>
        <v>นางสาว</v>
      </c>
      <c r="J69" s="1" t="str">
        <f>IFERROR(__xludf.DUMMYFUNCTION("""COMPUTED_VALUE"""),"พรปวีณ์")</f>
        <v>พรปวีณ์</v>
      </c>
      <c r="K69" s="1" t="str">
        <f>IFERROR(__xludf.DUMMYFUNCTION("""COMPUTED_VALUE"""),"แขวนสันเทียะ")</f>
        <v>แขวนสันเทียะ</v>
      </c>
      <c r="L69" s="1" t="str">
        <f>IFERROR(__xludf.DUMMYFUNCTION("""COMPUTED_VALUE"""),"ม.4")</f>
        <v>ม.4</v>
      </c>
      <c r="M69" s="1" t="str">
        <f>IFERROR(__xludf.DUMMYFUNCTION("""COMPUTED_VALUE"""),"ภาษาไทย")</f>
        <v>ภาษาไทย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>
        <f>IFERROR(__xludf.DUMMYFUNCTION("""COMPUTED_VALUE"""),2.0)</f>
        <v>2</v>
      </c>
      <c r="B70" s="1">
        <f>IFERROR(__xludf.DUMMYFUNCTION("""COMPUTED_VALUE"""),1.0)</f>
        <v>1</v>
      </c>
      <c r="C70" s="1" t="str">
        <f>IFERROR(__xludf.DUMMYFUNCTION("""COMPUTED_VALUE"""),"ท22101")</f>
        <v>ท22101</v>
      </c>
      <c r="D70" s="1" t="str">
        <f>IFERROR(__xludf.DUMMYFUNCTION("""COMPUTED_VALUE"""),"ภาษาไทย 3")</f>
        <v>ภาษาไทย 3</v>
      </c>
      <c r="E70" s="1">
        <f>IFERROR(__xludf.DUMMYFUNCTION("""COMPUTED_VALUE"""),1.5)</f>
        <v>1.5</v>
      </c>
      <c r="F70" s="1">
        <f>IFERROR(__xludf.DUMMYFUNCTION("""COMPUTED_VALUE"""),2569.0)</f>
        <v>2569</v>
      </c>
      <c r="G70" s="1">
        <f>IFERROR(__xludf.DUMMYFUNCTION("""COMPUTED_VALUE"""),1.0)</f>
        <v>1</v>
      </c>
      <c r="H70" s="1">
        <f>IFERROR(__xludf.DUMMYFUNCTION("""COMPUTED_VALUE"""),138.0)</f>
        <v>138</v>
      </c>
      <c r="I70" s="1" t="str">
        <f>IFERROR(__xludf.DUMMYFUNCTION("""COMPUTED_VALUE"""),"นางสาว")</f>
        <v>นางสาว</v>
      </c>
      <c r="J70" s="1" t="str">
        <f>IFERROR(__xludf.DUMMYFUNCTION("""COMPUTED_VALUE"""),"ชิดชนก")</f>
        <v>ชิดชนก</v>
      </c>
      <c r="K70" s="1" t="str">
        <f>IFERROR(__xludf.DUMMYFUNCTION("""COMPUTED_VALUE"""),"พยัคฆโส")</f>
        <v>พยัคฆโส</v>
      </c>
      <c r="L70" s="1" t="str">
        <f>IFERROR(__xludf.DUMMYFUNCTION("""COMPUTED_VALUE"""),"ม.2")</f>
        <v>ม.2</v>
      </c>
      <c r="M70" s="1" t="str">
        <f>IFERROR(__xludf.DUMMYFUNCTION("""COMPUTED_VALUE"""),"ภาษาไทย")</f>
        <v>ภาษาไทย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>
        <f>IFERROR(__xludf.DUMMYFUNCTION("""COMPUTED_VALUE"""),4.0)</f>
        <v>4</v>
      </c>
      <c r="B71" s="1">
        <f>IFERROR(__xludf.DUMMYFUNCTION("""COMPUTED_VALUE"""),1.0)</f>
        <v>1</v>
      </c>
      <c r="C71" s="1" t="str">
        <f>IFERROR(__xludf.DUMMYFUNCTION("""COMPUTED_VALUE"""),"ท22101")</f>
        <v>ท22101</v>
      </c>
      <c r="D71" s="1" t="str">
        <f>IFERROR(__xludf.DUMMYFUNCTION("""COMPUTED_VALUE"""),"ภาษาไทย 3")</f>
        <v>ภาษาไทย 3</v>
      </c>
      <c r="E71" s="1">
        <f>IFERROR(__xludf.DUMMYFUNCTION("""COMPUTED_VALUE"""),1.5)</f>
        <v>1.5</v>
      </c>
      <c r="F71" s="1">
        <f>IFERROR(__xludf.DUMMYFUNCTION("""COMPUTED_VALUE"""),2569.0)</f>
        <v>2569</v>
      </c>
      <c r="G71" s="1">
        <f>IFERROR(__xludf.DUMMYFUNCTION("""COMPUTED_VALUE"""),1.0)</f>
        <v>1</v>
      </c>
      <c r="H71" s="1">
        <f>IFERROR(__xludf.DUMMYFUNCTION("""COMPUTED_VALUE"""),138.0)</f>
        <v>138</v>
      </c>
      <c r="I71" s="1" t="str">
        <f>IFERROR(__xludf.DUMMYFUNCTION("""COMPUTED_VALUE"""),"นางสาว")</f>
        <v>นางสาว</v>
      </c>
      <c r="J71" s="1" t="str">
        <f>IFERROR(__xludf.DUMMYFUNCTION("""COMPUTED_VALUE"""),"ชิดชนก")</f>
        <v>ชิดชนก</v>
      </c>
      <c r="K71" s="1" t="str">
        <f>IFERROR(__xludf.DUMMYFUNCTION("""COMPUTED_VALUE"""),"พยัคฆโส")</f>
        <v>พยัคฆโส</v>
      </c>
      <c r="L71" s="1" t="str">
        <f>IFERROR(__xludf.DUMMYFUNCTION("""COMPUTED_VALUE"""),"ม.2")</f>
        <v>ม.2</v>
      </c>
      <c r="M71" s="1" t="str">
        <f>IFERROR(__xludf.DUMMYFUNCTION("""COMPUTED_VALUE"""),"ภาษาไทย")</f>
        <v>ภาษาไทย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>
        <f>IFERROR(__xludf.DUMMYFUNCTION("""COMPUTED_VALUE"""),6.0)</f>
        <v>6</v>
      </c>
      <c r="B72" s="1">
        <f>IFERROR(__xludf.DUMMYFUNCTION("""COMPUTED_VALUE"""),1.0)</f>
        <v>1</v>
      </c>
      <c r="C72" s="1" t="str">
        <f>IFERROR(__xludf.DUMMYFUNCTION("""COMPUTED_VALUE"""),"ท22101")</f>
        <v>ท22101</v>
      </c>
      <c r="D72" s="1" t="str">
        <f>IFERROR(__xludf.DUMMYFUNCTION("""COMPUTED_VALUE"""),"ภาษาไทย 3")</f>
        <v>ภาษาไทย 3</v>
      </c>
      <c r="E72" s="1">
        <f>IFERROR(__xludf.DUMMYFUNCTION("""COMPUTED_VALUE"""),1.5)</f>
        <v>1.5</v>
      </c>
      <c r="F72" s="1">
        <f>IFERROR(__xludf.DUMMYFUNCTION("""COMPUTED_VALUE"""),2569.0)</f>
        <v>2569</v>
      </c>
      <c r="G72" s="1">
        <f>IFERROR(__xludf.DUMMYFUNCTION("""COMPUTED_VALUE"""),1.0)</f>
        <v>1</v>
      </c>
      <c r="H72" s="1">
        <f>IFERROR(__xludf.DUMMYFUNCTION("""COMPUTED_VALUE"""),138.0)</f>
        <v>138</v>
      </c>
      <c r="I72" s="1" t="str">
        <f>IFERROR(__xludf.DUMMYFUNCTION("""COMPUTED_VALUE"""),"นางสาว")</f>
        <v>นางสาว</v>
      </c>
      <c r="J72" s="1" t="str">
        <f>IFERROR(__xludf.DUMMYFUNCTION("""COMPUTED_VALUE"""),"ชิดชนก")</f>
        <v>ชิดชนก</v>
      </c>
      <c r="K72" s="1" t="str">
        <f>IFERROR(__xludf.DUMMYFUNCTION("""COMPUTED_VALUE"""),"พยัคฆโส")</f>
        <v>พยัคฆโส</v>
      </c>
      <c r="L72" s="1" t="str">
        <f>IFERROR(__xludf.DUMMYFUNCTION("""COMPUTED_VALUE"""),"ม.2")</f>
        <v>ม.2</v>
      </c>
      <c r="M72" s="1" t="str">
        <f>IFERROR(__xludf.DUMMYFUNCTION("""COMPUTED_VALUE"""),"ภาษาไทย")</f>
        <v>ภาษาไทย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>
        <f>IFERROR(__xludf.DUMMYFUNCTION("""COMPUTED_VALUE"""),2.0)</f>
        <v>2</v>
      </c>
      <c r="B73" s="1">
        <f>IFERROR(__xludf.DUMMYFUNCTION("""COMPUTED_VALUE"""),1.0)</f>
        <v>1</v>
      </c>
      <c r="C73" s="1" t="str">
        <f>IFERROR(__xludf.DUMMYFUNCTION("""COMPUTED_VALUE"""),"ท33101")</f>
        <v>ท33101</v>
      </c>
      <c r="D73" s="1" t="str">
        <f>IFERROR(__xludf.DUMMYFUNCTION("""COMPUTED_VALUE"""),"ภาษาไทย 5")</f>
        <v>ภาษาไทย 5</v>
      </c>
      <c r="E73" s="1">
        <f>IFERROR(__xludf.DUMMYFUNCTION("""COMPUTED_VALUE"""),1.0)</f>
        <v>1</v>
      </c>
      <c r="F73" s="1">
        <f>IFERROR(__xludf.DUMMYFUNCTION("""COMPUTED_VALUE"""),2569.0)</f>
        <v>2569</v>
      </c>
      <c r="G73" s="1">
        <f>IFERROR(__xludf.DUMMYFUNCTION("""COMPUTED_VALUE"""),1.0)</f>
        <v>1</v>
      </c>
      <c r="H73" s="1">
        <f>IFERROR(__xludf.DUMMYFUNCTION("""COMPUTED_VALUE"""),138.0)</f>
        <v>138</v>
      </c>
      <c r="I73" s="1" t="str">
        <f>IFERROR(__xludf.DUMMYFUNCTION("""COMPUTED_VALUE"""),"นางสาว")</f>
        <v>นางสาว</v>
      </c>
      <c r="J73" s="1" t="str">
        <f>IFERROR(__xludf.DUMMYFUNCTION("""COMPUTED_VALUE"""),"ชิดชนก")</f>
        <v>ชิดชนก</v>
      </c>
      <c r="K73" s="1" t="str">
        <f>IFERROR(__xludf.DUMMYFUNCTION("""COMPUTED_VALUE"""),"พยัคฆโส")</f>
        <v>พยัคฆโส</v>
      </c>
      <c r="L73" s="1" t="str">
        <f>IFERROR(__xludf.DUMMYFUNCTION("""COMPUTED_VALUE"""),"ม.6")</f>
        <v>ม.6</v>
      </c>
      <c r="M73" s="1" t="str">
        <f>IFERROR(__xludf.DUMMYFUNCTION("""COMPUTED_VALUE"""),"ภาษาไทย")</f>
        <v>ภาษาไทย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>
        <f>IFERROR(__xludf.DUMMYFUNCTION("""COMPUTED_VALUE"""),4.0)</f>
        <v>4</v>
      </c>
      <c r="B74" s="1">
        <f>IFERROR(__xludf.DUMMYFUNCTION("""COMPUTED_VALUE"""),1.0)</f>
        <v>1</v>
      </c>
      <c r="C74" s="1" t="str">
        <f>IFERROR(__xludf.DUMMYFUNCTION("""COMPUTED_VALUE"""),"ท33101")</f>
        <v>ท33101</v>
      </c>
      <c r="D74" s="1" t="str">
        <f>IFERROR(__xludf.DUMMYFUNCTION("""COMPUTED_VALUE"""),"ภาษาไทย 5")</f>
        <v>ภาษาไทย 5</v>
      </c>
      <c r="E74" s="1">
        <f>IFERROR(__xludf.DUMMYFUNCTION("""COMPUTED_VALUE"""),1.0)</f>
        <v>1</v>
      </c>
      <c r="F74" s="1">
        <f>IFERROR(__xludf.DUMMYFUNCTION("""COMPUTED_VALUE"""),2569.0)</f>
        <v>2569</v>
      </c>
      <c r="G74" s="1">
        <f>IFERROR(__xludf.DUMMYFUNCTION("""COMPUTED_VALUE"""),1.0)</f>
        <v>1</v>
      </c>
      <c r="H74" s="1">
        <f>IFERROR(__xludf.DUMMYFUNCTION("""COMPUTED_VALUE"""),138.0)</f>
        <v>138</v>
      </c>
      <c r="I74" s="1" t="str">
        <f>IFERROR(__xludf.DUMMYFUNCTION("""COMPUTED_VALUE"""),"นางสาว")</f>
        <v>นางสาว</v>
      </c>
      <c r="J74" s="1" t="str">
        <f>IFERROR(__xludf.DUMMYFUNCTION("""COMPUTED_VALUE"""),"ชิดชนก")</f>
        <v>ชิดชนก</v>
      </c>
      <c r="K74" s="1" t="str">
        <f>IFERROR(__xludf.DUMMYFUNCTION("""COMPUTED_VALUE"""),"พยัคฆโส")</f>
        <v>พยัคฆโส</v>
      </c>
      <c r="L74" s="1" t="str">
        <f>IFERROR(__xludf.DUMMYFUNCTION("""COMPUTED_VALUE"""),"ม.6")</f>
        <v>ม.6</v>
      </c>
      <c r="M74" s="1" t="str">
        <f>IFERROR(__xludf.DUMMYFUNCTION("""COMPUTED_VALUE"""),"ภาษาไทย")</f>
        <v>ภาษาไทย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>
        <f>IFERROR(__xludf.DUMMYFUNCTION("""COMPUTED_VALUE"""),6.0)</f>
        <v>6</v>
      </c>
      <c r="B75" s="1">
        <f>IFERROR(__xludf.DUMMYFUNCTION("""COMPUTED_VALUE"""),1.0)</f>
        <v>1</v>
      </c>
      <c r="C75" s="1" t="str">
        <f>IFERROR(__xludf.DUMMYFUNCTION("""COMPUTED_VALUE"""),"ท33101")</f>
        <v>ท33101</v>
      </c>
      <c r="D75" s="1" t="str">
        <f>IFERROR(__xludf.DUMMYFUNCTION("""COMPUTED_VALUE"""),"ภาษาไทย 5")</f>
        <v>ภาษาไทย 5</v>
      </c>
      <c r="E75" s="1">
        <f>IFERROR(__xludf.DUMMYFUNCTION("""COMPUTED_VALUE"""),1.0)</f>
        <v>1</v>
      </c>
      <c r="F75" s="1">
        <f>IFERROR(__xludf.DUMMYFUNCTION("""COMPUTED_VALUE"""),2569.0)</f>
        <v>2569</v>
      </c>
      <c r="G75" s="1">
        <f>IFERROR(__xludf.DUMMYFUNCTION("""COMPUTED_VALUE"""),1.0)</f>
        <v>1</v>
      </c>
      <c r="H75" s="1">
        <f>IFERROR(__xludf.DUMMYFUNCTION("""COMPUTED_VALUE"""),138.0)</f>
        <v>138</v>
      </c>
      <c r="I75" s="1" t="str">
        <f>IFERROR(__xludf.DUMMYFUNCTION("""COMPUTED_VALUE"""),"นางสาว")</f>
        <v>นางสาว</v>
      </c>
      <c r="J75" s="1" t="str">
        <f>IFERROR(__xludf.DUMMYFUNCTION("""COMPUTED_VALUE"""),"ชิดชนก")</f>
        <v>ชิดชนก</v>
      </c>
      <c r="K75" s="1" t="str">
        <f>IFERROR(__xludf.DUMMYFUNCTION("""COMPUTED_VALUE"""),"พยัคฆโส")</f>
        <v>พยัคฆโส</v>
      </c>
      <c r="L75" s="1" t="str">
        <f>IFERROR(__xludf.DUMMYFUNCTION("""COMPUTED_VALUE"""),"ม.6")</f>
        <v>ม.6</v>
      </c>
      <c r="M75" s="1" t="str">
        <f>IFERROR(__xludf.DUMMYFUNCTION("""COMPUTED_VALUE"""),"ภาษาไทย")</f>
        <v>ภาษาไทย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>
        <f>IFERROR(__xludf.DUMMYFUNCTION("""COMPUTED_VALUE"""),8.0)</f>
        <v>8</v>
      </c>
      <c r="B76" s="1">
        <f>IFERROR(__xludf.DUMMYFUNCTION("""COMPUTED_VALUE"""),1.0)</f>
        <v>1</v>
      </c>
      <c r="C76" s="1" t="str">
        <f>IFERROR(__xludf.DUMMYFUNCTION("""COMPUTED_VALUE"""),"ท33101")</f>
        <v>ท33101</v>
      </c>
      <c r="D76" s="1" t="str">
        <f>IFERROR(__xludf.DUMMYFUNCTION("""COMPUTED_VALUE"""),"ภาษาไทย 5")</f>
        <v>ภาษาไทย 5</v>
      </c>
      <c r="E76" s="1">
        <f>IFERROR(__xludf.DUMMYFUNCTION("""COMPUTED_VALUE"""),1.0)</f>
        <v>1</v>
      </c>
      <c r="F76" s="1">
        <f>IFERROR(__xludf.DUMMYFUNCTION("""COMPUTED_VALUE"""),2569.0)</f>
        <v>2569</v>
      </c>
      <c r="G76" s="1">
        <f>IFERROR(__xludf.DUMMYFUNCTION("""COMPUTED_VALUE"""),1.0)</f>
        <v>1</v>
      </c>
      <c r="H76" s="1">
        <f>IFERROR(__xludf.DUMMYFUNCTION("""COMPUTED_VALUE"""),138.0)</f>
        <v>138</v>
      </c>
      <c r="I76" s="1" t="str">
        <f>IFERROR(__xludf.DUMMYFUNCTION("""COMPUTED_VALUE"""),"นางสาว")</f>
        <v>นางสาว</v>
      </c>
      <c r="J76" s="1" t="str">
        <f>IFERROR(__xludf.DUMMYFUNCTION("""COMPUTED_VALUE"""),"ชิดชนก")</f>
        <v>ชิดชนก</v>
      </c>
      <c r="K76" s="1" t="str">
        <f>IFERROR(__xludf.DUMMYFUNCTION("""COMPUTED_VALUE"""),"พยัคฆโส")</f>
        <v>พยัคฆโส</v>
      </c>
      <c r="L76" s="1" t="str">
        <f>IFERROR(__xludf.DUMMYFUNCTION("""COMPUTED_VALUE"""),"ม.6")</f>
        <v>ม.6</v>
      </c>
      <c r="M76" s="1" t="str">
        <f>IFERROR(__xludf.DUMMYFUNCTION("""COMPUTED_VALUE"""),"ภาษาไทย")</f>
        <v>ภาษาไทย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>
        <f>IFERROR(__xludf.DUMMYFUNCTION("""COMPUTED_VALUE"""),10.0)</f>
        <v>10</v>
      </c>
      <c r="B77" s="1">
        <f>IFERROR(__xludf.DUMMYFUNCTION("""COMPUTED_VALUE"""),1.0)</f>
        <v>1</v>
      </c>
      <c r="C77" s="1" t="str">
        <f>IFERROR(__xludf.DUMMYFUNCTION("""COMPUTED_VALUE"""),"ท33101")</f>
        <v>ท33101</v>
      </c>
      <c r="D77" s="1" t="str">
        <f>IFERROR(__xludf.DUMMYFUNCTION("""COMPUTED_VALUE"""),"ภาษาไทย 5")</f>
        <v>ภาษาไทย 5</v>
      </c>
      <c r="E77" s="1">
        <f>IFERROR(__xludf.DUMMYFUNCTION("""COMPUTED_VALUE"""),1.0)</f>
        <v>1</v>
      </c>
      <c r="F77" s="1">
        <f>IFERROR(__xludf.DUMMYFUNCTION("""COMPUTED_VALUE"""),2569.0)</f>
        <v>2569</v>
      </c>
      <c r="G77" s="1">
        <f>IFERROR(__xludf.DUMMYFUNCTION("""COMPUTED_VALUE"""),1.0)</f>
        <v>1</v>
      </c>
      <c r="H77" s="1">
        <f>IFERROR(__xludf.DUMMYFUNCTION("""COMPUTED_VALUE"""),138.0)</f>
        <v>138</v>
      </c>
      <c r="I77" s="1" t="str">
        <f>IFERROR(__xludf.DUMMYFUNCTION("""COMPUTED_VALUE"""),"นางสาว")</f>
        <v>นางสาว</v>
      </c>
      <c r="J77" s="1" t="str">
        <f>IFERROR(__xludf.DUMMYFUNCTION("""COMPUTED_VALUE"""),"ชิดชนก")</f>
        <v>ชิดชนก</v>
      </c>
      <c r="K77" s="1" t="str">
        <f>IFERROR(__xludf.DUMMYFUNCTION("""COMPUTED_VALUE"""),"พยัคฆโส")</f>
        <v>พยัคฆโส</v>
      </c>
      <c r="L77" s="1" t="str">
        <f>IFERROR(__xludf.DUMMYFUNCTION("""COMPUTED_VALUE"""),"ม.6")</f>
        <v>ม.6</v>
      </c>
      <c r="M77" s="1" t="str">
        <f>IFERROR(__xludf.DUMMYFUNCTION("""COMPUTED_VALUE"""),"ภาษาไทย")</f>
        <v>ภาษาไทย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>
        <f>IFERROR(__xludf.DUMMYFUNCTION("""COMPUTED_VALUE"""),10.0)</f>
        <v>10</v>
      </c>
      <c r="B78" s="1">
        <f>IFERROR(__xludf.DUMMYFUNCTION("""COMPUTED_VALUE"""),1.0)</f>
        <v>1</v>
      </c>
      <c r="C78" s="1" t="str">
        <f>IFERROR(__xludf.DUMMYFUNCTION("""COMPUTED_VALUE"""),"ส30247")</f>
        <v>ส30247</v>
      </c>
      <c r="D78" s="1" t="str">
        <f>IFERROR(__xludf.DUMMYFUNCTION("""COMPUTED_VALUE"""),"การป้องกันการทุจริต 1")</f>
        <v>การป้องกันการทุจริต 1</v>
      </c>
      <c r="E78" s="1">
        <f>IFERROR(__xludf.DUMMYFUNCTION("""COMPUTED_VALUE"""),0.5)</f>
        <v>0.5</v>
      </c>
      <c r="F78" s="1">
        <f>IFERROR(__xludf.DUMMYFUNCTION("""COMPUTED_VALUE"""),2569.0)</f>
        <v>2569</v>
      </c>
      <c r="G78" s="1">
        <f>IFERROR(__xludf.DUMMYFUNCTION("""COMPUTED_VALUE"""),1.0)</f>
        <v>1</v>
      </c>
      <c r="H78" s="1">
        <f>IFERROR(__xludf.DUMMYFUNCTION("""COMPUTED_VALUE"""),138.0)</f>
        <v>138</v>
      </c>
      <c r="I78" s="1" t="str">
        <f>IFERROR(__xludf.DUMMYFUNCTION("""COMPUTED_VALUE"""),"นางสาว")</f>
        <v>นางสาว</v>
      </c>
      <c r="J78" s="1" t="str">
        <f>IFERROR(__xludf.DUMMYFUNCTION("""COMPUTED_VALUE"""),"ชิดชนก")</f>
        <v>ชิดชนก</v>
      </c>
      <c r="K78" s="1" t="str">
        <f>IFERROR(__xludf.DUMMYFUNCTION("""COMPUTED_VALUE"""),"พยัคฆโส")</f>
        <v>พยัคฆโส</v>
      </c>
      <c r="L78" s="1" t="str">
        <f>IFERROR(__xludf.DUMMYFUNCTION("""COMPUTED_VALUE"""),"ม.4")</f>
        <v>ม.4</v>
      </c>
      <c r="M78" s="1" t="str">
        <f>IFERROR(__xludf.DUMMYFUNCTION("""COMPUTED_VALUE"""),"ภาษาไทย")</f>
        <v>ภาษาไทย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>
        <f>IFERROR(__xludf.DUMMYFUNCTION("""COMPUTED_VALUE"""),7.0)</f>
        <v>7</v>
      </c>
      <c r="B79" s="1">
        <f>IFERROR(__xludf.DUMMYFUNCTION("""COMPUTED_VALUE"""),1.0)</f>
        <v>1</v>
      </c>
      <c r="C79" s="1" t="str">
        <f>IFERROR(__xludf.DUMMYFUNCTION("""COMPUTED_VALUE"""),"ท30203")</f>
        <v>ท30203</v>
      </c>
      <c r="D79" s="1" t="str">
        <f>IFERROR(__xludf.DUMMYFUNCTION("""COMPUTED_VALUE"""),"การใช้ภาษาไทยในยุคดิจิทัล")</f>
        <v>การใช้ภาษาไทยในยุคดิจิทัล</v>
      </c>
      <c r="E79" s="1">
        <f>IFERROR(__xludf.DUMMYFUNCTION("""COMPUTED_VALUE"""),1.0)</f>
        <v>1</v>
      </c>
      <c r="F79" s="1">
        <f>IFERROR(__xludf.DUMMYFUNCTION("""COMPUTED_VALUE"""),2569.0)</f>
        <v>2569</v>
      </c>
      <c r="G79" s="1">
        <f>IFERROR(__xludf.DUMMYFUNCTION("""COMPUTED_VALUE"""),1.0)</f>
        <v>1</v>
      </c>
      <c r="H79" s="1">
        <f>IFERROR(__xludf.DUMMYFUNCTION("""COMPUTED_VALUE"""),139.0)</f>
        <v>139</v>
      </c>
      <c r="I79" s="1" t="str">
        <f>IFERROR(__xludf.DUMMYFUNCTION("""COMPUTED_VALUE"""),"นาย")</f>
        <v>นาย</v>
      </c>
      <c r="J79" s="1" t="str">
        <f>IFERROR(__xludf.DUMMYFUNCTION("""COMPUTED_VALUE"""),"ฉลอม")</f>
        <v>ฉลอม</v>
      </c>
      <c r="K79" s="1" t="str">
        <f>IFERROR(__xludf.DUMMYFUNCTION("""COMPUTED_VALUE"""),"คล้ายหอม")</f>
        <v>คล้ายหอม</v>
      </c>
      <c r="L79" s="1" t="str">
        <f>IFERROR(__xludf.DUMMYFUNCTION("""COMPUTED_VALUE"""),"ม.4")</f>
        <v>ม.4</v>
      </c>
      <c r="M79" s="1" t="str">
        <f>IFERROR(__xludf.DUMMYFUNCTION("""COMPUTED_VALUE"""),"ภาษาไทย")</f>
        <v>ภาษาไทย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>
        <f>IFERROR(__xludf.DUMMYFUNCTION("""COMPUTED_VALUE"""),8.0)</f>
        <v>8</v>
      </c>
      <c r="B80" s="1">
        <f>IFERROR(__xludf.DUMMYFUNCTION("""COMPUTED_VALUE"""),1.0)</f>
        <v>1</v>
      </c>
      <c r="C80" s="1" t="str">
        <f>IFERROR(__xludf.DUMMYFUNCTION("""COMPUTED_VALUE"""),"ท30203")</f>
        <v>ท30203</v>
      </c>
      <c r="D80" s="1" t="str">
        <f>IFERROR(__xludf.DUMMYFUNCTION("""COMPUTED_VALUE"""),"การใช้ภาษาไทยในยุคดิจิทัล")</f>
        <v>การใช้ภาษาไทยในยุคดิจิทัล</v>
      </c>
      <c r="E80" s="1">
        <f>IFERROR(__xludf.DUMMYFUNCTION("""COMPUTED_VALUE"""),1.0)</f>
        <v>1</v>
      </c>
      <c r="F80" s="1">
        <f>IFERROR(__xludf.DUMMYFUNCTION("""COMPUTED_VALUE"""),2569.0)</f>
        <v>2569</v>
      </c>
      <c r="G80" s="1">
        <f>IFERROR(__xludf.DUMMYFUNCTION("""COMPUTED_VALUE"""),1.0)</f>
        <v>1</v>
      </c>
      <c r="H80" s="1">
        <f>IFERROR(__xludf.DUMMYFUNCTION("""COMPUTED_VALUE"""),139.0)</f>
        <v>139</v>
      </c>
      <c r="I80" s="1" t="str">
        <f>IFERROR(__xludf.DUMMYFUNCTION("""COMPUTED_VALUE"""),"นาย")</f>
        <v>นาย</v>
      </c>
      <c r="J80" s="1" t="str">
        <f>IFERROR(__xludf.DUMMYFUNCTION("""COMPUTED_VALUE"""),"ฉลอม")</f>
        <v>ฉลอม</v>
      </c>
      <c r="K80" s="1" t="str">
        <f>IFERROR(__xludf.DUMMYFUNCTION("""COMPUTED_VALUE"""),"คล้ายหอม")</f>
        <v>คล้ายหอม</v>
      </c>
      <c r="L80" s="1" t="str">
        <f>IFERROR(__xludf.DUMMYFUNCTION("""COMPUTED_VALUE"""),"ม.4")</f>
        <v>ม.4</v>
      </c>
      <c r="M80" s="1" t="str">
        <f>IFERROR(__xludf.DUMMYFUNCTION("""COMPUTED_VALUE"""),"ภาษาไทย")</f>
        <v>ภาษาไทย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>
        <f>IFERROR(__xludf.DUMMYFUNCTION("""COMPUTED_VALUE"""),10.0)</f>
        <v>10</v>
      </c>
      <c r="B81" s="1">
        <f>IFERROR(__xludf.DUMMYFUNCTION("""COMPUTED_VALUE"""),1.0)</f>
        <v>1</v>
      </c>
      <c r="C81" s="1" t="str">
        <f>IFERROR(__xludf.DUMMYFUNCTION("""COMPUTED_VALUE"""),"ท31101")</f>
        <v>ท31101</v>
      </c>
      <c r="D81" s="1" t="str">
        <f>IFERROR(__xludf.DUMMYFUNCTION("""COMPUTED_VALUE"""),"ภาษาไทย 1")</f>
        <v>ภาษาไทย 1</v>
      </c>
      <c r="E81" s="1">
        <f>IFERROR(__xludf.DUMMYFUNCTION("""COMPUTED_VALUE"""),1.0)</f>
        <v>1</v>
      </c>
      <c r="F81" s="1">
        <f>IFERROR(__xludf.DUMMYFUNCTION("""COMPUTED_VALUE"""),2569.0)</f>
        <v>2569</v>
      </c>
      <c r="G81" s="1">
        <f>IFERROR(__xludf.DUMMYFUNCTION("""COMPUTED_VALUE"""),1.0)</f>
        <v>1</v>
      </c>
      <c r="H81" s="1">
        <f>IFERROR(__xludf.DUMMYFUNCTION("""COMPUTED_VALUE"""),139.0)</f>
        <v>139</v>
      </c>
      <c r="I81" s="1" t="str">
        <f>IFERROR(__xludf.DUMMYFUNCTION("""COMPUTED_VALUE"""),"นาย")</f>
        <v>นาย</v>
      </c>
      <c r="J81" s="1" t="str">
        <f>IFERROR(__xludf.DUMMYFUNCTION("""COMPUTED_VALUE"""),"ฉลอม")</f>
        <v>ฉลอม</v>
      </c>
      <c r="K81" s="1" t="str">
        <f>IFERROR(__xludf.DUMMYFUNCTION("""COMPUTED_VALUE"""),"คล้ายหอม")</f>
        <v>คล้ายหอม</v>
      </c>
      <c r="L81" s="1" t="str">
        <f>IFERROR(__xludf.DUMMYFUNCTION("""COMPUTED_VALUE"""),"ม.4")</f>
        <v>ม.4</v>
      </c>
      <c r="M81" s="1" t="str">
        <f>IFERROR(__xludf.DUMMYFUNCTION("""COMPUTED_VALUE"""),"ภาษาไทย")</f>
        <v>ภาษาไทย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>
        <f>IFERROR(__xludf.DUMMYFUNCTION("""COMPUTED_VALUE"""),11.0)</f>
        <v>11</v>
      </c>
      <c r="B82" s="1">
        <f>IFERROR(__xludf.DUMMYFUNCTION("""COMPUTED_VALUE"""),1.0)</f>
        <v>1</v>
      </c>
      <c r="C82" s="1" t="str">
        <f>IFERROR(__xludf.DUMMYFUNCTION("""COMPUTED_VALUE"""),"ท31101")</f>
        <v>ท31101</v>
      </c>
      <c r="D82" s="1" t="str">
        <f>IFERROR(__xludf.DUMMYFUNCTION("""COMPUTED_VALUE"""),"ภาษาไทย 1")</f>
        <v>ภาษาไทย 1</v>
      </c>
      <c r="E82" s="1">
        <f>IFERROR(__xludf.DUMMYFUNCTION("""COMPUTED_VALUE"""),1.0)</f>
        <v>1</v>
      </c>
      <c r="F82" s="1">
        <f>IFERROR(__xludf.DUMMYFUNCTION("""COMPUTED_VALUE"""),2569.0)</f>
        <v>2569</v>
      </c>
      <c r="G82" s="1">
        <f>IFERROR(__xludf.DUMMYFUNCTION("""COMPUTED_VALUE"""),1.0)</f>
        <v>1</v>
      </c>
      <c r="H82" s="1">
        <f>IFERROR(__xludf.DUMMYFUNCTION("""COMPUTED_VALUE"""),139.0)</f>
        <v>139</v>
      </c>
      <c r="I82" s="1" t="str">
        <f>IFERROR(__xludf.DUMMYFUNCTION("""COMPUTED_VALUE"""),"นาย")</f>
        <v>นาย</v>
      </c>
      <c r="J82" s="1" t="str">
        <f>IFERROR(__xludf.DUMMYFUNCTION("""COMPUTED_VALUE"""),"ฉลอม")</f>
        <v>ฉลอม</v>
      </c>
      <c r="K82" s="1" t="str">
        <f>IFERROR(__xludf.DUMMYFUNCTION("""COMPUTED_VALUE"""),"คล้ายหอม")</f>
        <v>คล้ายหอม</v>
      </c>
      <c r="L82" s="1" t="str">
        <f>IFERROR(__xludf.DUMMYFUNCTION("""COMPUTED_VALUE"""),"ม.4")</f>
        <v>ม.4</v>
      </c>
      <c r="M82" s="1" t="str">
        <f>IFERROR(__xludf.DUMMYFUNCTION("""COMPUTED_VALUE"""),"ภาษาไทย")</f>
        <v>ภาษาไทย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>
        <f>IFERROR(__xludf.DUMMYFUNCTION("""COMPUTED_VALUE"""),5.0)</f>
        <v>5</v>
      </c>
      <c r="B83" s="1">
        <f>IFERROR(__xludf.DUMMYFUNCTION("""COMPUTED_VALUE"""),1.0)</f>
        <v>1</v>
      </c>
      <c r="C83" s="1" t="str">
        <f>IFERROR(__xludf.DUMMYFUNCTION("""COMPUTED_VALUE"""),"ท33201")</f>
        <v>ท33201</v>
      </c>
      <c r="D83" s="1" t="str">
        <f>IFERROR(__xludf.DUMMYFUNCTION("""COMPUTED_VALUE"""),"ภาษาไทยเพื่อการศึกษาต่อ 1")</f>
        <v>ภาษาไทยเพื่อการศึกษาต่อ 1</v>
      </c>
      <c r="E83" s="1">
        <f>IFERROR(__xludf.DUMMYFUNCTION("""COMPUTED_VALUE"""),1.0)</f>
        <v>1</v>
      </c>
      <c r="F83" s="1">
        <f>IFERROR(__xludf.DUMMYFUNCTION("""COMPUTED_VALUE"""),2569.0)</f>
        <v>2569</v>
      </c>
      <c r="G83" s="1">
        <f>IFERROR(__xludf.DUMMYFUNCTION("""COMPUTED_VALUE"""),1.0)</f>
        <v>1</v>
      </c>
      <c r="H83" s="1">
        <f>IFERROR(__xludf.DUMMYFUNCTION("""COMPUTED_VALUE"""),139.0)</f>
        <v>139</v>
      </c>
      <c r="I83" s="1" t="str">
        <f>IFERROR(__xludf.DUMMYFUNCTION("""COMPUTED_VALUE"""),"นาย")</f>
        <v>นาย</v>
      </c>
      <c r="J83" s="1" t="str">
        <f>IFERROR(__xludf.DUMMYFUNCTION("""COMPUTED_VALUE"""),"ฉลอม")</f>
        <v>ฉลอม</v>
      </c>
      <c r="K83" s="1" t="str">
        <f>IFERROR(__xludf.DUMMYFUNCTION("""COMPUTED_VALUE"""),"คล้ายหอม")</f>
        <v>คล้ายหอม</v>
      </c>
      <c r="L83" s="1" t="str">
        <f>IFERROR(__xludf.DUMMYFUNCTION("""COMPUTED_VALUE"""),"ม.6")</f>
        <v>ม.6</v>
      </c>
      <c r="M83" s="1" t="str">
        <f>IFERROR(__xludf.DUMMYFUNCTION("""COMPUTED_VALUE"""),"ภาษาไทย")</f>
        <v>ภาษาไทย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>
        <f>IFERROR(__xludf.DUMMYFUNCTION("""COMPUTED_VALUE"""),8.0)</f>
        <v>8</v>
      </c>
      <c r="B84" s="1">
        <f>IFERROR(__xludf.DUMMYFUNCTION("""COMPUTED_VALUE"""),1.0)</f>
        <v>1</v>
      </c>
      <c r="C84" s="1" t="str">
        <f>IFERROR(__xludf.DUMMYFUNCTION("""COMPUTED_VALUE"""),"ท33201")</f>
        <v>ท33201</v>
      </c>
      <c r="D84" s="1" t="str">
        <f>IFERROR(__xludf.DUMMYFUNCTION("""COMPUTED_VALUE"""),"ภาษาไทยเพื่อการศึกษาต่อ 1")</f>
        <v>ภาษาไทยเพื่อการศึกษาต่อ 1</v>
      </c>
      <c r="E84" s="1">
        <f>IFERROR(__xludf.DUMMYFUNCTION("""COMPUTED_VALUE"""),1.0)</f>
        <v>1</v>
      </c>
      <c r="F84" s="1">
        <f>IFERROR(__xludf.DUMMYFUNCTION("""COMPUTED_VALUE"""),2569.0)</f>
        <v>2569</v>
      </c>
      <c r="G84" s="1">
        <f>IFERROR(__xludf.DUMMYFUNCTION("""COMPUTED_VALUE"""),1.0)</f>
        <v>1</v>
      </c>
      <c r="H84" s="1">
        <f>IFERROR(__xludf.DUMMYFUNCTION("""COMPUTED_VALUE"""),139.0)</f>
        <v>139</v>
      </c>
      <c r="I84" s="1" t="str">
        <f>IFERROR(__xludf.DUMMYFUNCTION("""COMPUTED_VALUE"""),"นาย")</f>
        <v>นาย</v>
      </c>
      <c r="J84" s="1" t="str">
        <f>IFERROR(__xludf.DUMMYFUNCTION("""COMPUTED_VALUE"""),"ฉลอม")</f>
        <v>ฉลอม</v>
      </c>
      <c r="K84" s="1" t="str">
        <f>IFERROR(__xludf.DUMMYFUNCTION("""COMPUTED_VALUE"""),"คล้ายหอม")</f>
        <v>คล้ายหอม</v>
      </c>
      <c r="L84" s="1" t="str">
        <f>IFERROR(__xludf.DUMMYFUNCTION("""COMPUTED_VALUE"""),"ม.6")</f>
        <v>ม.6</v>
      </c>
      <c r="M84" s="1" t="str">
        <f>IFERROR(__xludf.DUMMYFUNCTION("""COMPUTED_VALUE"""),"ภาษาไทย")</f>
        <v>ภาษาไทย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>
        <f>IFERROR(__xludf.DUMMYFUNCTION("""COMPUTED_VALUE"""),9.0)</f>
        <v>9</v>
      </c>
      <c r="B85" s="1">
        <f>IFERROR(__xludf.DUMMYFUNCTION("""COMPUTED_VALUE"""),1.0)</f>
        <v>1</v>
      </c>
      <c r="C85" s="1" t="str">
        <f>IFERROR(__xludf.DUMMYFUNCTION("""COMPUTED_VALUE"""),"ท33201")</f>
        <v>ท33201</v>
      </c>
      <c r="D85" s="1" t="str">
        <f>IFERROR(__xludf.DUMMYFUNCTION("""COMPUTED_VALUE"""),"ภาษาไทยเพื่อการศึกษาต่อ 1")</f>
        <v>ภาษาไทยเพื่อการศึกษาต่อ 1</v>
      </c>
      <c r="E85" s="1">
        <f>IFERROR(__xludf.DUMMYFUNCTION("""COMPUTED_VALUE"""),1.0)</f>
        <v>1</v>
      </c>
      <c r="F85" s="1">
        <f>IFERROR(__xludf.DUMMYFUNCTION("""COMPUTED_VALUE"""),2569.0)</f>
        <v>2569</v>
      </c>
      <c r="G85" s="1">
        <f>IFERROR(__xludf.DUMMYFUNCTION("""COMPUTED_VALUE"""),1.0)</f>
        <v>1</v>
      </c>
      <c r="H85" s="1">
        <f>IFERROR(__xludf.DUMMYFUNCTION("""COMPUTED_VALUE"""),139.0)</f>
        <v>139</v>
      </c>
      <c r="I85" s="1" t="str">
        <f>IFERROR(__xludf.DUMMYFUNCTION("""COMPUTED_VALUE"""),"นาย")</f>
        <v>นาย</v>
      </c>
      <c r="J85" s="1" t="str">
        <f>IFERROR(__xludf.DUMMYFUNCTION("""COMPUTED_VALUE"""),"ฉลอม")</f>
        <v>ฉลอม</v>
      </c>
      <c r="K85" s="1" t="str">
        <f>IFERROR(__xludf.DUMMYFUNCTION("""COMPUTED_VALUE"""),"คล้ายหอม")</f>
        <v>คล้ายหอม</v>
      </c>
      <c r="L85" s="1" t="str">
        <f>IFERROR(__xludf.DUMMYFUNCTION("""COMPUTED_VALUE"""),"ม.6")</f>
        <v>ม.6</v>
      </c>
      <c r="M85" s="1" t="str">
        <f>IFERROR(__xludf.DUMMYFUNCTION("""COMPUTED_VALUE"""),"ภาษาไทย")</f>
        <v>ภาษาไทย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>
        <f>IFERROR(__xludf.DUMMYFUNCTION("""COMPUTED_VALUE"""),10.0)</f>
        <v>10</v>
      </c>
      <c r="B86" s="1">
        <f>IFERROR(__xludf.DUMMYFUNCTION("""COMPUTED_VALUE"""),1.0)</f>
        <v>1</v>
      </c>
      <c r="C86" s="1" t="str">
        <f>IFERROR(__xludf.DUMMYFUNCTION("""COMPUTED_VALUE"""),"ท33201")</f>
        <v>ท33201</v>
      </c>
      <c r="D86" s="1" t="str">
        <f>IFERROR(__xludf.DUMMYFUNCTION("""COMPUTED_VALUE"""),"ภาษาไทยเพื่อการศึกษาต่อ 1")</f>
        <v>ภาษาไทยเพื่อการศึกษาต่อ 1</v>
      </c>
      <c r="E86" s="1">
        <f>IFERROR(__xludf.DUMMYFUNCTION("""COMPUTED_VALUE"""),1.0)</f>
        <v>1</v>
      </c>
      <c r="F86" s="1">
        <f>IFERROR(__xludf.DUMMYFUNCTION("""COMPUTED_VALUE"""),2569.0)</f>
        <v>2569</v>
      </c>
      <c r="G86" s="1">
        <f>IFERROR(__xludf.DUMMYFUNCTION("""COMPUTED_VALUE"""),1.0)</f>
        <v>1</v>
      </c>
      <c r="H86" s="1">
        <f>IFERROR(__xludf.DUMMYFUNCTION("""COMPUTED_VALUE"""),139.0)</f>
        <v>139</v>
      </c>
      <c r="I86" s="1" t="str">
        <f>IFERROR(__xludf.DUMMYFUNCTION("""COMPUTED_VALUE"""),"นาย")</f>
        <v>นาย</v>
      </c>
      <c r="J86" s="1" t="str">
        <f>IFERROR(__xludf.DUMMYFUNCTION("""COMPUTED_VALUE"""),"ฉลอม")</f>
        <v>ฉลอม</v>
      </c>
      <c r="K86" s="1" t="str">
        <f>IFERROR(__xludf.DUMMYFUNCTION("""COMPUTED_VALUE"""),"คล้ายหอม")</f>
        <v>คล้ายหอม</v>
      </c>
      <c r="L86" s="1" t="str">
        <f>IFERROR(__xludf.DUMMYFUNCTION("""COMPUTED_VALUE"""),"ม.6")</f>
        <v>ม.6</v>
      </c>
      <c r="M86" s="1" t="str">
        <f>IFERROR(__xludf.DUMMYFUNCTION("""COMPUTED_VALUE"""),"ภาษาไทย")</f>
        <v>ภาษาไทย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>
        <f>IFERROR(__xludf.DUMMYFUNCTION("""COMPUTED_VALUE"""),8.0)</f>
        <v>8</v>
      </c>
      <c r="B87" s="1">
        <f>IFERROR(__xludf.DUMMYFUNCTION("""COMPUTED_VALUE"""),1.0)</f>
        <v>1</v>
      </c>
      <c r="C87" s="1" t="str">
        <f>IFERROR(__xludf.DUMMYFUNCTION("""COMPUTED_VALUE"""),"ส20227")</f>
        <v>ส20227</v>
      </c>
      <c r="D87" s="1" t="str">
        <f>IFERROR(__xludf.DUMMYFUNCTION("""COMPUTED_VALUE"""),"การป้องกันการทุจริต 5")</f>
        <v>การป้องกันการทุจริต 5</v>
      </c>
      <c r="E87" s="1">
        <f>IFERROR(__xludf.DUMMYFUNCTION("""COMPUTED_VALUE"""),0.5)</f>
        <v>0.5</v>
      </c>
      <c r="F87" s="1">
        <f>IFERROR(__xludf.DUMMYFUNCTION("""COMPUTED_VALUE"""),2569.0)</f>
        <v>2569</v>
      </c>
      <c r="G87" s="1">
        <f>IFERROR(__xludf.DUMMYFUNCTION("""COMPUTED_VALUE"""),1.0)</f>
        <v>1</v>
      </c>
      <c r="H87" s="1">
        <f>IFERROR(__xludf.DUMMYFUNCTION("""COMPUTED_VALUE"""),139.0)</f>
        <v>139</v>
      </c>
      <c r="I87" s="1" t="str">
        <f>IFERROR(__xludf.DUMMYFUNCTION("""COMPUTED_VALUE"""),"นาย")</f>
        <v>นาย</v>
      </c>
      <c r="J87" s="1" t="str">
        <f>IFERROR(__xludf.DUMMYFUNCTION("""COMPUTED_VALUE"""),"ฉลอม")</f>
        <v>ฉลอม</v>
      </c>
      <c r="K87" s="1" t="str">
        <f>IFERROR(__xludf.DUMMYFUNCTION("""COMPUTED_VALUE"""),"คล้ายหอม")</f>
        <v>คล้ายหอม</v>
      </c>
      <c r="L87" s="1" t="str">
        <f>IFERROR(__xludf.DUMMYFUNCTION("""COMPUTED_VALUE"""),"ม.3")</f>
        <v>ม.3</v>
      </c>
      <c r="M87" s="1" t="str">
        <f>IFERROR(__xludf.DUMMYFUNCTION("""COMPUTED_VALUE"""),"ภาษาไทย")</f>
        <v>ภาษาไทย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>
        <f>IFERROR(__xludf.DUMMYFUNCTION("""COMPUTED_VALUE"""),1.0)</f>
        <v>1</v>
      </c>
      <c r="B88" s="1">
        <f>IFERROR(__xludf.DUMMYFUNCTION("""COMPUTED_VALUE"""),1.0)</f>
        <v>1</v>
      </c>
      <c r="C88" s="1" t="str">
        <f>IFERROR(__xludf.DUMMYFUNCTION("""COMPUTED_VALUE"""),"ค30201")</f>
        <v>ค30201</v>
      </c>
      <c r="D88" s="1" t="str">
        <f>IFERROR(__xludf.DUMMYFUNCTION("""COMPUTED_VALUE"""),"การแก้ปัญหาทางคณิตศาสตร์ 1")</f>
        <v>การแก้ปัญหาทางคณิตศาสตร์ 1</v>
      </c>
      <c r="E88" s="1">
        <f>IFERROR(__xludf.DUMMYFUNCTION("""COMPUTED_VALUE"""),0.5)</f>
        <v>0.5</v>
      </c>
      <c r="F88" s="1">
        <f>IFERROR(__xludf.DUMMYFUNCTION("""COMPUTED_VALUE"""),2569.0)</f>
        <v>2569</v>
      </c>
      <c r="G88" s="1">
        <f>IFERROR(__xludf.DUMMYFUNCTION("""COMPUTED_VALUE"""),1.0)</f>
        <v>1</v>
      </c>
      <c r="H88" s="1">
        <f>IFERROR(__xludf.DUMMYFUNCTION("""COMPUTED_VALUE"""),214.0)</f>
        <v>214</v>
      </c>
      <c r="I88" s="1" t="str">
        <f>IFERROR(__xludf.DUMMYFUNCTION("""COMPUTED_VALUE"""),"นาย")</f>
        <v>นาย</v>
      </c>
      <c r="J88" s="1" t="str">
        <f>IFERROR(__xludf.DUMMYFUNCTION("""COMPUTED_VALUE"""),"อมร")</f>
        <v>อมร</v>
      </c>
      <c r="K88" s="1" t="str">
        <f>IFERROR(__xludf.DUMMYFUNCTION("""COMPUTED_VALUE"""),"หลงศรีภูมิ")</f>
        <v>หลงศรีภูมิ</v>
      </c>
      <c r="L88" s="1" t="str">
        <f>IFERROR(__xludf.DUMMYFUNCTION("""COMPUTED_VALUE"""),"ม.5")</f>
        <v>ม.5</v>
      </c>
      <c r="M88" s="1" t="str">
        <f>IFERROR(__xludf.DUMMYFUNCTION("""COMPUTED_VALUE"""),"คณิตศาสตร์")</f>
        <v>คณิตศาสตร์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>
        <f>IFERROR(__xludf.DUMMYFUNCTION("""COMPUTED_VALUE"""),1.0)</f>
        <v>1</v>
      </c>
      <c r="B89" s="1">
        <f>IFERROR(__xludf.DUMMYFUNCTION("""COMPUTED_VALUE"""),1.0)</f>
        <v>1</v>
      </c>
      <c r="C89" s="1" t="str">
        <f>IFERROR(__xludf.DUMMYFUNCTION("""COMPUTED_VALUE"""),"ค32101")</f>
        <v>ค32101</v>
      </c>
      <c r="D89" s="1" t="str">
        <f>IFERROR(__xludf.DUMMYFUNCTION("""COMPUTED_VALUE"""),"คณิตศาสตร์ 3")</f>
        <v>คณิตศาสตร์ 3</v>
      </c>
      <c r="E89" s="1">
        <f>IFERROR(__xludf.DUMMYFUNCTION("""COMPUTED_VALUE"""),1.0)</f>
        <v>1</v>
      </c>
      <c r="F89" s="1">
        <f>IFERROR(__xludf.DUMMYFUNCTION("""COMPUTED_VALUE"""),2569.0)</f>
        <v>2569</v>
      </c>
      <c r="G89" s="1">
        <f>IFERROR(__xludf.DUMMYFUNCTION("""COMPUTED_VALUE"""),1.0)</f>
        <v>1</v>
      </c>
      <c r="H89" s="1">
        <f>IFERROR(__xludf.DUMMYFUNCTION("""COMPUTED_VALUE"""),214.0)</f>
        <v>214</v>
      </c>
      <c r="I89" s="1" t="str">
        <f>IFERROR(__xludf.DUMMYFUNCTION("""COMPUTED_VALUE"""),"นาย")</f>
        <v>นาย</v>
      </c>
      <c r="J89" s="1" t="str">
        <f>IFERROR(__xludf.DUMMYFUNCTION("""COMPUTED_VALUE"""),"อมร")</f>
        <v>อมร</v>
      </c>
      <c r="K89" s="1" t="str">
        <f>IFERROR(__xludf.DUMMYFUNCTION("""COMPUTED_VALUE"""),"หลงศรีภูมิ")</f>
        <v>หลงศรีภูมิ</v>
      </c>
      <c r="L89" s="1" t="str">
        <f>IFERROR(__xludf.DUMMYFUNCTION("""COMPUTED_VALUE"""),"ม.5")</f>
        <v>ม.5</v>
      </c>
      <c r="M89" s="1" t="str">
        <f>IFERROR(__xludf.DUMMYFUNCTION("""COMPUTED_VALUE"""),"คณิตศาสตร์")</f>
        <v>คณิตศาสตร์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>
        <f>IFERROR(__xludf.DUMMYFUNCTION("""COMPUTED_VALUE"""),4.0)</f>
        <v>4</v>
      </c>
      <c r="B90" s="1">
        <f>IFERROR(__xludf.DUMMYFUNCTION("""COMPUTED_VALUE"""),1.0)</f>
        <v>1</v>
      </c>
      <c r="C90" s="1" t="str">
        <f>IFERROR(__xludf.DUMMYFUNCTION("""COMPUTED_VALUE"""),"ค32101")</f>
        <v>ค32101</v>
      </c>
      <c r="D90" s="1" t="str">
        <f>IFERROR(__xludf.DUMMYFUNCTION("""COMPUTED_VALUE"""),"คณิตศาสตร์ 3")</f>
        <v>คณิตศาสตร์ 3</v>
      </c>
      <c r="E90" s="1">
        <f>IFERROR(__xludf.DUMMYFUNCTION("""COMPUTED_VALUE"""),1.0)</f>
        <v>1</v>
      </c>
      <c r="F90" s="1">
        <f>IFERROR(__xludf.DUMMYFUNCTION("""COMPUTED_VALUE"""),2569.0)</f>
        <v>2569</v>
      </c>
      <c r="G90" s="1">
        <f>IFERROR(__xludf.DUMMYFUNCTION("""COMPUTED_VALUE"""),1.0)</f>
        <v>1</v>
      </c>
      <c r="H90" s="1">
        <f>IFERROR(__xludf.DUMMYFUNCTION("""COMPUTED_VALUE"""),214.0)</f>
        <v>214</v>
      </c>
      <c r="I90" s="1" t="str">
        <f>IFERROR(__xludf.DUMMYFUNCTION("""COMPUTED_VALUE"""),"นาย")</f>
        <v>นาย</v>
      </c>
      <c r="J90" s="1" t="str">
        <f>IFERROR(__xludf.DUMMYFUNCTION("""COMPUTED_VALUE"""),"อมร")</f>
        <v>อมร</v>
      </c>
      <c r="K90" s="1" t="str">
        <f>IFERROR(__xludf.DUMMYFUNCTION("""COMPUTED_VALUE"""),"หลงศรีภูมิ")</f>
        <v>หลงศรีภูมิ</v>
      </c>
      <c r="L90" s="1" t="str">
        <f>IFERROR(__xludf.DUMMYFUNCTION("""COMPUTED_VALUE"""),"ม.5")</f>
        <v>ม.5</v>
      </c>
      <c r="M90" s="1" t="str">
        <f>IFERROR(__xludf.DUMMYFUNCTION("""COMPUTED_VALUE"""),"คณิตศาสตร์")</f>
        <v>คณิตศาสตร์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f>IFERROR(__xludf.DUMMYFUNCTION("""COMPUTED_VALUE"""),7.0)</f>
        <v>7</v>
      </c>
      <c r="B91" s="1">
        <f>IFERROR(__xludf.DUMMYFUNCTION("""COMPUTED_VALUE"""),1.0)</f>
        <v>1</v>
      </c>
      <c r="C91" s="1" t="str">
        <f>IFERROR(__xludf.DUMMYFUNCTION("""COMPUTED_VALUE"""),"ค32101")</f>
        <v>ค32101</v>
      </c>
      <c r="D91" s="1" t="str">
        <f>IFERROR(__xludf.DUMMYFUNCTION("""COMPUTED_VALUE"""),"คณิตศาสตร์ 3")</f>
        <v>คณิตศาสตร์ 3</v>
      </c>
      <c r="E91" s="1">
        <f>IFERROR(__xludf.DUMMYFUNCTION("""COMPUTED_VALUE"""),1.0)</f>
        <v>1</v>
      </c>
      <c r="F91" s="1">
        <f>IFERROR(__xludf.DUMMYFUNCTION("""COMPUTED_VALUE"""),2569.0)</f>
        <v>2569</v>
      </c>
      <c r="G91" s="1">
        <f>IFERROR(__xludf.DUMMYFUNCTION("""COMPUTED_VALUE"""),1.0)</f>
        <v>1</v>
      </c>
      <c r="H91" s="1">
        <f>IFERROR(__xludf.DUMMYFUNCTION("""COMPUTED_VALUE"""),214.0)</f>
        <v>214</v>
      </c>
      <c r="I91" s="1" t="str">
        <f>IFERROR(__xludf.DUMMYFUNCTION("""COMPUTED_VALUE"""),"นาย")</f>
        <v>นาย</v>
      </c>
      <c r="J91" s="1" t="str">
        <f>IFERROR(__xludf.DUMMYFUNCTION("""COMPUTED_VALUE"""),"อมร")</f>
        <v>อมร</v>
      </c>
      <c r="K91" s="1" t="str">
        <f>IFERROR(__xludf.DUMMYFUNCTION("""COMPUTED_VALUE"""),"หลงศรีภูมิ")</f>
        <v>หลงศรีภูมิ</v>
      </c>
      <c r="L91" s="1" t="str">
        <f>IFERROR(__xludf.DUMMYFUNCTION("""COMPUTED_VALUE"""),"ม.5")</f>
        <v>ม.5</v>
      </c>
      <c r="M91" s="1" t="str">
        <f>IFERROR(__xludf.DUMMYFUNCTION("""COMPUTED_VALUE"""),"คณิตศาสตร์")</f>
        <v>คณิตศาสตร์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f>IFERROR(__xludf.DUMMYFUNCTION("""COMPUTED_VALUE"""),10.0)</f>
        <v>10</v>
      </c>
      <c r="B92" s="1">
        <f>IFERROR(__xludf.DUMMYFUNCTION("""COMPUTED_VALUE"""),1.0)</f>
        <v>1</v>
      </c>
      <c r="C92" s="1" t="str">
        <f>IFERROR(__xludf.DUMMYFUNCTION("""COMPUTED_VALUE"""),"ค32101")</f>
        <v>ค32101</v>
      </c>
      <c r="D92" s="1" t="str">
        <f>IFERROR(__xludf.DUMMYFUNCTION("""COMPUTED_VALUE"""),"คณิตศาสตร์ 3")</f>
        <v>คณิตศาสตร์ 3</v>
      </c>
      <c r="E92" s="1">
        <f>IFERROR(__xludf.DUMMYFUNCTION("""COMPUTED_VALUE"""),1.0)</f>
        <v>1</v>
      </c>
      <c r="F92" s="1">
        <f>IFERROR(__xludf.DUMMYFUNCTION("""COMPUTED_VALUE"""),2569.0)</f>
        <v>2569</v>
      </c>
      <c r="G92" s="1">
        <f>IFERROR(__xludf.DUMMYFUNCTION("""COMPUTED_VALUE"""),1.0)</f>
        <v>1</v>
      </c>
      <c r="H92" s="1">
        <f>IFERROR(__xludf.DUMMYFUNCTION("""COMPUTED_VALUE"""),214.0)</f>
        <v>214</v>
      </c>
      <c r="I92" s="1" t="str">
        <f>IFERROR(__xludf.DUMMYFUNCTION("""COMPUTED_VALUE"""),"นาย")</f>
        <v>นาย</v>
      </c>
      <c r="J92" s="1" t="str">
        <f>IFERROR(__xludf.DUMMYFUNCTION("""COMPUTED_VALUE"""),"อมร")</f>
        <v>อมร</v>
      </c>
      <c r="K92" s="1" t="str">
        <f>IFERROR(__xludf.DUMMYFUNCTION("""COMPUTED_VALUE"""),"หลงศรีภูมิ")</f>
        <v>หลงศรีภูมิ</v>
      </c>
      <c r="L92" s="1" t="str">
        <f>IFERROR(__xludf.DUMMYFUNCTION("""COMPUTED_VALUE"""),"ม.5")</f>
        <v>ม.5</v>
      </c>
      <c r="M92" s="1" t="str">
        <f>IFERROR(__xludf.DUMMYFUNCTION("""COMPUTED_VALUE"""),"คณิตศาสตร์")</f>
        <v>คณิตศาสตร์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f>IFERROR(__xludf.DUMMYFUNCTION("""COMPUTED_VALUE"""),1.0)</f>
        <v>1</v>
      </c>
      <c r="B93" s="1">
        <f>IFERROR(__xludf.DUMMYFUNCTION("""COMPUTED_VALUE"""),1.0)</f>
        <v>1</v>
      </c>
      <c r="C93" s="1" t="str">
        <f>IFERROR(__xludf.DUMMYFUNCTION("""COMPUTED_VALUE"""),"ค32201")</f>
        <v>ค32201</v>
      </c>
      <c r="D93" s="1" t="str">
        <f>IFERROR(__xludf.DUMMYFUNCTION("""COMPUTED_VALUE"""),"คณิตศาสตร์เพิ่มเติม 3")</f>
        <v>คณิตศาสตร์เพิ่มเติม 3</v>
      </c>
      <c r="E93" s="1">
        <f>IFERROR(__xludf.DUMMYFUNCTION("""COMPUTED_VALUE"""),2.0)</f>
        <v>2</v>
      </c>
      <c r="F93" s="1">
        <f>IFERROR(__xludf.DUMMYFUNCTION("""COMPUTED_VALUE"""),2569.0)</f>
        <v>2569</v>
      </c>
      <c r="G93" s="1">
        <f>IFERROR(__xludf.DUMMYFUNCTION("""COMPUTED_VALUE"""),1.0)</f>
        <v>1</v>
      </c>
      <c r="H93" s="1">
        <f>IFERROR(__xludf.DUMMYFUNCTION("""COMPUTED_VALUE"""),214.0)</f>
        <v>214</v>
      </c>
      <c r="I93" s="1" t="str">
        <f>IFERROR(__xludf.DUMMYFUNCTION("""COMPUTED_VALUE"""),"นาย")</f>
        <v>นาย</v>
      </c>
      <c r="J93" s="1" t="str">
        <f>IFERROR(__xludf.DUMMYFUNCTION("""COMPUTED_VALUE"""),"อมร")</f>
        <v>อมร</v>
      </c>
      <c r="K93" s="1" t="str">
        <f>IFERROR(__xludf.DUMMYFUNCTION("""COMPUTED_VALUE"""),"หลงศรีภูมิ")</f>
        <v>หลงศรีภูมิ</v>
      </c>
      <c r="L93" s="1" t="str">
        <f>IFERROR(__xludf.DUMMYFUNCTION("""COMPUTED_VALUE"""),"ม.5")</f>
        <v>ม.5</v>
      </c>
      <c r="M93" s="1" t="str">
        <f>IFERROR(__xludf.DUMMYFUNCTION("""COMPUTED_VALUE"""),"คณิตศาสตร์")</f>
        <v>คณิตศาสตร์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f>IFERROR(__xludf.DUMMYFUNCTION("""COMPUTED_VALUE"""),4.0)</f>
        <v>4</v>
      </c>
      <c r="B94" s="1">
        <f>IFERROR(__xludf.DUMMYFUNCTION("""COMPUTED_VALUE"""),1.0)</f>
        <v>1</v>
      </c>
      <c r="C94" s="1" t="str">
        <f>IFERROR(__xludf.DUMMYFUNCTION("""COMPUTED_VALUE"""),"ค32201")</f>
        <v>ค32201</v>
      </c>
      <c r="D94" s="1" t="str">
        <f>IFERROR(__xludf.DUMMYFUNCTION("""COMPUTED_VALUE"""),"คณิตศาสตร์เพิ่มเติม 3")</f>
        <v>คณิตศาสตร์เพิ่มเติม 3</v>
      </c>
      <c r="E94" s="1">
        <f>IFERROR(__xludf.DUMMYFUNCTION("""COMPUTED_VALUE"""),2.0)</f>
        <v>2</v>
      </c>
      <c r="F94" s="1">
        <f>IFERROR(__xludf.DUMMYFUNCTION("""COMPUTED_VALUE"""),2569.0)</f>
        <v>2569</v>
      </c>
      <c r="G94" s="1">
        <f>IFERROR(__xludf.DUMMYFUNCTION("""COMPUTED_VALUE"""),1.0)</f>
        <v>1</v>
      </c>
      <c r="H94" s="1">
        <f>IFERROR(__xludf.DUMMYFUNCTION("""COMPUTED_VALUE"""),214.0)</f>
        <v>214</v>
      </c>
      <c r="I94" s="1" t="str">
        <f>IFERROR(__xludf.DUMMYFUNCTION("""COMPUTED_VALUE"""),"นาย")</f>
        <v>นาย</v>
      </c>
      <c r="J94" s="1" t="str">
        <f>IFERROR(__xludf.DUMMYFUNCTION("""COMPUTED_VALUE"""),"อมร")</f>
        <v>อมร</v>
      </c>
      <c r="K94" s="1" t="str">
        <f>IFERROR(__xludf.DUMMYFUNCTION("""COMPUTED_VALUE"""),"หลงศรีภูมิ")</f>
        <v>หลงศรีภูมิ</v>
      </c>
      <c r="L94" s="1" t="str">
        <f>IFERROR(__xludf.DUMMYFUNCTION("""COMPUTED_VALUE"""),"ม.5")</f>
        <v>ม.5</v>
      </c>
      <c r="M94" s="1" t="str">
        <f>IFERROR(__xludf.DUMMYFUNCTION("""COMPUTED_VALUE"""),"คณิตศาสตร์")</f>
        <v>คณิตศาสตร์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>
        <f>IFERROR(__xludf.DUMMYFUNCTION("""COMPUTED_VALUE"""),3.0)</f>
        <v>3</v>
      </c>
      <c r="B95" s="1">
        <f>IFERROR(__xludf.DUMMYFUNCTION("""COMPUTED_VALUE"""),1.0)</f>
        <v>1</v>
      </c>
      <c r="C95" s="1" t="str">
        <f>IFERROR(__xludf.DUMMYFUNCTION("""COMPUTED_VALUE"""),"ส30249")</f>
        <v>ส30249</v>
      </c>
      <c r="D95" s="1" t="str">
        <f>IFERROR(__xludf.DUMMYFUNCTION("""COMPUTED_VALUE"""),"การป้องกันการทุจริต 3")</f>
        <v>การป้องกันการทุจริต 3</v>
      </c>
      <c r="E95" s="1">
        <f>IFERROR(__xludf.DUMMYFUNCTION("""COMPUTED_VALUE"""),0.5)</f>
        <v>0.5</v>
      </c>
      <c r="F95" s="1">
        <f>IFERROR(__xludf.DUMMYFUNCTION("""COMPUTED_VALUE"""),2569.0)</f>
        <v>2569</v>
      </c>
      <c r="G95" s="1">
        <f>IFERROR(__xludf.DUMMYFUNCTION("""COMPUTED_VALUE"""),1.0)</f>
        <v>1</v>
      </c>
      <c r="H95" s="1">
        <f>IFERROR(__xludf.DUMMYFUNCTION("""COMPUTED_VALUE"""),214.0)</f>
        <v>214</v>
      </c>
      <c r="I95" s="1" t="str">
        <f>IFERROR(__xludf.DUMMYFUNCTION("""COMPUTED_VALUE"""),"นาย")</f>
        <v>นาย</v>
      </c>
      <c r="J95" s="1" t="str">
        <f>IFERROR(__xludf.DUMMYFUNCTION("""COMPUTED_VALUE"""),"อมร")</f>
        <v>อมร</v>
      </c>
      <c r="K95" s="1" t="str">
        <f>IFERROR(__xludf.DUMMYFUNCTION("""COMPUTED_VALUE"""),"หลงศรีภูมิ")</f>
        <v>หลงศรีภูมิ</v>
      </c>
      <c r="L95" s="1" t="str">
        <f>IFERROR(__xludf.DUMMYFUNCTION("""COMPUTED_VALUE"""),"ม.5")</f>
        <v>ม.5</v>
      </c>
      <c r="M95" s="1" t="str">
        <f>IFERROR(__xludf.DUMMYFUNCTION("""COMPUTED_VALUE"""),"คณิตศาสตร์")</f>
        <v>คณิตศาสตร์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>
        <f>IFERROR(__xludf.DUMMYFUNCTION("""COMPUTED_VALUE"""),1.0)</f>
        <v>1</v>
      </c>
      <c r="B96" s="1">
        <f>IFERROR(__xludf.DUMMYFUNCTION("""COMPUTED_VALUE"""),1.0)</f>
        <v>1</v>
      </c>
      <c r="C96" s="1" t="str">
        <f>IFERROR(__xludf.DUMMYFUNCTION("""COMPUTED_VALUE"""),"ค31101")</f>
        <v>ค31101</v>
      </c>
      <c r="D96" s="1" t="str">
        <f>IFERROR(__xludf.DUMMYFUNCTION("""COMPUTED_VALUE"""),"คณิตศาสตร์ 1")</f>
        <v>คณิตศาสตร์ 1</v>
      </c>
      <c r="E96" s="1">
        <f>IFERROR(__xludf.DUMMYFUNCTION("""COMPUTED_VALUE"""),1.0)</f>
        <v>1</v>
      </c>
      <c r="F96" s="1">
        <f>IFERROR(__xludf.DUMMYFUNCTION("""COMPUTED_VALUE"""),2569.0)</f>
        <v>2569</v>
      </c>
      <c r="G96" s="1">
        <f>IFERROR(__xludf.DUMMYFUNCTION("""COMPUTED_VALUE"""),1.0)</f>
        <v>1</v>
      </c>
      <c r="H96" s="1">
        <f>IFERROR(__xludf.DUMMYFUNCTION("""COMPUTED_VALUE"""),216.0)</f>
        <v>216</v>
      </c>
      <c r="I96" s="1" t="str">
        <f>IFERROR(__xludf.DUMMYFUNCTION("""COMPUTED_VALUE"""),"นาง")</f>
        <v>นาง</v>
      </c>
      <c r="J96" s="1" t="str">
        <f>IFERROR(__xludf.DUMMYFUNCTION("""COMPUTED_VALUE"""),"ธิติมา")</f>
        <v>ธิติมา</v>
      </c>
      <c r="K96" s="1" t="str">
        <f>IFERROR(__xludf.DUMMYFUNCTION("""COMPUTED_VALUE"""),"ชัยชนะคะสุดใจ")</f>
        <v>ชัยชนะคะสุดใจ</v>
      </c>
      <c r="L96" s="1" t="str">
        <f>IFERROR(__xludf.DUMMYFUNCTION("""COMPUTED_VALUE"""),"ม.4")</f>
        <v>ม.4</v>
      </c>
      <c r="M96" s="1" t="str">
        <f>IFERROR(__xludf.DUMMYFUNCTION("""COMPUTED_VALUE"""),"คณิตศาสตร์")</f>
        <v>คณิตศาสตร์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>
        <f>IFERROR(__xludf.DUMMYFUNCTION("""COMPUTED_VALUE"""),4.0)</f>
        <v>4</v>
      </c>
      <c r="B97" s="1">
        <f>IFERROR(__xludf.DUMMYFUNCTION("""COMPUTED_VALUE"""),1.0)</f>
        <v>1</v>
      </c>
      <c r="C97" s="1" t="str">
        <f>IFERROR(__xludf.DUMMYFUNCTION("""COMPUTED_VALUE"""),"ค31101")</f>
        <v>ค31101</v>
      </c>
      <c r="D97" s="1" t="str">
        <f>IFERROR(__xludf.DUMMYFUNCTION("""COMPUTED_VALUE"""),"คณิตศาสตร์ 1")</f>
        <v>คณิตศาสตร์ 1</v>
      </c>
      <c r="E97" s="1">
        <f>IFERROR(__xludf.DUMMYFUNCTION("""COMPUTED_VALUE"""),1.0)</f>
        <v>1</v>
      </c>
      <c r="F97" s="1">
        <f>IFERROR(__xludf.DUMMYFUNCTION("""COMPUTED_VALUE"""),2569.0)</f>
        <v>2569</v>
      </c>
      <c r="G97" s="1">
        <f>IFERROR(__xludf.DUMMYFUNCTION("""COMPUTED_VALUE"""),1.0)</f>
        <v>1</v>
      </c>
      <c r="H97" s="1">
        <f>IFERROR(__xludf.DUMMYFUNCTION("""COMPUTED_VALUE"""),216.0)</f>
        <v>216</v>
      </c>
      <c r="I97" s="1" t="str">
        <f>IFERROR(__xludf.DUMMYFUNCTION("""COMPUTED_VALUE"""),"นาง")</f>
        <v>นาง</v>
      </c>
      <c r="J97" s="1" t="str">
        <f>IFERROR(__xludf.DUMMYFUNCTION("""COMPUTED_VALUE"""),"ธิติมา")</f>
        <v>ธิติมา</v>
      </c>
      <c r="K97" s="1" t="str">
        <f>IFERROR(__xludf.DUMMYFUNCTION("""COMPUTED_VALUE"""),"ชัยชนะคะสุดใจ")</f>
        <v>ชัยชนะคะสุดใจ</v>
      </c>
      <c r="L97" s="1" t="str">
        <f>IFERROR(__xludf.DUMMYFUNCTION("""COMPUTED_VALUE"""),"ม.4")</f>
        <v>ม.4</v>
      </c>
      <c r="M97" s="1" t="str">
        <f>IFERROR(__xludf.DUMMYFUNCTION("""COMPUTED_VALUE"""),"คณิตศาสตร์")</f>
        <v>คณิตศาสตร์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>
        <f>IFERROR(__xludf.DUMMYFUNCTION("""COMPUTED_VALUE"""),5.0)</f>
        <v>5</v>
      </c>
      <c r="B98" s="1">
        <f>IFERROR(__xludf.DUMMYFUNCTION("""COMPUTED_VALUE"""),1.0)</f>
        <v>1</v>
      </c>
      <c r="C98" s="1" t="str">
        <f>IFERROR(__xludf.DUMMYFUNCTION("""COMPUTED_VALUE"""),"ค31101")</f>
        <v>ค31101</v>
      </c>
      <c r="D98" s="1" t="str">
        <f>IFERROR(__xludf.DUMMYFUNCTION("""COMPUTED_VALUE"""),"คณิตศาสตร์ 1")</f>
        <v>คณิตศาสตร์ 1</v>
      </c>
      <c r="E98" s="1">
        <f>IFERROR(__xludf.DUMMYFUNCTION("""COMPUTED_VALUE"""),1.0)</f>
        <v>1</v>
      </c>
      <c r="F98" s="1">
        <f>IFERROR(__xludf.DUMMYFUNCTION("""COMPUTED_VALUE"""),2569.0)</f>
        <v>2569</v>
      </c>
      <c r="G98" s="1">
        <f>IFERROR(__xludf.DUMMYFUNCTION("""COMPUTED_VALUE"""),1.0)</f>
        <v>1</v>
      </c>
      <c r="H98" s="1">
        <f>IFERROR(__xludf.DUMMYFUNCTION("""COMPUTED_VALUE"""),216.0)</f>
        <v>216</v>
      </c>
      <c r="I98" s="1" t="str">
        <f>IFERROR(__xludf.DUMMYFUNCTION("""COMPUTED_VALUE"""),"นาง")</f>
        <v>นาง</v>
      </c>
      <c r="J98" s="1" t="str">
        <f>IFERROR(__xludf.DUMMYFUNCTION("""COMPUTED_VALUE"""),"ธิติมา")</f>
        <v>ธิติมา</v>
      </c>
      <c r="K98" s="1" t="str">
        <f>IFERROR(__xludf.DUMMYFUNCTION("""COMPUTED_VALUE"""),"ชัยชนะคะสุดใจ")</f>
        <v>ชัยชนะคะสุดใจ</v>
      </c>
      <c r="L98" s="1" t="str">
        <f>IFERROR(__xludf.DUMMYFUNCTION("""COMPUTED_VALUE"""),"ม.4")</f>
        <v>ม.4</v>
      </c>
      <c r="M98" s="1" t="str">
        <f>IFERROR(__xludf.DUMMYFUNCTION("""COMPUTED_VALUE"""),"คณิตศาสตร์")</f>
        <v>คณิตศาสตร์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>
        <f>IFERROR(__xludf.DUMMYFUNCTION("""COMPUTED_VALUE"""),1.0)</f>
        <v>1</v>
      </c>
      <c r="B99" s="1">
        <f>IFERROR(__xludf.DUMMYFUNCTION("""COMPUTED_VALUE"""),1.0)</f>
        <v>1</v>
      </c>
      <c r="C99" s="1" t="str">
        <f>IFERROR(__xludf.DUMMYFUNCTION("""COMPUTED_VALUE"""),"ค31201")</f>
        <v>ค31201</v>
      </c>
      <c r="D99" s="1" t="str">
        <f>IFERROR(__xludf.DUMMYFUNCTION("""COMPUTED_VALUE"""),"คณิตศาสตร์เพิ่มเติม 1")</f>
        <v>คณิตศาสตร์เพิ่มเติม 1</v>
      </c>
      <c r="E99" s="1">
        <f>IFERROR(__xludf.DUMMYFUNCTION("""COMPUTED_VALUE"""),2.0)</f>
        <v>2</v>
      </c>
      <c r="F99" s="1">
        <f>IFERROR(__xludf.DUMMYFUNCTION("""COMPUTED_VALUE"""),2569.0)</f>
        <v>2569</v>
      </c>
      <c r="G99" s="1">
        <f>IFERROR(__xludf.DUMMYFUNCTION("""COMPUTED_VALUE"""),1.0)</f>
        <v>1</v>
      </c>
      <c r="H99" s="1">
        <f>IFERROR(__xludf.DUMMYFUNCTION("""COMPUTED_VALUE"""),216.0)</f>
        <v>216</v>
      </c>
      <c r="I99" s="1" t="str">
        <f>IFERROR(__xludf.DUMMYFUNCTION("""COMPUTED_VALUE"""),"นาง")</f>
        <v>นาง</v>
      </c>
      <c r="J99" s="1" t="str">
        <f>IFERROR(__xludf.DUMMYFUNCTION("""COMPUTED_VALUE"""),"ธิติมา")</f>
        <v>ธิติมา</v>
      </c>
      <c r="K99" s="1" t="str">
        <f>IFERROR(__xludf.DUMMYFUNCTION("""COMPUTED_VALUE"""),"ชัยชนะคะสุดใจ")</f>
        <v>ชัยชนะคะสุดใจ</v>
      </c>
      <c r="L99" s="1" t="str">
        <f>IFERROR(__xludf.DUMMYFUNCTION("""COMPUTED_VALUE"""),"ม.4")</f>
        <v>ม.4</v>
      </c>
      <c r="M99" s="1" t="str">
        <f>IFERROR(__xludf.DUMMYFUNCTION("""COMPUTED_VALUE"""),"คณิตศาสตร์")</f>
        <v>คณิตศาสตร์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>
        <f>IFERROR(__xludf.DUMMYFUNCTION("""COMPUTED_VALUE"""),4.0)</f>
        <v>4</v>
      </c>
      <c r="B100" s="1">
        <f>IFERROR(__xludf.DUMMYFUNCTION("""COMPUTED_VALUE"""),1.0)</f>
        <v>1</v>
      </c>
      <c r="C100" s="1" t="str">
        <f>IFERROR(__xludf.DUMMYFUNCTION("""COMPUTED_VALUE"""),"ค31201")</f>
        <v>ค31201</v>
      </c>
      <c r="D100" s="1" t="str">
        <f>IFERROR(__xludf.DUMMYFUNCTION("""COMPUTED_VALUE"""),"คณิตศาสตร์เพิ่มเติม 1")</f>
        <v>คณิตศาสตร์เพิ่มเติม 1</v>
      </c>
      <c r="E100" s="1">
        <f>IFERROR(__xludf.DUMMYFUNCTION("""COMPUTED_VALUE"""),2.0)</f>
        <v>2</v>
      </c>
      <c r="F100" s="1">
        <f>IFERROR(__xludf.DUMMYFUNCTION("""COMPUTED_VALUE"""),2569.0)</f>
        <v>2569</v>
      </c>
      <c r="G100" s="1">
        <f>IFERROR(__xludf.DUMMYFUNCTION("""COMPUTED_VALUE"""),1.0)</f>
        <v>1</v>
      </c>
      <c r="H100" s="1">
        <f>IFERROR(__xludf.DUMMYFUNCTION("""COMPUTED_VALUE"""),216.0)</f>
        <v>216</v>
      </c>
      <c r="I100" s="1" t="str">
        <f>IFERROR(__xludf.DUMMYFUNCTION("""COMPUTED_VALUE"""),"นาง")</f>
        <v>นาง</v>
      </c>
      <c r="J100" s="1" t="str">
        <f>IFERROR(__xludf.DUMMYFUNCTION("""COMPUTED_VALUE"""),"ธิติมา")</f>
        <v>ธิติมา</v>
      </c>
      <c r="K100" s="1" t="str">
        <f>IFERROR(__xludf.DUMMYFUNCTION("""COMPUTED_VALUE"""),"ชัยชนะคะสุดใจ")</f>
        <v>ชัยชนะคะสุดใจ</v>
      </c>
      <c r="L100" s="1" t="str">
        <f>IFERROR(__xludf.DUMMYFUNCTION("""COMPUTED_VALUE"""),"ม.4")</f>
        <v>ม.4</v>
      </c>
      <c r="M100" s="1" t="str">
        <f>IFERROR(__xludf.DUMMYFUNCTION("""COMPUTED_VALUE"""),"คณิตศาสตร์")</f>
        <v>คณิตศาสตร์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>
        <f>IFERROR(__xludf.DUMMYFUNCTION("""COMPUTED_VALUE"""),5.0)</f>
        <v>5</v>
      </c>
      <c r="B101" s="1">
        <f>IFERROR(__xludf.DUMMYFUNCTION("""COMPUTED_VALUE"""),1.0)</f>
        <v>1</v>
      </c>
      <c r="C101" s="1" t="str">
        <f>IFERROR(__xludf.DUMMYFUNCTION("""COMPUTED_VALUE"""),"ค31201")</f>
        <v>ค31201</v>
      </c>
      <c r="D101" s="1" t="str">
        <f>IFERROR(__xludf.DUMMYFUNCTION("""COMPUTED_VALUE"""),"คณิตศาสตร์เพิ่มเติม 1")</f>
        <v>คณิตศาสตร์เพิ่มเติม 1</v>
      </c>
      <c r="E101" s="1">
        <f>IFERROR(__xludf.DUMMYFUNCTION("""COMPUTED_VALUE"""),2.0)</f>
        <v>2</v>
      </c>
      <c r="F101" s="1">
        <f>IFERROR(__xludf.DUMMYFUNCTION("""COMPUTED_VALUE"""),2569.0)</f>
        <v>2569</v>
      </c>
      <c r="G101" s="1">
        <f>IFERROR(__xludf.DUMMYFUNCTION("""COMPUTED_VALUE"""),1.0)</f>
        <v>1</v>
      </c>
      <c r="H101" s="1">
        <f>IFERROR(__xludf.DUMMYFUNCTION("""COMPUTED_VALUE"""),216.0)</f>
        <v>216</v>
      </c>
      <c r="I101" s="1" t="str">
        <f>IFERROR(__xludf.DUMMYFUNCTION("""COMPUTED_VALUE"""),"นาง")</f>
        <v>นาง</v>
      </c>
      <c r="J101" s="1" t="str">
        <f>IFERROR(__xludf.DUMMYFUNCTION("""COMPUTED_VALUE"""),"ธิติมา")</f>
        <v>ธิติมา</v>
      </c>
      <c r="K101" s="1" t="str">
        <f>IFERROR(__xludf.DUMMYFUNCTION("""COMPUTED_VALUE"""),"ชัยชนะคะสุดใจ")</f>
        <v>ชัยชนะคะสุดใจ</v>
      </c>
      <c r="L101" s="1" t="str">
        <f>IFERROR(__xludf.DUMMYFUNCTION("""COMPUTED_VALUE"""),"ม.4")</f>
        <v>ม.4</v>
      </c>
      <c r="M101" s="1" t="str">
        <f>IFERROR(__xludf.DUMMYFUNCTION("""COMPUTED_VALUE"""),"คณิตศาสตร์")</f>
        <v>คณิตศาสตร์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>
        <f>IFERROR(__xludf.DUMMYFUNCTION("""COMPUTED_VALUE"""),4.0)</f>
        <v>4</v>
      </c>
      <c r="B102" s="1">
        <f>IFERROR(__xludf.DUMMYFUNCTION("""COMPUTED_VALUE"""),1.0)</f>
        <v>1</v>
      </c>
      <c r="C102" s="1" t="str">
        <f>IFERROR(__xludf.DUMMYFUNCTION("""COMPUTED_VALUE"""),"ส30251")</f>
        <v>ส30251</v>
      </c>
      <c r="D102" s="1" t="str">
        <f>IFERROR(__xludf.DUMMYFUNCTION("""COMPUTED_VALUE"""),"การป้องกันการทุจริต 5")</f>
        <v>การป้องกันการทุจริต 5</v>
      </c>
      <c r="E102" s="1">
        <f>IFERROR(__xludf.DUMMYFUNCTION("""COMPUTED_VALUE"""),0.5)</f>
        <v>0.5</v>
      </c>
      <c r="F102" s="1">
        <f>IFERROR(__xludf.DUMMYFUNCTION("""COMPUTED_VALUE"""),2569.0)</f>
        <v>2569</v>
      </c>
      <c r="G102" s="1">
        <f>IFERROR(__xludf.DUMMYFUNCTION("""COMPUTED_VALUE"""),1.0)</f>
        <v>1</v>
      </c>
      <c r="H102" s="1">
        <f>IFERROR(__xludf.DUMMYFUNCTION("""COMPUTED_VALUE"""),216.0)</f>
        <v>216</v>
      </c>
      <c r="I102" s="1" t="str">
        <f>IFERROR(__xludf.DUMMYFUNCTION("""COMPUTED_VALUE"""),"นาง")</f>
        <v>นาง</v>
      </c>
      <c r="J102" s="1" t="str">
        <f>IFERROR(__xludf.DUMMYFUNCTION("""COMPUTED_VALUE"""),"ธิติมา")</f>
        <v>ธิติมา</v>
      </c>
      <c r="K102" s="1" t="str">
        <f>IFERROR(__xludf.DUMMYFUNCTION("""COMPUTED_VALUE"""),"ชัยชนะคะสุดใจ")</f>
        <v>ชัยชนะคะสุดใจ</v>
      </c>
      <c r="L102" s="1" t="str">
        <f>IFERROR(__xludf.DUMMYFUNCTION("""COMPUTED_VALUE"""),"ม.6")</f>
        <v>ม.6</v>
      </c>
      <c r="M102" s="1" t="str">
        <f>IFERROR(__xludf.DUMMYFUNCTION("""COMPUTED_VALUE"""),"คณิตศาสตร์")</f>
        <v>คณิตศาสตร์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>
        <f>IFERROR(__xludf.DUMMYFUNCTION("""COMPUTED_VALUE"""),2.0)</f>
        <v>2</v>
      </c>
      <c r="B103" s="1">
        <f>IFERROR(__xludf.DUMMYFUNCTION("""COMPUTED_VALUE"""),1.0)</f>
        <v>1</v>
      </c>
      <c r="C103" s="1" t="str">
        <f>IFERROR(__xludf.DUMMYFUNCTION("""COMPUTED_VALUE"""),"ค32101")</f>
        <v>ค32101</v>
      </c>
      <c r="D103" s="1" t="str">
        <f>IFERROR(__xludf.DUMMYFUNCTION("""COMPUTED_VALUE"""),"คณิตศาสตร์ 3")</f>
        <v>คณิตศาสตร์ 3</v>
      </c>
      <c r="E103" s="1">
        <f>IFERROR(__xludf.DUMMYFUNCTION("""COMPUTED_VALUE"""),1.0)</f>
        <v>1</v>
      </c>
      <c r="F103" s="1">
        <f>IFERROR(__xludf.DUMMYFUNCTION("""COMPUTED_VALUE"""),2569.0)</f>
        <v>2569</v>
      </c>
      <c r="G103" s="1">
        <f>IFERROR(__xludf.DUMMYFUNCTION("""COMPUTED_VALUE"""),1.0)</f>
        <v>1</v>
      </c>
      <c r="H103" s="1">
        <f>IFERROR(__xludf.DUMMYFUNCTION("""COMPUTED_VALUE"""),222.0)</f>
        <v>222</v>
      </c>
      <c r="I103" s="1" t="str">
        <f>IFERROR(__xludf.DUMMYFUNCTION("""COMPUTED_VALUE"""),"นางสาว")</f>
        <v>นางสาว</v>
      </c>
      <c r="J103" s="1" t="str">
        <f>IFERROR(__xludf.DUMMYFUNCTION("""COMPUTED_VALUE"""),"ปัทมา")</f>
        <v>ปัทมา</v>
      </c>
      <c r="K103" s="1" t="str">
        <f>IFERROR(__xludf.DUMMYFUNCTION("""COMPUTED_VALUE"""),"เหรียญทอง")</f>
        <v>เหรียญทอง</v>
      </c>
      <c r="L103" s="1" t="str">
        <f>IFERROR(__xludf.DUMMYFUNCTION("""COMPUTED_VALUE"""),"ม.5")</f>
        <v>ม.5</v>
      </c>
      <c r="M103" s="1" t="str">
        <f>IFERROR(__xludf.DUMMYFUNCTION("""COMPUTED_VALUE"""),"คณิตศาสตร์")</f>
        <v>คณิตศาสตร์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>
        <f>IFERROR(__xludf.DUMMYFUNCTION("""COMPUTED_VALUE"""),5.0)</f>
        <v>5</v>
      </c>
      <c r="B104" s="1">
        <f>IFERROR(__xludf.DUMMYFUNCTION("""COMPUTED_VALUE"""),1.0)</f>
        <v>1</v>
      </c>
      <c r="C104" s="1" t="str">
        <f>IFERROR(__xludf.DUMMYFUNCTION("""COMPUTED_VALUE"""),"ค32101")</f>
        <v>ค32101</v>
      </c>
      <c r="D104" s="1" t="str">
        <f>IFERROR(__xludf.DUMMYFUNCTION("""COMPUTED_VALUE"""),"คณิตศาสตร์ 3")</f>
        <v>คณิตศาสตร์ 3</v>
      </c>
      <c r="E104" s="1">
        <f>IFERROR(__xludf.DUMMYFUNCTION("""COMPUTED_VALUE"""),1.0)</f>
        <v>1</v>
      </c>
      <c r="F104" s="1">
        <f>IFERROR(__xludf.DUMMYFUNCTION("""COMPUTED_VALUE"""),2569.0)</f>
        <v>2569</v>
      </c>
      <c r="G104" s="1">
        <f>IFERROR(__xludf.DUMMYFUNCTION("""COMPUTED_VALUE"""),1.0)</f>
        <v>1</v>
      </c>
      <c r="H104" s="1">
        <f>IFERROR(__xludf.DUMMYFUNCTION("""COMPUTED_VALUE"""),222.0)</f>
        <v>222</v>
      </c>
      <c r="I104" s="1" t="str">
        <f>IFERROR(__xludf.DUMMYFUNCTION("""COMPUTED_VALUE"""),"นางสาว")</f>
        <v>นางสาว</v>
      </c>
      <c r="J104" s="1" t="str">
        <f>IFERROR(__xludf.DUMMYFUNCTION("""COMPUTED_VALUE"""),"ปัทมา")</f>
        <v>ปัทมา</v>
      </c>
      <c r="K104" s="1" t="str">
        <f>IFERROR(__xludf.DUMMYFUNCTION("""COMPUTED_VALUE"""),"เหรียญทอง")</f>
        <v>เหรียญทอง</v>
      </c>
      <c r="L104" s="1" t="str">
        <f>IFERROR(__xludf.DUMMYFUNCTION("""COMPUTED_VALUE"""),"ม.5")</f>
        <v>ม.5</v>
      </c>
      <c r="M104" s="1" t="str">
        <f>IFERROR(__xludf.DUMMYFUNCTION("""COMPUTED_VALUE"""),"คณิตศาสตร์")</f>
        <v>คณิตศาสตร์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>
        <f>IFERROR(__xludf.DUMMYFUNCTION("""COMPUTED_VALUE"""),8.0)</f>
        <v>8</v>
      </c>
      <c r="B105" s="1">
        <f>IFERROR(__xludf.DUMMYFUNCTION("""COMPUTED_VALUE"""),1.0)</f>
        <v>1</v>
      </c>
      <c r="C105" s="1" t="str">
        <f>IFERROR(__xludf.DUMMYFUNCTION("""COMPUTED_VALUE"""),"ค32101")</f>
        <v>ค32101</v>
      </c>
      <c r="D105" s="1" t="str">
        <f>IFERROR(__xludf.DUMMYFUNCTION("""COMPUTED_VALUE"""),"คณิตศาสตร์ 3")</f>
        <v>คณิตศาสตร์ 3</v>
      </c>
      <c r="E105" s="1">
        <f>IFERROR(__xludf.DUMMYFUNCTION("""COMPUTED_VALUE"""),1.0)</f>
        <v>1</v>
      </c>
      <c r="F105" s="1">
        <f>IFERROR(__xludf.DUMMYFUNCTION("""COMPUTED_VALUE"""),2569.0)</f>
        <v>2569</v>
      </c>
      <c r="G105" s="1">
        <f>IFERROR(__xludf.DUMMYFUNCTION("""COMPUTED_VALUE"""),1.0)</f>
        <v>1</v>
      </c>
      <c r="H105" s="1">
        <f>IFERROR(__xludf.DUMMYFUNCTION("""COMPUTED_VALUE"""),222.0)</f>
        <v>222</v>
      </c>
      <c r="I105" s="1" t="str">
        <f>IFERROR(__xludf.DUMMYFUNCTION("""COMPUTED_VALUE"""),"นางสาว")</f>
        <v>นางสาว</v>
      </c>
      <c r="J105" s="1" t="str">
        <f>IFERROR(__xludf.DUMMYFUNCTION("""COMPUTED_VALUE"""),"ปัทมา")</f>
        <v>ปัทมา</v>
      </c>
      <c r="K105" s="1" t="str">
        <f>IFERROR(__xludf.DUMMYFUNCTION("""COMPUTED_VALUE"""),"เหรียญทอง")</f>
        <v>เหรียญทอง</v>
      </c>
      <c r="L105" s="1" t="str">
        <f>IFERROR(__xludf.DUMMYFUNCTION("""COMPUTED_VALUE"""),"ม.5")</f>
        <v>ม.5</v>
      </c>
      <c r="M105" s="1" t="str">
        <f>IFERROR(__xludf.DUMMYFUNCTION("""COMPUTED_VALUE"""),"คณิตศาสตร์")</f>
        <v>คณิตศาสตร์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>
        <f>IFERROR(__xludf.DUMMYFUNCTION("""COMPUTED_VALUE"""),11.0)</f>
        <v>11</v>
      </c>
      <c r="B106" s="1">
        <f>IFERROR(__xludf.DUMMYFUNCTION("""COMPUTED_VALUE"""),1.0)</f>
        <v>1</v>
      </c>
      <c r="C106" s="1" t="str">
        <f>IFERROR(__xludf.DUMMYFUNCTION("""COMPUTED_VALUE"""),"ค32101")</f>
        <v>ค32101</v>
      </c>
      <c r="D106" s="1" t="str">
        <f>IFERROR(__xludf.DUMMYFUNCTION("""COMPUTED_VALUE"""),"คณิตศาสตร์ 3")</f>
        <v>คณิตศาสตร์ 3</v>
      </c>
      <c r="E106" s="1">
        <f>IFERROR(__xludf.DUMMYFUNCTION("""COMPUTED_VALUE"""),1.0)</f>
        <v>1</v>
      </c>
      <c r="F106" s="1">
        <f>IFERROR(__xludf.DUMMYFUNCTION("""COMPUTED_VALUE"""),2569.0)</f>
        <v>2569</v>
      </c>
      <c r="G106" s="1">
        <f>IFERROR(__xludf.DUMMYFUNCTION("""COMPUTED_VALUE"""),1.0)</f>
        <v>1</v>
      </c>
      <c r="H106" s="1">
        <f>IFERROR(__xludf.DUMMYFUNCTION("""COMPUTED_VALUE"""),222.0)</f>
        <v>222</v>
      </c>
      <c r="I106" s="1" t="str">
        <f>IFERROR(__xludf.DUMMYFUNCTION("""COMPUTED_VALUE"""),"นางสาว")</f>
        <v>นางสาว</v>
      </c>
      <c r="J106" s="1" t="str">
        <f>IFERROR(__xludf.DUMMYFUNCTION("""COMPUTED_VALUE"""),"ปัทมา")</f>
        <v>ปัทมา</v>
      </c>
      <c r="K106" s="1" t="str">
        <f>IFERROR(__xludf.DUMMYFUNCTION("""COMPUTED_VALUE"""),"เหรียญทอง")</f>
        <v>เหรียญทอง</v>
      </c>
      <c r="L106" s="1" t="str">
        <f>IFERROR(__xludf.DUMMYFUNCTION("""COMPUTED_VALUE"""),"ม.5")</f>
        <v>ม.5</v>
      </c>
      <c r="M106" s="1" t="str">
        <f>IFERROR(__xludf.DUMMYFUNCTION("""COMPUTED_VALUE"""),"คณิตศาสตร์")</f>
        <v>คณิตศาสตร์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>
        <f>IFERROR(__xludf.DUMMYFUNCTION("""COMPUTED_VALUE"""),2.0)</f>
        <v>2</v>
      </c>
      <c r="B107" s="1">
        <f>IFERROR(__xludf.DUMMYFUNCTION("""COMPUTED_VALUE"""),1.0)</f>
        <v>1</v>
      </c>
      <c r="C107" s="1" t="str">
        <f>IFERROR(__xludf.DUMMYFUNCTION("""COMPUTED_VALUE"""),"ค32201")</f>
        <v>ค32201</v>
      </c>
      <c r="D107" s="1" t="str">
        <f>IFERROR(__xludf.DUMMYFUNCTION("""COMPUTED_VALUE"""),"คณิตศาสตร์เพิ่มเติม 3")</f>
        <v>คณิตศาสตร์เพิ่มเติม 3</v>
      </c>
      <c r="E107" s="1">
        <f>IFERROR(__xludf.DUMMYFUNCTION("""COMPUTED_VALUE"""),2.0)</f>
        <v>2</v>
      </c>
      <c r="F107" s="1">
        <f>IFERROR(__xludf.DUMMYFUNCTION("""COMPUTED_VALUE"""),2569.0)</f>
        <v>2569</v>
      </c>
      <c r="G107" s="1">
        <f>IFERROR(__xludf.DUMMYFUNCTION("""COMPUTED_VALUE"""),1.0)</f>
        <v>1</v>
      </c>
      <c r="H107" s="1">
        <f>IFERROR(__xludf.DUMMYFUNCTION("""COMPUTED_VALUE"""),222.0)</f>
        <v>222</v>
      </c>
      <c r="I107" s="1" t="str">
        <f>IFERROR(__xludf.DUMMYFUNCTION("""COMPUTED_VALUE"""),"นางสาว")</f>
        <v>นางสาว</v>
      </c>
      <c r="J107" s="1" t="str">
        <f>IFERROR(__xludf.DUMMYFUNCTION("""COMPUTED_VALUE"""),"ปัทมา")</f>
        <v>ปัทมา</v>
      </c>
      <c r="K107" s="1" t="str">
        <f>IFERROR(__xludf.DUMMYFUNCTION("""COMPUTED_VALUE"""),"เหรียญทอง")</f>
        <v>เหรียญทอง</v>
      </c>
      <c r="L107" s="1" t="str">
        <f>IFERROR(__xludf.DUMMYFUNCTION("""COMPUTED_VALUE"""),"ม.5")</f>
        <v>ม.5</v>
      </c>
      <c r="M107" s="1" t="str">
        <f>IFERROR(__xludf.DUMMYFUNCTION("""COMPUTED_VALUE"""),"คณิตศาสตร์")</f>
        <v>คณิตศาสตร์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>
        <f>IFERROR(__xludf.DUMMYFUNCTION("""COMPUTED_VALUE"""),5.0)</f>
        <v>5</v>
      </c>
      <c r="B108" s="1">
        <f>IFERROR(__xludf.DUMMYFUNCTION("""COMPUTED_VALUE"""),1.0)</f>
        <v>1</v>
      </c>
      <c r="C108" s="1" t="str">
        <f>IFERROR(__xludf.DUMMYFUNCTION("""COMPUTED_VALUE"""),"ค32201")</f>
        <v>ค32201</v>
      </c>
      <c r="D108" s="1" t="str">
        <f>IFERROR(__xludf.DUMMYFUNCTION("""COMPUTED_VALUE"""),"คณิตศาสตร์เพิ่มเติม 3")</f>
        <v>คณิตศาสตร์เพิ่มเติม 3</v>
      </c>
      <c r="E108" s="1">
        <f>IFERROR(__xludf.DUMMYFUNCTION("""COMPUTED_VALUE"""),2.0)</f>
        <v>2</v>
      </c>
      <c r="F108" s="1">
        <f>IFERROR(__xludf.DUMMYFUNCTION("""COMPUTED_VALUE"""),2569.0)</f>
        <v>2569</v>
      </c>
      <c r="G108" s="1">
        <f>IFERROR(__xludf.DUMMYFUNCTION("""COMPUTED_VALUE"""),1.0)</f>
        <v>1</v>
      </c>
      <c r="H108" s="1">
        <f>IFERROR(__xludf.DUMMYFUNCTION("""COMPUTED_VALUE"""),222.0)</f>
        <v>222</v>
      </c>
      <c r="I108" s="1" t="str">
        <f>IFERROR(__xludf.DUMMYFUNCTION("""COMPUTED_VALUE"""),"นางสาว")</f>
        <v>นางสาว</v>
      </c>
      <c r="J108" s="1" t="str">
        <f>IFERROR(__xludf.DUMMYFUNCTION("""COMPUTED_VALUE"""),"ปัทมา")</f>
        <v>ปัทมา</v>
      </c>
      <c r="K108" s="1" t="str">
        <f>IFERROR(__xludf.DUMMYFUNCTION("""COMPUTED_VALUE"""),"เหรียญทอง")</f>
        <v>เหรียญทอง</v>
      </c>
      <c r="L108" s="1" t="str">
        <f>IFERROR(__xludf.DUMMYFUNCTION("""COMPUTED_VALUE"""),"ม.5")</f>
        <v>ม.5</v>
      </c>
      <c r="M108" s="1" t="str">
        <f>IFERROR(__xludf.DUMMYFUNCTION("""COMPUTED_VALUE"""),"คณิตศาสตร์")</f>
        <v>คณิตศาสตร์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>
        <f>IFERROR(__xludf.DUMMYFUNCTION("""COMPUTED_VALUE"""),11.0)</f>
        <v>11</v>
      </c>
      <c r="B109" s="1">
        <f>IFERROR(__xludf.DUMMYFUNCTION("""COMPUTED_VALUE"""),1.0)</f>
        <v>1</v>
      </c>
      <c r="C109" s="1" t="str">
        <f>IFERROR(__xludf.DUMMYFUNCTION("""COMPUTED_VALUE"""),"ค32203")</f>
        <v>ค32203</v>
      </c>
      <c r="D109" s="1" t="str">
        <f>IFERROR(__xludf.DUMMYFUNCTION("""COMPUTED_VALUE"""),"คณิตศาสตร์อุตสาหกรรม3")</f>
        <v>คณิตศาสตร์อุตสาหกรรม3</v>
      </c>
      <c r="E109" s="1">
        <f>IFERROR(__xludf.DUMMYFUNCTION("""COMPUTED_VALUE"""),1.0)</f>
        <v>1</v>
      </c>
      <c r="F109" s="1">
        <f>IFERROR(__xludf.DUMMYFUNCTION("""COMPUTED_VALUE"""),2569.0)</f>
        <v>2569</v>
      </c>
      <c r="G109" s="1">
        <f>IFERROR(__xludf.DUMMYFUNCTION("""COMPUTED_VALUE"""),1.0)</f>
        <v>1</v>
      </c>
      <c r="H109" s="1">
        <f>IFERROR(__xludf.DUMMYFUNCTION("""COMPUTED_VALUE"""),222.0)</f>
        <v>222</v>
      </c>
      <c r="I109" s="1" t="str">
        <f>IFERROR(__xludf.DUMMYFUNCTION("""COMPUTED_VALUE"""),"นางสาว")</f>
        <v>นางสาว</v>
      </c>
      <c r="J109" s="1" t="str">
        <f>IFERROR(__xludf.DUMMYFUNCTION("""COMPUTED_VALUE"""),"ปัทมา")</f>
        <v>ปัทมา</v>
      </c>
      <c r="K109" s="1" t="str">
        <f>IFERROR(__xludf.DUMMYFUNCTION("""COMPUTED_VALUE"""),"เหรียญทอง")</f>
        <v>เหรียญทอง</v>
      </c>
      <c r="L109" s="1" t="str">
        <f>IFERROR(__xludf.DUMMYFUNCTION("""COMPUTED_VALUE"""),"ม.5")</f>
        <v>ม.5</v>
      </c>
      <c r="M109" s="1" t="str">
        <f>IFERROR(__xludf.DUMMYFUNCTION("""COMPUTED_VALUE"""),"คณิตศาสตร์")</f>
        <v>คณิตศาสตร์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>
        <f>IFERROR(__xludf.DUMMYFUNCTION("""COMPUTED_VALUE"""),2.0)</f>
        <v>2</v>
      </c>
      <c r="B110" s="1">
        <f>IFERROR(__xludf.DUMMYFUNCTION("""COMPUTED_VALUE"""),1.0)</f>
        <v>1</v>
      </c>
      <c r="C110" s="1" t="str">
        <f>IFERROR(__xludf.DUMMYFUNCTION("""COMPUTED_VALUE"""),"ส30251")</f>
        <v>ส30251</v>
      </c>
      <c r="D110" s="1" t="str">
        <f>IFERROR(__xludf.DUMMYFUNCTION("""COMPUTED_VALUE"""),"การป้องกันการทุจริต 5")</f>
        <v>การป้องกันการทุจริต 5</v>
      </c>
      <c r="E110" s="1">
        <f>IFERROR(__xludf.DUMMYFUNCTION("""COMPUTED_VALUE"""),0.5)</f>
        <v>0.5</v>
      </c>
      <c r="F110" s="1">
        <f>IFERROR(__xludf.DUMMYFUNCTION("""COMPUTED_VALUE"""),2569.0)</f>
        <v>2569</v>
      </c>
      <c r="G110" s="1">
        <f>IFERROR(__xludf.DUMMYFUNCTION("""COMPUTED_VALUE"""),1.0)</f>
        <v>1</v>
      </c>
      <c r="H110" s="1">
        <f>IFERROR(__xludf.DUMMYFUNCTION("""COMPUTED_VALUE"""),222.0)</f>
        <v>222</v>
      </c>
      <c r="I110" s="1" t="str">
        <f>IFERROR(__xludf.DUMMYFUNCTION("""COMPUTED_VALUE"""),"นางสาว")</f>
        <v>นางสาว</v>
      </c>
      <c r="J110" s="1" t="str">
        <f>IFERROR(__xludf.DUMMYFUNCTION("""COMPUTED_VALUE"""),"ปัทมา")</f>
        <v>ปัทมา</v>
      </c>
      <c r="K110" s="1" t="str">
        <f>IFERROR(__xludf.DUMMYFUNCTION("""COMPUTED_VALUE"""),"เหรียญทอง")</f>
        <v>เหรียญทอง</v>
      </c>
      <c r="L110" s="1" t="str">
        <f>IFERROR(__xludf.DUMMYFUNCTION("""COMPUTED_VALUE"""),"ม.6")</f>
        <v>ม.6</v>
      </c>
      <c r="M110" s="1" t="str">
        <f>IFERROR(__xludf.DUMMYFUNCTION("""COMPUTED_VALUE"""),"คณิตศาสตร์")</f>
        <v>คณิตศาสตร์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>
        <f>IFERROR(__xludf.DUMMYFUNCTION("""COMPUTED_VALUE"""),1.0)</f>
        <v>1</v>
      </c>
      <c r="B111" s="1">
        <f>IFERROR(__xludf.DUMMYFUNCTION("""COMPUTED_VALUE"""),1.0)</f>
        <v>1</v>
      </c>
      <c r="C111" s="1" t="str">
        <f>IFERROR(__xludf.DUMMYFUNCTION("""COMPUTED_VALUE"""),"ค20213")</f>
        <v>ค20213</v>
      </c>
      <c r="D111" s="1" t="str">
        <f>IFERROR(__xludf.DUMMYFUNCTION("""COMPUTED_VALUE"""),"คณิตศาสตร์เชิงระบบแรงและกลศาสตร์")</f>
        <v>คณิตศาสตร์เชิงระบบแรงและกลศาสตร์</v>
      </c>
      <c r="E111" s="1">
        <f>IFERROR(__xludf.DUMMYFUNCTION("""COMPUTED_VALUE"""),0.5)</f>
        <v>0.5</v>
      </c>
      <c r="F111" s="1">
        <f>IFERROR(__xludf.DUMMYFUNCTION("""COMPUTED_VALUE"""),2569.0)</f>
        <v>2569</v>
      </c>
      <c r="G111" s="1">
        <f>IFERROR(__xludf.DUMMYFUNCTION("""COMPUTED_VALUE"""),1.0)</f>
        <v>1</v>
      </c>
      <c r="H111" s="1">
        <f>IFERROR(__xludf.DUMMYFUNCTION("""COMPUTED_VALUE"""),223.0)</f>
        <v>223</v>
      </c>
      <c r="I111" s="1" t="str">
        <f>IFERROR(__xludf.DUMMYFUNCTION("""COMPUTED_VALUE"""),"นาง")</f>
        <v>นาง</v>
      </c>
      <c r="J111" s="1" t="str">
        <f>IFERROR(__xludf.DUMMYFUNCTION("""COMPUTED_VALUE"""),"เพ็ญนภา")</f>
        <v>เพ็ญนภา</v>
      </c>
      <c r="K111" s="1" t="str">
        <f>IFERROR(__xludf.DUMMYFUNCTION("""COMPUTED_VALUE"""),"ดอกกุหลาบ")</f>
        <v>ดอกกุหลาบ</v>
      </c>
      <c r="L111" s="1" t="str">
        <f>IFERROR(__xludf.DUMMYFUNCTION("""COMPUTED_VALUE"""),"ม.1")</f>
        <v>ม.1</v>
      </c>
      <c r="M111" s="1" t="str">
        <f>IFERROR(__xludf.DUMMYFUNCTION("""COMPUTED_VALUE"""),"คณิตศาสตร์")</f>
        <v>คณิตศาสตร์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>
        <f>IFERROR(__xludf.DUMMYFUNCTION("""COMPUTED_VALUE"""),1.0)</f>
        <v>1</v>
      </c>
      <c r="B112" s="1">
        <f>IFERROR(__xludf.DUMMYFUNCTION("""COMPUTED_VALUE"""),1.0)</f>
        <v>1</v>
      </c>
      <c r="C112" s="1" t="str">
        <f>IFERROR(__xludf.DUMMYFUNCTION("""COMPUTED_VALUE"""),"ค23101")</f>
        <v>ค23101</v>
      </c>
      <c r="D112" s="1" t="str">
        <f>IFERROR(__xludf.DUMMYFUNCTION("""COMPUTED_VALUE"""),"คณิตศาสตร์ 5")</f>
        <v>คณิตศาสตร์ 5</v>
      </c>
      <c r="E112" s="1">
        <f>IFERROR(__xludf.DUMMYFUNCTION("""COMPUTED_VALUE"""),1.5)</f>
        <v>1.5</v>
      </c>
      <c r="F112" s="1">
        <f>IFERROR(__xludf.DUMMYFUNCTION("""COMPUTED_VALUE"""),2569.0)</f>
        <v>2569</v>
      </c>
      <c r="G112" s="1">
        <f>IFERROR(__xludf.DUMMYFUNCTION("""COMPUTED_VALUE"""),1.0)</f>
        <v>1</v>
      </c>
      <c r="H112" s="1">
        <f>IFERROR(__xludf.DUMMYFUNCTION("""COMPUTED_VALUE"""),223.0)</f>
        <v>223</v>
      </c>
      <c r="I112" s="1" t="str">
        <f>IFERROR(__xludf.DUMMYFUNCTION("""COMPUTED_VALUE"""),"นาง")</f>
        <v>นาง</v>
      </c>
      <c r="J112" s="1" t="str">
        <f>IFERROR(__xludf.DUMMYFUNCTION("""COMPUTED_VALUE"""),"เพ็ญนภา")</f>
        <v>เพ็ญนภา</v>
      </c>
      <c r="K112" s="1" t="str">
        <f>IFERROR(__xludf.DUMMYFUNCTION("""COMPUTED_VALUE"""),"ดอกกุหลาบ")</f>
        <v>ดอกกุหลาบ</v>
      </c>
      <c r="L112" s="1" t="str">
        <f>IFERROR(__xludf.DUMMYFUNCTION("""COMPUTED_VALUE"""),"ม.3")</f>
        <v>ม.3</v>
      </c>
      <c r="M112" s="1" t="str">
        <f>IFERROR(__xludf.DUMMYFUNCTION("""COMPUTED_VALUE"""),"คณิตศาสตร์")</f>
        <v>คณิตศาสตร์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>
        <f>IFERROR(__xludf.DUMMYFUNCTION("""COMPUTED_VALUE"""),2.0)</f>
        <v>2</v>
      </c>
      <c r="B113" s="1">
        <f>IFERROR(__xludf.DUMMYFUNCTION("""COMPUTED_VALUE"""),1.0)</f>
        <v>1</v>
      </c>
      <c r="C113" s="1" t="str">
        <f>IFERROR(__xludf.DUMMYFUNCTION("""COMPUTED_VALUE"""),"ค23101")</f>
        <v>ค23101</v>
      </c>
      <c r="D113" s="1" t="str">
        <f>IFERROR(__xludf.DUMMYFUNCTION("""COMPUTED_VALUE"""),"คณิตศาสตร์ 5")</f>
        <v>คณิตศาสตร์ 5</v>
      </c>
      <c r="E113" s="1">
        <f>IFERROR(__xludf.DUMMYFUNCTION("""COMPUTED_VALUE"""),1.5)</f>
        <v>1.5</v>
      </c>
      <c r="F113" s="1">
        <f>IFERROR(__xludf.DUMMYFUNCTION("""COMPUTED_VALUE"""),2569.0)</f>
        <v>2569</v>
      </c>
      <c r="G113" s="1">
        <f>IFERROR(__xludf.DUMMYFUNCTION("""COMPUTED_VALUE"""),1.0)</f>
        <v>1</v>
      </c>
      <c r="H113" s="1">
        <f>IFERROR(__xludf.DUMMYFUNCTION("""COMPUTED_VALUE"""),223.0)</f>
        <v>223</v>
      </c>
      <c r="I113" s="1" t="str">
        <f>IFERROR(__xludf.DUMMYFUNCTION("""COMPUTED_VALUE"""),"นาง")</f>
        <v>นาง</v>
      </c>
      <c r="J113" s="1" t="str">
        <f>IFERROR(__xludf.DUMMYFUNCTION("""COMPUTED_VALUE"""),"เพ็ญนภา")</f>
        <v>เพ็ญนภา</v>
      </c>
      <c r="K113" s="1" t="str">
        <f>IFERROR(__xludf.DUMMYFUNCTION("""COMPUTED_VALUE"""),"ดอกกุหลาบ")</f>
        <v>ดอกกุหลาบ</v>
      </c>
      <c r="L113" s="1" t="str">
        <f>IFERROR(__xludf.DUMMYFUNCTION("""COMPUTED_VALUE"""),"ม.3")</f>
        <v>ม.3</v>
      </c>
      <c r="M113" s="1" t="str">
        <f>IFERROR(__xludf.DUMMYFUNCTION("""COMPUTED_VALUE"""),"คณิตศาสตร์")</f>
        <v>คณิตศาสตร์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>
        <f>IFERROR(__xludf.DUMMYFUNCTION("""COMPUTED_VALUE"""),5.0)</f>
        <v>5</v>
      </c>
      <c r="B114" s="1">
        <f>IFERROR(__xludf.DUMMYFUNCTION("""COMPUTED_VALUE"""),1.0)</f>
        <v>1</v>
      </c>
      <c r="C114" s="1" t="str">
        <f>IFERROR(__xludf.DUMMYFUNCTION("""COMPUTED_VALUE"""),"ค23101")</f>
        <v>ค23101</v>
      </c>
      <c r="D114" s="1" t="str">
        <f>IFERROR(__xludf.DUMMYFUNCTION("""COMPUTED_VALUE"""),"คณิตศาสตร์ 5")</f>
        <v>คณิตศาสตร์ 5</v>
      </c>
      <c r="E114" s="1">
        <f>IFERROR(__xludf.DUMMYFUNCTION("""COMPUTED_VALUE"""),1.5)</f>
        <v>1.5</v>
      </c>
      <c r="F114" s="1">
        <f>IFERROR(__xludf.DUMMYFUNCTION("""COMPUTED_VALUE"""),2569.0)</f>
        <v>2569</v>
      </c>
      <c r="G114" s="1">
        <f>IFERROR(__xludf.DUMMYFUNCTION("""COMPUTED_VALUE"""),1.0)</f>
        <v>1</v>
      </c>
      <c r="H114" s="1">
        <f>IFERROR(__xludf.DUMMYFUNCTION("""COMPUTED_VALUE"""),223.0)</f>
        <v>223</v>
      </c>
      <c r="I114" s="1" t="str">
        <f>IFERROR(__xludf.DUMMYFUNCTION("""COMPUTED_VALUE"""),"นาง")</f>
        <v>นาง</v>
      </c>
      <c r="J114" s="1" t="str">
        <f>IFERROR(__xludf.DUMMYFUNCTION("""COMPUTED_VALUE"""),"เพ็ญนภา")</f>
        <v>เพ็ญนภา</v>
      </c>
      <c r="K114" s="1" t="str">
        <f>IFERROR(__xludf.DUMMYFUNCTION("""COMPUTED_VALUE"""),"ดอกกุหลาบ")</f>
        <v>ดอกกุหลาบ</v>
      </c>
      <c r="L114" s="1" t="str">
        <f>IFERROR(__xludf.DUMMYFUNCTION("""COMPUTED_VALUE"""),"ม.3")</f>
        <v>ม.3</v>
      </c>
      <c r="M114" s="1" t="str">
        <f>IFERROR(__xludf.DUMMYFUNCTION("""COMPUTED_VALUE"""),"คณิตศาสตร์")</f>
        <v>คณิตศาสตร์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>
        <f>IFERROR(__xludf.DUMMYFUNCTION("""COMPUTED_VALUE"""),7.0)</f>
        <v>7</v>
      </c>
      <c r="B115" s="1">
        <f>IFERROR(__xludf.DUMMYFUNCTION("""COMPUTED_VALUE"""),1.0)</f>
        <v>1</v>
      </c>
      <c r="C115" s="1" t="str">
        <f>IFERROR(__xludf.DUMMYFUNCTION("""COMPUTED_VALUE"""),"ค23101")</f>
        <v>ค23101</v>
      </c>
      <c r="D115" s="1" t="str">
        <f>IFERROR(__xludf.DUMMYFUNCTION("""COMPUTED_VALUE"""),"คณิตศาสตร์ 5")</f>
        <v>คณิตศาสตร์ 5</v>
      </c>
      <c r="E115" s="1">
        <f>IFERROR(__xludf.DUMMYFUNCTION("""COMPUTED_VALUE"""),1.5)</f>
        <v>1.5</v>
      </c>
      <c r="F115" s="1">
        <f>IFERROR(__xludf.DUMMYFUNCTION("""COMPUTED_VALUE"""),2569.0)</f>
        <v>2569</v>
      </c>
      <c r="G115" s="1">
        <f>IFERROR(__xludf.DUMMYFUNCTION("""COMPUTED_VALUE"""),1.0)</f>
        <v>1</v>
      </c>
      <c r="H115" s="1">
        <f>IFERROR(__xludf.DUMMYFUNCTION("""COMPUTED_VALUE"""),223.0)</f>
        <v>223</v>
      </c>
      <c r="I115" s="1" t="str">
        <f>IFERROR(__xludf.DUMMYFUNCTION("""COMPUTED_VALUE"""),"นาง")</f>
        <v>นาง</v>
      </c>
      <c r="J115" s="1" t="str">
        <f>IFERROR(__xludf.DUMMYFUNCTION("""COMPUTED_VALUE"""),"เพ็ญนภา")</f>
        <v>เพ็ญนภา</v>
      </c>
      <c r="K115" s="1" t="str">
        <f>IFERROR(__xludf.DUMMYFUNCTION("""COMPUTED_VALUE"""),"ดอกกุหลาบ")</f>
        <v>ดอกกุหลาบ</v>
      </c>
      <c r="L115" s="1" t="str">
        <f>IFERROR(__xludf.DUMMYFUNCTION("""COMPUTED_VALUE"""),"ม.3")</f>
        <v>ม.3</v>
      </c>
      <c r="M115" s="1" t="str">
        <f>IFERROR(__xludf.DUMMYFUNCTION("""COMPUTED_VALUE"""),"คณิตศาสตร์")</f>
        <v>คณิตศาสตร์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>
        <f>IFERROR(__xludf.DUMMYFUNCTION("""COMPUTED_VALUE"""),1.0)</f>
        <v>1</v>
      </c>
      <c r="B116" s="1">
        <f>IFERROR(__xludf.DUMMYFUNCTION("""COMPUTED_VALUE"""),1.0)</f>
        <v>1</v>
      </c>
      <c r="C116" s="1" t="str">
        <f>IFERROR(__xludf.DUMMYFUNCTION("""COMPUTED_VALUE"""),"ค23201")</f>
        <v>ค23201</v>
      </c>
      <c r="D116" s="1" t="str">
        <f>IFERROR(__xludf.DUMMYFUNCTION("""COMPUTED_VALUE"""),"คณิตศาสตร์เพิ่มเติม 5")</f>
        <v>คณิตศาสตร์เพิ่มเติม 5</v>
      </c>
      <c r="E116" s="1">
        <f>IFERROR(__xludf.DUMMYFUNCTION("""COMPUTED_VALUE"""),1.0)</f>
        <v>1</v>
      </c>
      <c r="F116" s="1">
        <f>IFERROR(__xludf.DUMMYFUNCTION("""COMPUTED_VALUE"""),2569.0)</f>
        <v>2569</v>
      </c>
      <c r="G116" s="1">
        <f>IFERROR(__xludf.DUMMYFUNCTION("""COMPUTED_VALUE"""),1.0)</f>
        <v>1</v>
      </c>
      <c r="H116" s="1">
        <f>IFERROR(__xludf.DUMMYFUNCTION("""COMPUTED_VALUE"""),223.0)</f>
        <v>223</v>
      </c>
      <c r="I116" s="1" t="str">
        <f>IFERROR(__xludf.DUMMYFUNCTION("""COMPUTED_VALUE"""),"นาง")</f>
        <v>นาง</v>
      </c>
      <c r="J116" s="1" t="str">
        <f>IFERROR(__xludf.DUMMYFUNCTION("""COMPUTED_VALUE"""),"เพ็ญนภา")</f>
        <v>เพ็ญนภา</v>
      </c>
      <c r="K116" s="1" t="str">
        <f>IFERROR(__xludf.DUMMYFUNCTION("""COMPUTED_VALUE"""),"ดอกกุหลาบ")</f>
        <v>ดอกกุหลาบ</v>
      </c>
      <c r="L116" s="1" t="str">
        <f>IFERROR(__xludf.DUMMYFUNCTION("""COMPUTED_VALUE"""),"ม.3")</f>
        <v>ม.3</v>
      </c>
      <c r="M116" s="1" t="str">
        <f>IFERROR(__xludf.DUMMYFUNCTION("""COMPUTED_VALUE"""),"คณิตศาสตร์")</f>
        <v>คณิตศาสตร์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>
        <f>IFERROR(__xludf.DUMMYFUNCTION("""COMPUTED_VALUE"""),2.0)</f>
        <v>2</v>
      </c>
      <c r="B117" s="1">
        <f>IFERROR(__xludf.DUMMYFUNCTION("""COMPUTED_VALUE"""),1.0)</f>
        <v>1</v>
      </c>
      <c r="C117" s="1" t="str">
        <f>IFERROR(__xludf.DUMMYFUNCTION("""COMPUTED_VALUE"""),"ค23201")</f>
        <v>ค23201</v>
      </c>
      <c r="D117" s="1" t="str">
        <f>IFERROR(__xludf.DUMMYFUNCTION("""COMPUTED_VALUE"""),"คณิตศาสตร์เพิ่มเติม 5")</f>
        <v>คณิตศาสตร์เพิ่มเติม 5</v>
      </c>
      <c r="E117" s="1">
        <f>IFERROR(__xludf.DUMMYFUNCTION("""COMPUTED_VALUE"""),1.0)</f>
        <v>1</v>
      </c>
      <c r="F117" s="1">
        <f>IFERROR(__xludf.DUMMYFUNCTION("""COMPUTED_VALUE"""),2569.0)</f>
        <v>2569</v>
      </c>
      <c r="G117" s="1">
        <f>IFERROR(__xludf.DUMMYFUNCTION("""COMPUTED_VALUE"""),1.0)</f>
        <v>1</v>
      </c>
      <c r="H117" s="1">
        <f>IFERROR(__xludf.DUMMYFUNCTION("""COMPUTED_VALUE"""),223.0)</f>
        <v>223</v>
      </c>
      <c r="I117" s="1" t="str">
        <f>IFERROR(__xludf.DUMMYFUNCTION("""COMPUTED_VALUE"""),"นาง")</f>
        <v>นาง</v>
      </c>
      <c r="J117" s="1" t="str">
        <f>IFERROR(__xludf.DUMMYFUNCTION("""COMPUTED_VALUE"""),"เพ็ญนภา")</f>
        <v>เพ็ญนภา</v>
      </c>
      <c r="K117" s="1" t="str">
        <f>IFERROR(__xludf.DUMMYFUNCTION("""COMPUTED_VALUE"""),"ดอกกุหลาบ")</f>
        <v>ดอกกุหลาบ</v>
      </c>
      <c r="L117" s="1" t="str">
        <f>IFERROR(__xludf.DUMMYFUNCTION("""COMPUTED_VALUE"""),"ม.3")</f>
        <v>ม.3</v>
      </c>
      <c r="M117" s="1" t="str">
        <f>IFERROR(__xludf.DUMMYFUNCTION("""COMPUTED_VALUE"""),"คณิตศาสตร์")</f>
        <v>คณิตศาสตร์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>
        <f>IFERROR(__xludf.DUMMYFUNCTION("""COMPUTED_VALUE"""),3.0)</f>
        <v>3</v>
      </c>
      <c r="B118" s="1">
        <f>IFERROR(__xludf.DUMMYFUNCTION("""COMPUTED_VALUE"""),1.0)</f>
        <v>1</v>
      </c>
      <c r="C118" s="1" t="str">
        <f>IFERROR(__xludf.DUMMYFUNCTION("""COMPUTED_VALUE"""),"ส20225")</f>
        <v>ส20225</v>
      </c>
      <c r="D118" s="1" t="str">
        <f>IFERROR(__xludf.DUMMYFUNCTION("""COMPUTED_VALUE"""),"การป้องกันการทุจริต 3")</f>
        <v>การป้องกันการทุจริต 3</v>
      </c>
      <c r="E118" s="1">
        <f>IFERROR(__xludf.DUMMYFUNCTION("""COMPUTED_VALUE"""),0.5)</f>
        <v>0.5</v>
      </c>
      <c r="F118" s="1">
        <f>IFERROR(__xludf.DUMMYFUNCTION("""COMPUTED_VALUE"""),2569.0)</f>
        <v>2569</v>
      </c>
      <c r="G118" s="1">
        <f>IFERROR(__xludf.DUMMYFUNCTION("""COMPUTED_VALUE"""),1.0)</f>
        <v>1</v>
      </c>
      <c r="H118" s="1">
        <f>IFERROR(__xludf.DUMMYFUNCTION("""COMPUTED_VALUE"""),223.0)</f>
        <v>223</v>
      </c>
      <c r="I118" s="1" t="str">
        <f>IFERROR(__xludf.DUMMYFUNCTION("""COMPUTED_VALUE"""),"นาง")</f>
        <v>นาง</v>
      </c>
      <c r="J118" s="1" t="str">
        <f>IFERROR(__xludf.DUMMYFUNCTION("""COMPUTED_VALUE"""),"เพ็ญนภา")</f>
        <v>เพ็ญนภา</v>
      </c>
      <c r="K118" s="1" t="str">
        <f>IFERROR(__xludf.DUMMYFUNCTION("""COMPUTED_VALUE"""),"ดอกกุหลาบ")</f>
        <v>ดอกกุหลาบ</v>
      </c>
      <c r="L118" s="1" t="str">
        <f>IFERROR(__xludf.DUMMYFUNCTION("""COMPUTED_VALUE"""),"ม.2")</f>
        <v>ม.2</v>
      </c>
      <c r="M118" s="1" t="str">
        <f>IFERROR(__xludf.DUMMYFUNCTION("""COMPUTED_VALUE"""),"คณิตศาสตร์")</f>
        <v>คณิตศาสตร์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>
        <f>IFERROR(__xludf.DUMMYFUNCTION("""COMPUTED_VALUE"""),1.0)</f>
        <v>1</v>
      </c>
      <c r="B119" s="1">
        <f>IFERROR(__xludf.DUMMYFUNCTION("""COMPUTED_VALUE"""),1.0)</f>
        <v>1</v>
      </c>
      <c r="C119" s="1" t="str">
        <f>IFERROR(__xludf.DUMMYFUNCTION("""COMPUTED_VALUE"""),"ค30203")</f>
        <v>ค30203</v>
      </c>
      <c r="D119" s="1" t="str">
        <f>IFERROR(__xludf.DUMMYFUNCTION("""COMPUTED_VALUE"""),"โครงงานคณิตศาสตร์ 1")</f>
        <v>โครงงานคณิตศาสตร์ 1</v>
      </c>
      <c r="E119" s="1">
        <f>IFERROR(__xludf.DUMMYFUNCTION("""COMPUTED_VALUE"""),1.0)</f>
        <v>1</v>
      </c>
      <c r="F119" s="1">
        <f>IFERROR(__xludf.DUMMYFUNCTION("""COMPUTED_VALUE"""),2569.0)</f>
        <v>2569</v>
      </c>
      <c r="G119" s="1">
        <f>IFERROR(__xludf.DUMMYFUNCTION("""COMPUTED_VALUE"""),1.0)</f>
        <v>1</v>
      </c>
      <c r="H119" s="1">
        <f>IFERROR(__xludf.DUMMYFUNCTION("""COMPUTED_VALUE"""),227.0)</f>
        <v>227</v>
      </c>
      <c r="I119" s="1" t="str">
        <f>IFERROR(__xludf.DUMMYFUNCTION("""COMPUTED_VALUE"""),"นาย")</f>
        <v>นาย</v>
      </c>
      <c r="J119" s="1" t="str">
        <f>IFERROR(__xludf.DUMMYFUNCTION("""COMPUTED_VALUE"""),"เสน่ห์")</f>
        <v>เสน่ห์</v>
      </c>
      <c r="K119" s="1" t="str">
        <f>IFERROR(__xludf.DUMMYFUNCTION("""COMPUTED_VALUE"""),"คำปัน")</f>
        <v>คำปัน</v>
      </c>
      <c r="L119" s="1" t="str">
        <f>IFERROR(__xludf.DUMMYFUNCTION("""COMPUTED_VALUE"""),"ม.6")</f>
        <v>ม.6</v>
      </c>
      <c r="M119" s="1" t="str">
        <f>IFERROR(__xludf.DUMMYFUNCTION("""COMPUTED_VALUE"""),"คณิตศาสตร์")</f>
        <v>คณิตศาสตร์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>
        <f>IFERROR(__xludf.DUMMYFUNCTION("""COMPUTED_VALUE"""),2.0)</f>
        <v>2</v>
      </c>
      <c r="B120" s="1">
        <f>IFERROR(__xludf.DUMMYFUNCTION("""COMPUTED_VALUE"""),1.0)</f>
        <v>1</v>
      </c>
      <c r="C120" s="1" t="str">
        <f>IFERROR(__xludf.DUMMYFUNCTION("""COMPUTED_VALUE"""),"ค33101")</f>
        <v>ค33101</v>
      </c>
      <c r="D120" s="1" t="str">
        <f>IFERROR(__xludf.DUMMYFUNCTION("""COMPUTED_VALUE"""),"คณิตศาสตร์ 5")</f>
        <v>คณิตศาสตร์ 5</v>
      </c>
      <c r="E120" s="1">
        <f>IFERROR(__xludf.DUMMYFUNCTION("""COMPUTED_VALUE"""),1.0)</f>
        <v>1</v>
      </c>
      <c r="F120" s="1">
        <f>IFERROR(__xludf.DUMMYFUNCTION("""COMPUTED_VALUE"""),2569.0)</f>
        <v>2569</v>
      </c>
      <c r="G120" s="1">
        <f>IFERROR(__xludf.DUMMYFUNCTION("""COMPUTED_VALUE"""),1.0)</f>
        <v>1</v>
      </c>
      <c r="H120" s="1">
        <f>IFERROR(__xludf.DUMMYFUNCTION("""COMPUTED_VALUE"""),227.0)</f>
        <v>227</v>
      </c>
      <c r="I120" s="1" t="str">
        <f>IFERROR(__xludf.DUMMYFUNCTION("""COMPUTED_VALUE"""),"นาย")</f>
        <v>นาย</v>
      </c>
      <c r="J120" s="1" t="str">
        <f>IFERROR(__xludf.DUMMYFUNCTION("""COMPUTED_VALUE"""),"เสน่ห์")</f>
        <v>เสน่ห์</v>
      </c>
      <c r="K120" s="1" t="str">
        <f>IFERROR(__xludf.DUMMYFUNCTION("""COMPUTED_VALUE"""),"คำปัน")</f>
        <v>คำปัน</v>
      </c>
      <c r="L120" s="1" t="str">
        <f>IFERROR(__xludf.DUMMYFUNCTION("""COMPUTED_VALUE"""),"ม.6")</f>
        <v>ม.6</v>
      </c>
      <c r="M120" s="1" t="str">
        <f>IFERROR(__xludf.DUMMYFUNCTION("""COMPUTED_VALUE"""),"คณิตศาสตร์")</f>
        <v>คณิตศาสตร์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>
        <f>IFERROR(__xludf.DUMMYFUNCTION("""COMPUTED_VALUE"""),5.0)</f>
        <v>5</v>
      </c>
      <c r="B121" s="1">
        <f>IFERROR(__xludf.DUMMYFUNCTION("""COMPUTED_VALUE"""),1.0)</f>
        <v>1</v>
      </c>
      <c r="C121" s="1" t="str">
        <f>IFERROR(__xludf.DUMMYFUNCTION("""COMPUTED_VALUE"""),"ค33101")</f>
        <v>ค33101</v>
      </c>
      <c r="D121" s="1" t="str">
        <f>IFERROR(__xludf.DUMMYFUNCTION("""COMPUTED_VALUE"""),"คณิตศาสตร์ 5")</f>
        <v>คณิตศาสตร์ 5</v>
      </c>
      <c r="E121" s="1">
        <f>IFERROR(__xludf.DUMMYFUNCTION("""COMPUTED_VALUE"""),1.0)</f>
        <v>1</v>
      </c>
      <c r="F121" s="1">
        <f>IFERROR(__xludf.DUMMYFUNCTION("""COMPUTED_VALUE"""),2569.0)</f>
        <v>2569</v>
      </c>
      <c r="G121" s="1">
        <f>IFERROR(__xludf.DUMMYFUNCTION("""COMPUTED_VALUE"""),1.0)</f>
        <v>1</v>
      </c>
      <c r="H121" s="1">
        <f>IFERROR(__xludf.DUMMYFUNCTION("""COMPUTED_VALUE"""),227.0)</f>
        <v>227</v>
      </c>
      <c r="I121" s="1" t="str">
        <f>IFERROR(__xludf.DUMMYFUNCTION("""COMPUTED_VALUE"""),"นาย")</f>
        <v>นาย</v>
      </c>
      <c r="J121" s="1" t="str">
        <f>IFERROR(__xludf.DUMMYFUNCTION("""COMPUTED_VALUE"""),"เสน่ห์")</f>
        <v>เสน่ห์</v>
      </c>
      <c r="K121" s="1" t="str">
        <f>IFERROR(__xludf.DUMMYFUNCTION("""COMPUTED_VALUE"""),"คำปัน")</f>
        <v>คำปัน</v>
      </c>
      <c r="L121" s="1" t="str">
        <f>IFERROR(__xludf.DUMMYFUNCTION("""COMPUTED_VALUE"""),"ม.6")</f>
        <v>ม.6</v>
      </c>
      <c r="M121" s="1" t="str">
        <f>IFERROR(__xludf.DUMMYFUNCTION("""COMPUTED_VALUE"""),"คณิตศาสตร์")</f>
        <v>คณิตศาสตร์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>
        <f>IFERROR(__xludf.DUMMYFUNCTION("""COMPUTED_VALUE"""),11.0)</f>
        <v>11</v>
      </c>
      <c r="B122" s="1">
        <f>IFERROR(__xludf.DUMMYFUNCTION("""COMPUTED_VALUE"""),1.0)</f>
        <v>1</v>
      </c>
      <c r="C122" s="1" t="str">
        <f>IFERROR(__xludf.DUMMYFUNCTION("""COMPUTED_VALUE"""),"ค33101")</f>
        <v>ค33101</v>
      </c>
      <c r="D122" s="1" t="str">
        <f>IFERROR(__xludf.DUMMYFUNCTION("""COMPUTED_VALUE"""),"คณิตศาสตร์ 5")</f>
        <v>คณิตศาสตร์ 5</v>
      </c>
      <c r="E122" s="1">
        <f>IFERROR(__xludf.DUMMYFUNCTION("""COMPUTED_VALUE"""),1.0)</f>
        <v>1</v>
      </c>
      <c r="F122" s="1">
        <f>IFERROR(__xludf.DUMMYFUNCTION("""COMPUTED_VALUE"""),2569.0)</f>
        <v>2569</v>
      </c>
      <c r="G122" s="1">
        <f>IFERROR(__xludf.DUMMYFUNCTION("""COMPUTED_VALUE"""),1.0)</f>
        <v>1</v>
      </c>
      <c r="H122" s="1">
        <f>IFERROR(__xludf.DUMMYFUNCTION("""COMPUTED_VALUE"""),227.0)</f>
        <v>227</v>
      </c>
      <c r="I122" s="1" t="str">
        <f>IFERROR(__xludf.DUMMYFUNCTION("""COMPUTED_VALUE"""),"นาย")</f>
        <v>นาย</v>
      </c>
      <c r="J122" s="1" t="str">
        <f>IFERROR(__xludf.DUMMYFUNCTION("""COMPUTED_VALUE"""),"เสน่ห์")</f>
        <v>เสน่ห์</v>
      </c>
      <c r="K122" s="1" t="str">
        <f>IFERROR(__xludf.DUMMYFUNCTION("""COMPUTED_VALUE"""),"คำปัน")</f>
        <v>คำปัน</v>
      </c>
      <c r="L122" s="1" t="str">
        <f>IFERROR(__xludf.DUMMYFUNCTION("""COMPUTED_VALUE"""),"ม.6")</f>
        <v>ม.6</v>
      </c>
      <c r="M122" s="1" t="str">
        <f>IFERROR(__xludf.DUMMYFUNCTION("""COMPUTED_VALUE"""),"คณิตศาสตร์")</f>
        <v>คณิตศาสตร์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>
        <f>IFERROR(__xludf.DUMMYFUNCTION("""COMPUTED_VALUE"""),2.0)</f>
        <v>2</v>
      </c>
      <c r="B123" s="1">
        <f>IFERROR(__xludf.DUMMYFUNCTION("""COMPUTED_VALUE"""),1.0)</f>
        <v>1</v>
      </c>
      <c r="C123" s="1" t="str">
        <f>IFERROR(__xludf.DUMMYFUNCTION("""COMPUTED_VALUE"""),"ค33201")</f>
        <v>ค33201</v>
      </c>
      <c r="D123" s="1" t="str">
        <f>IFERROR(__xludf.DUMMYFUNCTION("""COMPUTED_VALUE"""),"คณิตศาสตร์เพิ่มเติม 5")</f>
        <v>คณิตศาสตร์เพิ่มเติม 5</v>
      </c>
      <c r="E123" s="1">
        <f>IFERROR(__xludf.DUMMYFUNCTION("""COMPUTED_VALUE"""),1.5)</f>
        <v>1.5</v>
      </c>
      <c r="F123" s="1">
        <f>IFERROR(__xludf.DUMMYFUNCTION("""COMPUTED_VALUE"""),2569.0)</f>
        <v>2569</v>
      </c>
      <c r="G123" s="1">
        <f>IFERROR(__xludf.DUMMYFUNCTION("""COMPUTED_VALUE"""),1.0)</f>
        <v>1</v>
      </c>
      <c r="H123" s="1">
        <f>IFERROR(__xludf.DUMMYFUNCTION("""COMPUTED_VALUE"""),227.0)</f>
        <v>227</v>
      </c>
      <c r="I123" s="1" t="str">
        <f>IFERROR(__xludf.DUMMYFUNCTION("""COMPUTED_VALUE"""),"นาย")</f>
        <v>นาย</v>
      </c>
      <c r="J123" s="1" t="str">
        <f>IFERROR(__xludf.DUMMYFUNCTION("""COMPUTED_VALUE"""),"เสน่ห์")</f>
        <v>เสน่ห์</v>
      </c>
      <c r="K123" s="1" t="str">
        <f>IFERROR(__xludf.DUMMYFUNCTION("""COMPUTED_VALUE"""),"คำปัน")</f>
        <v>คำปัน</v>
      </c>
      <c r="L123" s="1" t="str">
        <f>IFERROR(__xludf.DUMMYFUNCTION("""COMPUTED_VALUE"""),"ม.6")</f>
        <v>ม.6</v>
      </c>
      <c r="M123" s="1" t="str">
        <f>IFERROR(__xludf.DUMMYFUNCTION("""COMPUTED_VALUE"""),"คณิตศาสตร์")</f>
        <v>คณิตศาสตร์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>
        <f>IFERROR(__xludf.DUMMYFUNCTION("""COMPUTED_VALUE"""),5.0)</f>
        <v>5</v>
      </c>
      <c r="B124" s="1">
        <f>IFERROR(__xludf.DUMMYFUNCTION("""COMPUTED_VALUE"""),1.0)</f>
        <v>1</v>
      </c>
      <c r="C124" s="1" t="str">
        <f>IFERROR(__xludf.DUMMYFUNCTION("""COMPUTED_VALUE"""),"ค33201")</f>
        <v>ค33201</v>
      </c>
      <c r="D124" s="1" t="str">
        <f>IFERROR(__xludf.DUMMYFUNCTION("""COMPUTED_VALUE"""),"คณิตศาสตร์เพิ่มเติม 5")</f>
        <v>คณิตศาสตร์เพิ่มเติม 5</v>
      </c>
      <c r="E124" s="1">
        <f>IFERROR(__xludf.DUMMYFUNCTION("""COMPUTED_VALUE"""),1.5)</f>
        <v>1.5</v>
      </c>
      <c r="F124" s="1">
        <f>IFERROR(__xludf.DUMMYFUNCTION("""COMPUTED_VALUE"""),2569.0)</f>
        <v>2569</v>
      </c>
      <c r="G124" s="1">
        <f>IFERROR(__xludf.DUMMYFUNCTION("""COMPUTED_VALUE"""),1.0)</f>
        <v>1</v>
      </c>
      <c r="H124" s="1">
        <f>IFERROR(__xludf.DUMMYFUNCTION("""COMPUTED_VALUE"""),227.0)</f>
        <v>227</v>
      </c>
      <c r="I124" s="1" t="str">
        <f>IFERROR(__xludf.DUMMYFUNCTION("""COMPUTED_VALUE"""),"นาย")</f>
        <v>นาย</v>
      </c>
      <c r="J124" s="1" t="str">
        <f>IFERROR(__xludf.DUMMYFUNCTION("""COMPUTED_VALUE"""),"เสน่ห์")</f>
        <v>เสน่ห์</v>
      </c>
      <c r="K124" s="1" t="str">
        <f>IFERROR(__xludf.DUMMYFUNCTION("""COMPUTED_VALUE"""),"คำปัน")</f>
        <v>คำปัน</v>
      </c>
      <c r="L124" s="1" t="str">
        <f>IFERROR(__xludf.DUMMYFUNCTION("""COMPUTED_VALUE"""),"ม.6")</f>
        <v>ม.6</v>
      </c>
      <c r="M124" s="1" t="str">
        <f>IFERROR(__xludf.DUMMYFUNCTION("""COMPUTED_VALUE"""),"คณิตศาสตร์")</f>
        <v>คณิตศาสตร์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>
        <f>IFERROR(__xludf.DUMMYFUNCTION("""COMPUTED_VALUE"""),11.0)</f>
        <v>11</v>
      </c>
      <c r="B125" s="1">
        <f>IFERROR(__xludf.DUMMYFUNCTION("""COMPUTED_VALUE"""),1.0)</f>
        <v>1</v>
      </c>
      <c r="C125" s="1" t="str">
        <f>IFERROR(__xludf.DUMMYFUNCTION("""COMPUTED_VALUE"""),"ค33203")</f>
        <v>ค33203</v>
      </c>
      <c r="D125" s="1" t="str">
        <f>IFERROR(__xludf.DUMMYFUNCTION("""COMPUTED_VALUE"""),"คณิตศาสตร์อุตสาหกรรม 5")</f>
        <v>คณิตศาสตร์อุตสาหกรรม 5</v>
      </c>
      <c r="E125" s="1">
        <f>IFERROR(__xludf.DUMMYFUNCTION("""COMPUTED_VALUE"""),1.0)</f>
        <v>1</v>
      </c>
      <c r="F125" s="1">
        <f>IFERROR(__xludf.DUMMYFUNCTION("""COMPUTED_VALUE"""),2569.0)</f>
        <v>2569</v>
      </c>
      <c r="G125" s="1">
        <f>IFERROR(__xludf.DUMMYFUNCTION("""COMPUTED_VALUE"""),1.0)</f>
        <v>1</v>
      </c>
      <c r="H125" s="1">
        <f>IFERROR(__xludf.DUMMYFUNCTION("""COMPUTED_VALUE"""),227.0)</f>
        <v>227</v>
      </c>
      <c r="I125" s="1" t="str">
        <f>IFERROR(__xludf.DUMMYFUNCTION("""COMPUTED_VALUE"""),"นาย")</f>
        <v>นาย</v>
      </c>
      <c r="J125" s="1" t="str">
        <f>IFERROR(__xludf.DUMMYFUNCTION("""COMPUTED_VALUE"""),"เสน่ห์")</f>
        <v>เสน่ห์</v>
      </c>
      <c r="K125" s="1" t="str">
        <f>IFERROR(__xludf.DUMMYFUNCTION("""COMPUTED_VALUE"""),"คำปัน")</f>
        <v>คำปัน</v>
      </c>
      <c r="L125" s="1" t="str">
        <f>IFERROR(__xludf.DUMMYFUNCTION("""COMPUTED_VALUE"""),"ม.6")</f>
        <v>ม.6</v>
      </c>
      <c r="M125" s="1" t="str">
        <f>IFERROR(__xludf.DUMMYFUNCTION("""COMPUTED_VALUE"""),"คณิตศาสตร์")</f>
        <v>คณิตศาสตร์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>
        <f>IFERROR(__xludf.DUMMYFUNCTION("""COMPUTED_VALUE"""),1.0)</f>
        <v>1</v>
      </c>
      <c r="B126" s="1">
        <f>IFERROR(__xludf.DUMMYFUNCTION("""COMPUTED_VALUE"""),1.0)</f>
        <v>1</v>
      </c>
      <c r="C126" s="1" t="str">
        <f>IFERROR(__xludf.DUMMYFUNCTION("""COMPUTED_VALUE"""),"ส30251")</f>
        <v>ส30251</v>
      </c>
      <c r="D126" s="1" t="str">
        <f>IFERROR(__xludf.DUMMYFUNCTION("""COMPUTED_VALUE"""),"การป้องกันการทุจริต 5")</f>
        <v>การป้องกันการทุจริต 5</v>
      </c>
      <c r="E126" s="1">
        <f>IFERROR(__xludf.DUMMYFUNCTION("""COMPUTED_VALUE"""),0.5)</f>
        <v>0.5</v>
      </c>
      <c r="F126" s="1">
        <f>IFERROR(__xludf.DUMMYFUNCTION("""COMPUTED_VALUE"""),2569.0)</f>
        <v>2569</v>
      </c>
      <c r="G126" s="1">
        <f>IFERROR(__xludf.DUMMYFUNCTION("""COMPUTED_VALUE"""),1.0)</f>
        <v>1</v>
      </c>
      <c r="H126" s="1">
        <f>IFERROR(__xludf.DUMMYFUNCTION("""COMPUTED_VALUE"""),227.0)</f>
        <v>227</v>
      </c>
      <c r="I126" s="1" t="str">
        <f>IFERROR(__xludf.DUMMYFUNCTION("""COMPUTED_VALUE"""),"นาย")</f>
        <v>นาย</v>
      </c>
      <c r="J126" s="1" t="str">
        <f>IFERROR(__xludf.DUMMYFUNCTION("""COMPUTED_VALUE"""),"เสน่ห์")</f>
        <v>เสน่ห์</v>
      </c>
      <c r="K126" s="1" t="str">
        <f>IFERROR(__xludf.DUMMYFUNCTION("""COMPUTED_VALUE"""),"คำปัน")</f>
        <v>คำปัน</v>
      </c>
      <c r="L126" s="1" t="str">
        <f>IFERROR(__xludf.DUMMYFUNCTION("""COMPUTED_VALUE"""),"ม.6")</f>
        <v>ม.6</v>
      </c>
      <c r="M126" s="1" t="str">
        <f>IFERROR(__xludf.DUMMYFUNCTION("""COMPUTED_VALUE"""),"คณิตศาสตร์")</f>
        <v>คณิตศาสตร์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>
        <f>IFERROR(__xludf.DUMMYFUNCTION("""COMPUTED_VALUE"""),1.0)</f>
        <v>1</v>
      </c>
      <c r="B127" s="1">
        <f>IFERROR(__xludf.DUMMYFUNCTION("""COMPUTED_VALUE"""),1.0)</f>
        <v>1</v>
      </c>
      <c r="C127" s="1" t="str">
        <f>IFERROR(__xludf.DUMMYFUNCTION("""COMPUTED_VALUE"""),"ค20203")</f>
        <v>ค20203</v>
      </c>
      <c r="D127" s="1" t="str">
        <f>IFERROR(__xludf.DUMMYFUNCTION("""COMPUTED_VALUE"""),"คณิตศาสตร์เพิ่มพูน 3")</f>
        <v>คณิตศาสตร์เพิ่มพูน 3</v>
      </c>
      <c r="E127" s="1">
        <f>IFERROR(__xludf.DUMMYFUNCTION("""COMPUTED_VALUE"""),0.5)</f>
        <v>0.5</v>
      </c>
      <c r="F127" s="1">
        <f>IFERROR(__xludf.DUMMYFUNCTION("""COMPUTED_VALUE"""),2569.0)</f>
        <v>2569</v>
      </c>
      <c r="G127" s="1">
        <f>IFERROR(__xludf.DUMMYFUNCTION("""COMPUTED_VALUE"""),1.0)</f>
        <v>1</v>
      </c>
      <c r="H127" s="1">
        <f>IFERROR(__xludf.DUMMYFUNCTION("""COMPUTED_VALUE"""),232.0)</f>
        <v>232</v>
      </c>
      <c r="I127" s="1" t="str">
        <f>IFERROR(__xludf.DUMMYFUNCTION("""COMPUTED_VALUE"""),"นาย")</f>
        <v>นาย</v>
      </c>
      <c r="J127" s="1" t="str">
        <f>IFERROR(__xludf.DUMMYFUNCTION("""COMPUTED_VALUE"""),"ดวงเด่น")</f>
        <v>ดวงเด่น</v>
      </c>
      <c r="K127" s="1" t="str">
        <f>IFERROR(__xludf.DUMMYFUNCTION("""COMPUTED_VALUE"""),"เต่าเถื่อน")</f>
        <v>เต่าเถื่อน</v>
      </c>
      <c r="L127" s="1" t="str">
        <f>IFERROR(__xludf.DUMMYFUNCTION("""COMPUTED_VALUE"""),"ม.2")</f>
        <v>ม.2</v>
      </c>
      <c r="M127" s="1" t="str">
        <f>IFERROR(__xludf.DUMMYFUNCTION("""COMPUTED_VALUE"""),"คณิตศาสตร์")</f>
        <v>คณิตศาสตร์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>
        <f>IFERROR(__xludf.DUMMYFUNCTION("""COMPUTED_VALUE"""),1.0)</f>
        <v>1</v>
      </c>
      <c r="B128" s="1">
        <f>IFERROR(__xludf.DUMMYFUNCTION("""COMPUTED_VALUE"""),1.0)</f>
        <v>1</v>
      </c>
      <c r="C128" s="1" t="str">
        <f>IFERROR(__xludf.DUMMYFUNCTION("""COMPUTED_VALUE"""),"ค20205")</f>
        <v>ค20205</v>
      </c>
      <c r="D128" s="1" t="str">
        <f>IFERROR(__xludf.DUMMYFUNCTION("""COMPUTED_VALUE"""),"คณิตศาสตร์เพิ่มพูน 5")</f>
        <v>คณิตศาสตร์เพิ่มพูน 5</v>
      </c>
      <c r="E128" s="1">
        <f>IFERROR(__xludf.DUMMYFUNCTION("""COMPUTED_VALUE"""),0.5)</f>
        <v>0.5</v>
      </c>
      <c r="F128" s="1">
        <f>IFERROR(__xludf.DUMMYFUNCTION("""COMPUTED_VALUE"""),2569.0)</f>
        <v>2569</v>
      </c>
      <c r="G128" s="1">
        <f>IFERROR(__xludf.DUMMYFUNCTION("""COMPUTED_VALUE"""),1.0)</f>
        <v>1</v>
      </c>
      <c r="H128" s="1">
        <f>IFERROR(__xludf.DUMMYFUNCTION("""COMPUTED_VALUE"""),232.0)</f>
        <v>232</v>
      </c>
      <c r="I128" s="1" t="str">
        <f>IFERROR(__xludf.DUMMYFUNCTION("""COMPUTED_VALUE"""),"นาย")</f>
        <v>นาย</v>
      </c>
      <c r="J128" s="1" t="str">
        <f>IFERROR(__xludf.DUMMYFUNCTION("""COMPUTED_VALUE"""),"ดวงเด่น")</f>
        <v>ดวงเด่น</v>
      </c>
      <c r="K128" s="1" t="str">
        <f>IFERROR(__xludf.DUMMYFUNCTION("""COMPUTED_VALUE"""),"เต่าเถื่อน")</f>
        <v>เต่าเถื่อน</v>
      </c>
      <c r="L128" s="1" t="str">
        <f>IFERROR(__xludf.DUMMYFUNCTION("""COMPUTED_VALUE"""),"ม.3")</f>
        <v>ม.3</v>
      </c>
      <c r="M128" s="1" t="str">
        <f>IFERROR(__xludf.DUMMYFUNCTION("""COMPUTED_VALUE"""),"คณิตศาสตร์")</f>
        <v>คณิตศาสตร์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>
        <f>IFERROR(__xludf.DUMMYFUNCTION("""COMPUTED_VALUE"""),2.0)</f>
        <v>2</v>
      </c>
      <c r="B129" s="1">
        <f>IFERROR(__xludf.DUMMYFUNCTION("""COMPUTED_VALUE"""),1.0)</f>
        <v>1</v>
      </c>
      <c r="C129" s="1" t="str">
        <f>IFERROR(__xludf.DUMMYFUNCTION("""COMPUTED_VALUE"""),"ค22101")</f>
        <v>ค22101</v>
      </c>
      <c r="D129" s="1" t="str">
        <f>IFERROR(__xludf.DUMMYFUNCTION("""COMPUTED_VALUE"""),"คณิตศาสตร์ 3")</f>
        <v>คณิตศาสตร์ 3</v>
      </c>
      <c r="E129" s="1">
        <f>IFERROR(__xludf.DUMMYFUNCTION("""COMPUTED_VALUE"""),1.5)</f>
        <v>1.5</v>
      </c>
      <c r="F129" s="1">
        <f>IFERROR(__xludf.DUMMYFUNCTION("""COMPUTED_VALUE"""),2569.0)</f>
        <v>2569</v>
      </c>
      <c r="G129" s="1">
        <f>IFERROR(__xludf.DUMMYFUNCTION("""COMPUTED_VALUE"""),1.0)</f>
        <v>1</v>
      </c>
      <c r="H129" s="1">
        <f>IFERROR(__xludf.DUMMYFUNCTION("""COMPUTED_VALUE"""),232.0)</f>
        <v>232</v>
      </c>
      <c r="I129" s="1" t="str">
        <f>IFERROR(__xludf.DUMMYFUNCTION("""COMPUTED_VALUE"""),"นาย")</f>
        <v>นาย</v>
      </c>
      <c r="J129" s="1" t="str">
        <f>IFERROR(__xludf.DUMMYFUNCTION("""COMPUTED_VALUE"""),"ดวงเด่น")</f>
        <v>ดวงเด่น</v>
      </c>
      <c r="K129" s="1" t="str">
        <f>IFERROR(__xludf.DUMMYFUNCTION("""COMPUTED_VALUE"""),"เต่าเถื่อน")</f>
        <v>เต่าเถื่อน</v>
      </c>
      <c r="L129" s="1" t="str">
        <f>IFERROR(__xludf.DUMMYFUNCTION("""COMPUTED_VALUE"""),"ม.2")</f>
        <v>ม.2</v>
      </c>
      <c r="M129" s="1" t="str">
        <f>IFERROR(__xludf.DUMMYFUNCTION("""COMPUTED_VALUE"""),"คณิตศาสตร์")</f>
        <v>คณิตศาสตร์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>
        <f>IFERROR(__xludf.DUMMYFUNCTION("""COMPUTED_VALUE"""),4.0)</f>
        <v>4</v>
      </c>
      <c r="B130" s="1">
        <f>IFERROR(__xludf.DUMMYFUNCTION("""COMPUTED_VALUE"""),1.0)</f>
        <v>1</v>
      </c>
      <c r="C130" s="1" t="str">
        <f>IFERROR(__xludf.DUMMYFUNCTION("""COMPUTED_VALUE"""),"ค22101")</f>
        <v>ค22101</v>
      </c>
      <c r="D130" s="1" t="str">
        <f>IFERROR(__xludf.DUMMYFUNCTION("""COMPUTED_VALUE"""),"คณิตศาสตร์ 3")</f>
        <v>คณิตศาสตร์ 3</v>
      </c>
      <c r="E130" s="1">
        <f>IFERROR(__xludf.DUMMYFUNCTION("""COMPUTED_VALUE"""),1.5)</f>
        <v>1.5</v>
      </c>
      <c r="F130" s="1">
        <f>IFERROR(__xludf.DUMMYFUNCTION("""COMPUTED_VALUE"""),2569.0)</f>
        <v>2569</v>
      </c>
      <c r="G130" s="1">
        <f>IFERROR(__xludf.DUMMYFUNCTION("""COMPUTED_VALUE"""),1.0)</f>
        <v>1</v>
      </c>
      <c r="H130" s="1">
        <f>IFERROR(__xludf.DUMMYFUNCTION("""COMPUTED_VALUE"""),232.0)</f>
        <v>232</v>
      </c>
      <c r="I130" s="1" t="str">
        <f>IFERROR(__xludf.DUMMYFUNCTION("""COMPUTED_VALUE"""),"นาย")</f>
        <v>นาย</v>
      </c>
      <c r="J130" s="1" t="str">
        <f>IFERROR(__xludf.DUMMYFUNCTION("""COMPUTED_VALUE"""),"ดวงเด่น")</f>
        <v>ดวงเด่น</v>
      </c>
      <c r="K130" s="1" t="str">
        <f>IFERROR(__xludf.DUMMYFUNCTION("""COMPUTED_VALUE"""),"เต่าเถื่อน")</f>
        <v>เต่าเถื่อน</v>
      </c>
      <c r="L130" s="1" t="str">
        <f>IFERROR(__xludf.DUMMYFUNCTION("""COMPUTED_VALUE"""),"ม.2")</f>
        <v>ม.2</v>
      </c>
      <c r="M130" s="1" t="str">
        <f>IFERROR(__xludf.DUMMYFUNCTION("""COMPUTED_VALUE"""),"คณิตศาสตร์")</f>
        <v>คณิตศาสตร์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>
        <f>IFERROR(__xludf.DUMMYFUNCTION("""COMPUTED_VALUE"""),6.0)</f>
        <v>6</v>
      </c>
      <c r="B131" s="1">
        <f>IFERROR(__xludf.DUMMYFUNCTION("""COMPUTED_VALUE"""),1.0)</f>
        <v>1</v>
      </c>
      <c r="C131" s="1" t="str">
        <f>IFERROR(__xludf.DUMMYFUNCTION("""COMPUTED_VALUE"""),"ค22101")</f>
        <v>ค22101</v>
      </c>
      <c r="D131" s="1" t="str">
        <f>IFERROR(__xludf.DUMMYFUNCTION("""COMPUTED_VALUE"""),"คณิตศาสตร์ 3")</f>
        <v>คณิตศาสตร์ 3</v>
      </c>
      <c r="E131" s="1">
        <f>IFERROR(__xludf.DUMMYFUNCTION("""COMPUTED_VALUE"""),1.5)</f>
        <v>1.5</v>
      </c>
      <c r="F131" s="1">
        <f>IFERROR(__xludf.DUMMYFUNCTION("""COMPUTED_VALUE"""),2569.0)</f>
        <v>2569</v>
      </c>
      <c r="G131" s="1">
        <f>IFERROR(__xludf.DUMMYFUNCTION("""COMPUTED_VALUE"""),1.0)</f>
        <v>1</v>
      </c>
      <c r="H131" s="1">
        <f>IFERROR(__xludf.DUMMYFUNCTION("""COMPUTED_VALUE"""),232.0)</f>
        <v>232</v>
      </c>
      <c r="I131" s="1" t="str">
        <f>IFERROR(__xludf.DUMMYFUNCTION("""COMPUTED_VALUE"""),"นาย")</f>
        <v>นาย</v>
      </c>
      <c r="J131" s="1" t="str">
        <f>IFERROR(__xludf.DUMMYFUNCTION("""COMPUTED_VALUE"""),"ดวงเด่น")</f>
        <v>ดวงเด่น</v>
      </c>
      <c r="K131" s="1" t="str">
        <f>IFERROR(__xludf.DUMMYFUNCTION("""COMPUTED_VALUE"""),"เต่าเถื่อน")</f>
        <v>เต่าเถื่อน</v>
      </c>
      <c r="L131" s="1" t="str">
        <f>IFERROR(__xludf.DUMMYFUNCTION("""COMPUTED_VALUE"""),"ม.2")</f>
        <v>ม.2</v>
      </c>
      <c r="M131" s="1" t="str">
        <f>IFERROR(__xludf.DUMMYFUNCTION("""COMPUTED_VALUE"""),"คณิตศาสตร์")</f>
        <v>คณิตศาสตร์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>
        <f>IFERROR(__xludf.DUMMYFUNCTION("""COMPUTED_VALUE"""),7.0)</f>
        <v>7</v>
      </c>
      <c r="B132" s="1">
        <f>IFERROR(__xludf.DUMMYFUNCTION("""COMPUTED_VALUE"""),1.0)</f>
        <v>1</v>
      </c>
      <c r="C132" s="1" t="str">
        <f>IFERROR(__xludf.DUMMYFUNCTION("""COMPUTED_VALUE"""),"ค22101")</f>
        <v>ค22101</v>
      </c>
      <c r="D132" s="1" t="str">
        <f>IFERROR(__xludf.DUMMYFUNCTION("""COMPUTED_VALUE"""),"คณิตศาสตร์ 3")</f>
        <v>คณิตศาสตร์ 3</v>
      </c>
      <c r="E132" s="1">
        <f>IFERROR(__xludf.DUMMYFUNCTION("""COMPUTED_VALUE"""),1.5)</f>
        <v>1.5</v>
      </c>
      <c r="F132" s="1">
        <f>IFERROR(__xludf.DUMMYFUNCTION("""COMPUTED_VALUE"""),2569.0)</f>
        <v>2569</v>
      </c>
      <c r="G132" s="1">
        <f>IFERROR(__xludf.DUMMYFUNCTION("""COMPUTED_VALUE"""),1.0)</f>
        <v>1</v>
      </c>
      <c r="H132" s="1">
        <f>IFERROR(__xludf.DUMMYFUNCTION("""COMPUTED_VALUE"""),232.0)</f>
        <v>232</v>
      </c>
      <c r="I132" s="1" t="str">
        <f>IFERROR(__xludf.DUMMYFUNCTION("""COMPUTED_VALUE"""),"นาย")</f>
        <v>นาย</v>
      </c>
      <c r="J132" s="1" t="str">
        <f>IFERROR(__xludf.DUMMYFUNCTION("""COMPUTED_VALUE"""),"ดวงเด่น")</f>
        <v>ดวงเด่น</v>
      </c>
      <c r="K132" s="1" t="str">
        <f>IFERROR(__xludf.DUMMYFUNCTION("""COMPUTED_VALUE"""),"เต่าเถื่อน")</f>
        <v>เต่าเถื่อน</v>
      </c>
      <c r="L132" s="1" t="str">
        <f>IFERROR(__xludf.DUMMYFUNCTION("""COMPUTED_VALUE"""),"ม.2")</f>
        <v>ม.2</v>
      </c>
      <c r="M132" s="1" t="str">
        <f>IFERROR(__xludf.DUMMYFUNCTION("""COMPUTED_VALUE"""),"คณิตศาสตร์")</f>
        <v>คณิตศาสตร์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>
        <f>IFERROR(__xludf.DUMMYFUNCTION("""COMPUTED_VALUE"""),1.0)</f>
        <v>1</v>
      </c>
      <c r="B133" s="1">
        <f>IFERROR(__xludf.DUMMYFUNCTION("""COMPUTED_VALUE"""),1.0)</f>
        <v>1</v>
      </c>
      <c r="C133" s="1" t="str">
        <f>IFERROR(__xludf.DUMMYFUNCTION("""COMPUTED_VALUE"""),"ค33101")</f>
        <v>ค33101</v>
      </c>
      <c r="D133" s="1" t="str">
        <f>IFERROR(__xludf.DUMMYFUNCTION("""COMPUTED_VALUE"""),"คณิตศาสตร์ 5")</f>
        <v>คณิตศาสตร์ 5</v>
      </c>
      <c r="E133" s="1">
        <f>IFERROR(__xludf.DUMMYFUNCTION("""COMPUTED_VALUE"""),1.0)</f>
        <v>1</v>
      </c>
      <c r="F133" s="1">
        <f>IFERROR(__xludf.DUMMYFUNCTION("""COMPUTED_VALUE"""),2569.0)</f>
        <v>2569</v>
      </c>
      <c r="G133" s="1">
        <f>IFERROR(__xludf.DUMMYFUNCTION("""COMPUTED_VALUE"""),1.0)</f>
        <v>1</v>
      </c>
      <c r="H133" s="1">
        <f>IFERROR(__xludf.DUMMYFUNCTION("""COMPUTED_VALUE"""),234.0)</f>
        <v>234</v>
      </c>
      <c r="I133" s="1" t="str">
        <f>IFERROR(__xludf.DUMMYFUNCTION("""COMPUTED_VALUE"""),"นางสาว")</f>
        <v>นางสาว</v>
      </c>
      <c r="J133" s="1" t="str">
        <f>IFERROR(__xludf.DUMMYFUNCTION("""COMPUTED_VALUE"""),"อโรชา")</f>
        <v>อโรชา</v>
      </c>
      <c r="K133" s="1" t="str">
        <f>IFERROR(__xludf.DUMMYFUNCTION("""COMPUTED_VALUE"""),"สลุงใหญ่")</f>
        <v>สลุงใหญ่</v>
      </c>
      <c r="L133" s="1" t="str">
        <f>IFERROR(__xludf.DUMMYFUNCTION("""COMPUTED_VALUE"""),"ม.6")</f>
        <v>ม.6</v>
      </c>
      <c r="M133" s="1" t="str">
        <f>IFERROR(__xludf.DUMMYFUNCTION("""COMPUTED_VALUE"""),"คณิตศาสตร์")</f>
        <v>คณิตศาสตร์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>
        <f>IFERROR(__xludf.DUMMYFUNCTION("""COMPUTED_VALUE"""),4.0)</f>
        <v>4</v>
      </c>
      <c r="B134" s="1">
        <f>IFERROR(__xludf.DUMMYFUNCTION("""COMPUTED_VALUE"""),1.0)</f>
        <v>1</v>
      </c>
      <c r="C134" s="1" t="str">
        <f>IFERROR(__xludf.DUMMYFUNCTION("""COMPUTED_VALUE"""),"ค33101")</f>
        <v>ค33101</v>
      </c>
      <c r="D134" s="1" t="str">
        <f>IFERROR(__xludf.DUMMYFUNCTION("""COMPUTED_VALUE"""),"คณิตศาสตร์ 5")</f>
        <v>คณิตศาสตร์ 5</v>
      </c>
      <c r="E134" s="1">
        <f>IFERROR(__xludf.DUMMYFUNCTION("""COMPUTED_VALUE"""),1.0)</f>
        <v>1</v>
      </c>
      <c r="F134" s="1">
        <f>IFERROR(__xludf.DUMMYFUNCTION("""COMPUTED_VALUE"""),2569.0)</f>
        <v>2569</v>
      </c>
      <c r="G134" s="1">
        <f>IFERROR(__xludf.DUMMYFUNCTION("""COMPUTED_VALUE"""),1.0)</f>
        <v>1</v>
      </c>
      <c r="H134" s="1">
        <f>IFERROR(__xludf.DUMMYFUNCTION("""COMPUTED_VALUE"""),234.0)</f>
        <v>234</v>
      </c>
      <c r="I134" s="1" t="str">
        <f>IFERROR(__xludf.DUMMYFUNCTION("""COMPUTED_VALUE"""),"นางสาว")</f>
        <v>นางสาว</v>
      </c>
      <c r="J134" s="1" t="str">
        <f>IFERROR(__xludf.DUMMYFUNCTION("""COMPUTED_VALUE"""),"อโรชา")</f>
        <v>อโรชา</v>
      </c>
      <c r="K134" s="1" t="str">
        <f>IFERROR(__xludf.DUMMYFUNCTION("""COMPUTED_VALUE"""),"สลุงใหญ่")</f>
        <v>สลุงใหญ่</v>
      </c>
      <c r="L134" s="1" t="str">
        <f>IFERROR(__xludf.DUMMYFUNCTION("""COMPUTED_VALUE"""),"ม.6")</f>
        <v>ม.6</v>
      </c>
      <c r="M134" s="1" t="str">
        <f>IFERROR(__xludf.DUMMYFUNCTION("""COMPUTED_VALUE"""),"คณิตศาสตร์")</f>
        <v>คณิตศาสตร์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>
        <f>IFERROR(__xludf.DUMMYFUNCTION("""COMPUTED_VALUE"""),6.0)</f>
        <v>6</v>
      </c>
      <c r="B135" s="1">
        <f>IFERROR(__xludf.DUMMYFUNCTION("""COMPUTED_VALUE"""),1.0)</f>
        <v>1</v>
      </c>
      <c r="C135" s="1" t="str">
        <f>IFERROR(__xludf.DUMMYFUNCTION("""COMPUTED_VALUE"""),"ค33101")</f>
        <v>ค33101</v>
      </c>
      <c r="D135" s="1" t="str">
        <f>IFERROR(__xludf.DUMMYFUNCTION("""COMPUTED_VALUE"""),"คณิตศาสตร์ 5")</f>
        <v>คณิตศาสตร์ 5</v>
      </c>
      <c r="E135" s="1">
        <f>IFERROR(__xludf.DUMMYFUNCTION("""COMPUTED_VALUE"""),1.0)</f>
        <v>1</v>
      </c>
      <c r="F135" s="1">
        <f>IFERROR(__xludf.DUMMYFUNCTION("""COMPUTED_VALUE"""),2569.0)</f>
        <v>2569</v>
      </c>
      <c r="G135" s="1">
        <f>IFERROR(__xludf.DUMMYFUNCTION("""COMPUTED_VALUE"""),1.0)</f>
        <v>1</v>
      </c>
      <c r="H135" s="1">
        <f>IFERROR(__xludf.DUMMYFUNCTION("""COMPUTED_VALUE"""),234.0)</f>
        <v>234</v>
      </c>
      <c r="I135" s="1" t="str">
        <f>IFERROR(__xludf.DUMMYFUNCTION("""COMPUTED_VALUE"""),"นางสาว")</f>
        <v>นางสาว</v>
      </c>
      <c r="J135" s="1" t="str">
        <f>IFERROR(__xludf.DUMMYFUNCTION("""COMPUTED_VALUE"""),"อโรชา")</f>
        <v>อโรชา</v>
      </c>
      <c r="K135" s="1" t="str">
        <f>IFERROR(__xludf.DUMMYFUNCTION("""COMPUTED_VALUE"""),"สลุงใหญ่")</f>
        <v>สลุงใหญ่</v>
      </c>
      <c r="L135" s="1" t="str">
        <f>IFERROR(__xludf.DUMMYFUNCTION("""COMPUTED_VALUE"""),"ม.6")</f>
        <v>ม.6</v>
      </c>
      <c r="M135" s="1" t="str">
        <f>IFERROR(__xludf.DUMMYFUNCTION("""COMPUTED_VALUE"""),"คณิตศาสตร์")</f>
        <v>คณิตศาสตร์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>
        <f>IFERROR(__xludf.DUMMYFUNCTION("""COMPUTED_VALUE"""),2.0)</f>
        <v>2</v>
      </c>
      <c r="B136" s="1">
        <f>IFERROR(__xludf.DUMMYFUNCTION("""COMPUTED_VALUE"""),1.0)</f>
        <v>1</v>
      </c>
      <c r="C136" s="1" t="str">
        <f>IFERROR(__xludf.DUMMYFUNCTION("""COMPUTED_VALUE"""),"ส30249")</f>
        <v>ส30249</v>
      </c>
      <c r="D136" s="1" t="str">
        <f>IFERROR(__xludf.DUMMYFUNCTION("""COMPUTED_VALUE"""),"การป้องกันการทุจริต 3")</f>
        <v>การป้องกันการทุจริต 3</v>
      </c>
      <c r="E136" s="1">
        <f>IFERROR(__xludf.DUMMYFUNCTION("""COMPUTED_VALUE"""),0.5)</f>
        <v>0.5</v>
      </c>
      <c r="F136" s="1">
        <f>IFERROR(__xludf.DUMMYFUNCTION("""COMPUTED_VALUE"""),2569.0)</f>
        <v>2569</v>
      </c>
      <c r="G136" s="1">
        <f>IFERROR(__xludf.DUMMYFUNCTION("""COMPUTED_VALUE"""),1.0)</f>
        <v>1</v>
      </c>
      <c r="H136" s="1">
        <f>IFERROR(__xludf.DUMMYFUNCTION("""COMPUTED_VALUE"""),234.0)</f>
        <v>234</v>
      </c>
      <c r="I136" s="1" t="str">
        <f>IFERROR(__xludf.DUMMYFUNCTION("""COMPUTED_VALUE"""),"นางสาว")</f>
        <v>นางสาว</v>
      </c>
      <c r="J136" s="1" t="str">
        <f>IFERROR(__xludf.DUMMYFUNCTION("""COMPUTED_VALUE"""),"อโรชา")</f>
        <v>อโรชา</v>
      </c>
      <c r="K136" s="1" t="str">
        <f>IFERROR(__xludf.DUMMYFUNCTION("""COMPUTED_VALUE"""),"สลุงใหญ่")</f>
        <v>สลุงใหญ่</v>
      </c>
      <c r="L136" s="1" t="str">
        <f>IFERROR(__xludf.DUMMYFUNCTION("""COMPUTED_VALUE"""),"ม.5")</f>
        <v>ม.5</v>
      </c>
      <c r="M136" s="1" t="str">
        <f>IFERROR(__xludf.DUMMYFUNCTION("""COMPUTED_VALUE"""),"คณิตศาสตร์")</f>
        <v>คณิตศาสตร์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>
        <f>IFERROR(__xludf.DUMMYFUNCTION("""COMPUTED_VALUE"""),1.0)</f>
        <v>1</v>
      </c>
      <c r="B137" s="1">
        <f>IFERROR(__xludf.DUMMYFUNCTION("""COMPUTED_VALUE"""),1.0)</f>
        <v>1</v>
      </c>
      <c r="C137" s="1" t="str">
        <f>IFERROR(__xludf.DUMMYFUNCTION("""COMPUTED_VALUE"""),"ค20207")</f>
        <v>ค20207</v>
      </c>
      <c r="D137" s="1" t="str">
        <f>IFERROR(__xludf.DUMMYFUNCTION("""COMPUTED_VALUE"""),"จำนวนเต็มและการดำเนินการ")</f>
        <v>จำนวนเต็มและการดำเนินการ</v>
      </c>
      <c r="E137" s="1">
        <f>IFERROR(__xludf.DUMMYFUNCTION("""COMPUTED_VALUE"""),1.0)</f>
        <v>1</v>
      </c>
      <c r="F137" s="1">
        <f>IFERROR(__xludf.DUMMYFUNCTION("""COMPUTED_VALUE"""),2569.0)</f>
        <v>2569</v>
      </c>
      <c r="G137" s="1">
        <f>IFERROR(__xludf.DUMMYFUNCTION("""COMPUTED_VALUE"""),1.0)</f>
        <v>1</v>
      </c>
      <c r="H137" s="1">
        <f>IFERROR(__xludf.DUMMYFUNCTION("""COMPUTED_VALUE"""),236.0)</f>
        <v>236</v>
      </c>
      <c r="I137" s="1" t="str">
        <f>IFERROR(__xludf.DUMMYFUNCTION("""COMPUTED_VALUE"""),"นางสาว")</f>
        <v>นางสาว</v>
      </c>
      <c r="J137" s="1" t="str">
        <f>IFERROR(__xludf.DUMMYFUNCTION("""COMPUTED_VALUE"""),"รัศมี")</f>
        <v>รัศมี</v>
      </c>
      <c r="K137" s="1" t="str">
        <f>IFERROR(__xludf.DUMMYFUNCTION("""COMPUTED_VALUE"""),"เฮงอรุณ")</f>
        <v>เฮงอรุณ</v>
      </c>
      <c r="L137" s="1" t="str">
        <f>IFERROR(__xludf.DUMMYFUNCTION("""COMPUTED_VALUE"""),"ม.1")</f>
        <v>ม.1</v>
      </c>
      <c r="M137" s="1" t="str">
        <f>IFERROR(__xludf.DUMMYFUNCTION("""COMPUTED_VALUE"""),"คณิตศาสตร์")</f>
        <v>คณิตศาสตร์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>
        <f>IFERROR(__xludf.DUMMYFUNCTION("""COMPUTED_VALUE"""),1.0)</f>
        <v>1</v>
      </c>
      <c r="B138" s="1">
        <f>IFERROR(__xludf.DUMMYFUNCTION("""COMPUTED_VALUE"""),1.0)</f>
        <v>1</v>
      </c>
      <c r="C138" s="1" t="str">
        <f>IFERROR(__xludf.DUMMYFUNCTION("""COMPUTED_VALUE"""),"ค21101")</f>
        <v>ค21101</v>
      </c>
      <c r="D138" s="1" t="str">
        <f>IFERROR(__xludf.DUMMYFUNCTION("""COMPUTED_VALUE"""),"คณิตศาสตร์ 1")</f>
        <v>คณิตศาสตร์ 1</v>
      </c>
      <c r="E138" s="1">
        <f>IFERROR(__xludf.DUMMYFUNCTION("""COMPUTED_VALUE"""),1.5)</f>
        <v>1.5</v>
      </c>
      <c r="F138" s="1">
        <f>IFERROR(__xludf.DUMMYFUNCTION("""COMPUTED_VALUE"""),2569.0)</f>
        <v>2569</v>
      </c>
      <c r="G138" s="1">
        <f>IFERROR(__xludf.DUMMYFUNCTION("""COMPUTED_VALUE"""),1.0)</f>
        <v>1</v>
      </c>
      <c r="H138" s="1">
        <f>IFERROR(__xludf.DUMMYFUNCTION("""COMPUTED_VALUE"""),236.0)</f>
        <v>236</v>
      </c>
      <c r="I138" s="1" t="str">
        <f>IFERROR(__xludf.DUMMYFUNCTION("""COMPUTED_VALUE"""),"นางสาว")</f>
        <v>นางสาว</v>
      </c>
      <c r="J138" s="1" t="str">
        <f>IFERROR(__xludf.DUMMYFUNCTION("""COMPUTED_VALUE"""),"รัศมี")</f>
        <v>รัศมี</v>
      </c>
      <c r="K138" s="1" t="str">
        <f>IFERROR(__xludf.DUMMYFUNCTION("""COMPUTED_VALUE"""),"เฮงอรุณ")</f>
        <v>เฮงอรุณ</v>
      </c>
      <c r="L138" s="1" t="str">
        <f>IFERROR(__xludf.DUMMYFUNCTION("""COMPUTED_VALUE"""),"ม.1")</f>
        <v>ม.1</v>
      </c>
      <c r="M138" s="1" t="str">
        <f>IFERROR(__xludf.DUMMYFUNCTION("""COMPUTED_VALUE"""),"คณิตศาสตร์")</f>
        <v>คณิตศาสตร์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>
        <f>IFERROR(__xludf.DUMMYFUNCTION("""COMPUTED_VALUE"""),2.0)</f>
        <v>2</v>
      </c>
      <c r="B139" s="1">
        <f>IFERROR(__xludf.DUMMYFUNCTION("""COMPUTED_VALUE"""),1.0)</f>
        <v>1</v>
      </c>
      <c r="C139" s="1" t="str">
        <f>IFERROR(__xludf.DUMMYFUNCTION("""COMPUTED_VALUE"""),"ค21101")</f>
        <v>ค21101</v>
      </c>
      <c r="D139" s="1" t="str">
        <f>IFERROR(__xludf.DUMMYFUNCTION("""COMPUTED_VALUE"""),"คณิตศาสตร์ 1")</f>
        <v>คณิตศาสตร์ 1</v>
      </c>
      <c r="E139" s="1">
        <f>IFERROR(__xludf.DUMMYFUNCTION("""COMPUTED_VALUE"""),1.5)</f>
        <v>1.5</v>
      </c>
      <c r="F139" s="1">
        <f>IFERROR(__xludf.DUMMYFUNCTION("""COMPUTED_VALUE"""),2569.0)</f>
        <v>2569</v>
      </c>
      <c r="G139" s="1">
        <f>IFERROR(__xludf.DUMMYFUNCTION("""COMPUTED_VALUE"""),1.0)</f>
        <v>1</v>
      </c>
      <c r="H139" s="1">
        <f>IFERROR(__xludf.DUMMYFUNCTION("""COMPUTED_VALUE"""),236.0)</f>
        <v>236</v>
      </c>
      <c r="I139" s="1" t="str">
        <f>IFERROR(__xludf.DUMMYFUNCTION("""COMPUTED_VALUE"""),"นางสาว")</f>
        <v>นางสาว</v>
      </c>
      <c r="J139" s="1" t="str">
        <f>IFERROR(__xludf.DUMMYFUNCTION("""COMPUTED_VALUE"""),"รัศมี")</f>
        <v>รัศมี</v>
      </c>
      <c r="K139" s="1" t="str">
        <f>IFERROR(__xludf.DUMMYFUNCTION("""COMPUTED_VALUE"""),"เฮงอรุณ")</f>
        <v>เฮงอรุณ</v>
      </c>
      <c r="L139" s="1" t="str">
        <f>IFERROR(__xludf.DUMMYFUNCTION("""COMPUTED_VALUE"""),"ม.1")</f>
        <v>ม.1</v>
      </c>
      <c r="M139" s="1" t="str">
        <f>IFERROR(__xludf.DUMMYFUNCTION("""COMPUTED_VALUE"""),"คณิตศาสตร์")</f>
        <v>คณิตศาสตร์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>
        <f>IFERROR(__xludf.DUMMYFUNCTION("""COMPUTED_VALUE"""),5.0)</f>
        <v>5</v>
      </c>
      <c r="B140" s="1">
        <f>IFERROR(__xludf.DUMMYFUNCTION("""COMPUTED_VALUE"""),1.0)</f>
        <v>1</v>
      </c>
      <c r="C140" s="1" t="str">
        <f>IFERROR(__xludf.DUMMYFUNCTION("""COMPUTED_VALUE"""),"ค21101")</f>
        <v>ค21101</v>
      </c>
      <c r="D140" s="1" t="str">
        <f>IFERROR(__xludf.DUMMYFUNCTION("""COMPUTED_VALUE"""),"คณิตศาสตร์ 1")</f>
        <v>คณิตศาสตร์ 1</v>
      </c>
      <c r="E140" s="1">
        <f>IFERROR(__xludf.DUMMYFUNCTION("""COMPUTED_VALUE"""),1.5)</f>
        <v>1.5</v>
      </c>
      <c r="F140" s="1">
        <f>IFERROR(__xludf.DUMMYFUNCTION("""COMPUTED_VALUE"""),2569.0)</f>
        <v>2569</v>
      </c>
      <c r="G140" s="1">
        <f>IFERROR(__xludf.DUMMYFUNCTION("""COMPUTED_VALUE"""),1.0)</f>
        <v>1</v>
      </c>
      <c r="H140" s="1">
        <f>IFERROR(__xludf.DUMMYFUNCTION("""COMPUTED_VALUE"""),236.0)</f>
        <v>236</v>
      </c>
      <c r="I140" s="1" t="str">
        <f>IFERROR(__xludf.DUMMYFUNCTION("""COMPUTED_VALUE"""),"นางสาว")</f>
        <v>นางสาว</v>
      </c>
      <c r="J140" s="1" t="str">
        <f>IFERROR(__xludf.DUMMYFUNCTION("""COMPUTED_VALUE"""),"รัศมี")</f>
        <v>รัศมี</v>
      </c>
      <c r="K140" s="1" t="str">
        <f>IFERROR(__xludf.DUMMYFUNCTION("""COMPUTED_VALUE"""),"เฮงอรุณ")</f>
        <v>เฮงอรุณ</v>
      </c>
      <c r="L140" s="1" t="str">
        <f>IFERROR(__xludf.DUMMYFUNCTION("""COMPUTED_VALUE"""),"ม.1")</f>
        <v>ม.1</v>
      </c>
      <c r="M140" s="1" t="str">
        <f>IFERROR(__xludf.DUMMYFUNCTION("""COMPUTED_VALUE"""),"คณิตศาสตร์")</f>
        <v>คณิตศาสตร์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>
        <f>IFERROR(__xludf.DUMMYFUNCTION("""COMPUTED_VALUE"""),7.0)</f>
        <v>7</v>
      </c>
      <c r="B141" s="1">
        <f>IFERROR(__xludf.DUMMYFUNCTION("""COMPUTED_VALUE"""),1.0)</f>
        <v>1</v>
      </c>
      <c r="C141" s="1" t="str">
        <f>IFERROR(__xludf.DUMMYFUNCTION("""COMPUTED_VALUE"""),"ค21101")</f>
        <v>ค21101</v>
      </c>
      <c r="D141" s="1" t="str">
        <f>IFERROR(__xludf.DUMMYFUNCTION("""COMPUTED_VALUE"""),"คณิตศาสตร์ 1")</f>
        <v>คณิตศาสตร์ 1</v>
      </c>
      <c r="E141" s="1">
        <f>IFERROR(__xludf.DUMMYFUNCTION("""COMPUTED_VALUE"""),1.5)</f>
        <v>1.5</v>
      </c>
      <c r="F141" s="1">
        <f>IFERROR(__xludf.DUMMYFUNCTION("""COMPUTED_VALUE"""),2569.0)</f>
        <v>2569</v>
      </c>
      <c r="G141" s="1">
        <f>IFERROR(__xludf.DUMMYFUNCTION("""COMPUTED_VALUE"""),1.0)</f>
        <v>1</v>
      </c>
      <c r="H141" s="1">
        <f>IFERROR(__xludf.DUMMYFUNCTION("""COMPUTED_VALUE"""),236.0)</f>
        <v>236</v>
      </c>
      <c r="I141" s="1" t="str">
        <f>IFERROR(__xludf.DUMMYFUNCTION("""COMPUTED_VALUE"""),"นางสาว")</f>
        <v>นางสาว</v>
      </c>
      <c r="J141" s="1" t="str">
        <f>IFERROR(__xludf.DUMMYFUNCTION("""COMPUTED_VALUE"""),"รัศมี")</f>
        <v>รัศมี</v>
      </c>
      <c r="K141" s="1" t="str">
        <f>IFERROR(__xludf.DUMMYFUNCTION("""COMPUTED_VALUE"""),"เฮงอรุณ")</f>
        <v>เฮงอรุณ</v>
      </c>
      <c r="L141" s="1" t="str">
        <f>IFERROR(__xludf.DUMMYFUNCTION("""COMPUTED_VALUE"""),"ม.1")</f>
        <v>ม.1</v>
      </c>
      <c r="M141" s="1" t="str">
        <f>IFERROR(__xludf.DUMMYFUNCTION("""COMPUTED_VALUE"""),"คณิตศาสตร์")</f>
        <v>คณิตศาสตร์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>
        <f>IFERROR(__xludf.DUMMYFUNCTION("""COMPUTED_VALUE"""),1.0)</f>
        <v>1</v>
      </c>
      <c r="B142" s="1">
        <f>IFERROR(__xludf.DUMMYFUNCTION("""COMPUTED_VALUE"""),1.0)</f>
        <v>1</v>
      </c>
      <c r="C142" s="1" t="str">
        <f>IFERROR(__xludf.DUMMYFUNCTION("""COMPUTED_VALUE"""),"ค21201")</f>
        <v>ค21201</v>
      </c>
      <c r="D142" s="1" t="str">
        <f>IFERROR(__xludf.DUMMYFUNCTION("""COMPUTED_VALUE"""),"คณิตศาสตร์เพิ่มเติม 1")</f>
        <v>คณิตศาสตร์เพิ่มเติม 1</v>
      </c>
      <c r="E142" s="1">
        <f>IFERROR(__xludf.DUMMYFUNCTION("""COMPUTED_VALUE"""),1.0)</f>
        <v>1</v>
      </c>
      <c r="F142" s="1">
        <f>IFERROR(__xludf.DUMMYFUNCTION("""COMPUTED_VALUE"""),2569.0)</f>
        <v>2569</v>
      </c>
      <c r="G142" s="1">
        <f>IFERROR(__xludf.DUMMYFUNCTION("""COMPUTED_VALUE"""),1.0)</f>
        <v>1</v>
      </c>
      <c r="H142" s="1">
        <f>IFERROR(__xludf.DUMMYFUNCTION("""COMPUTED_VALUE"""),236.0)</f>
        <v>236</v>
      </c>
      <c r="I142" s="1" t="str">
        <f>IFERROR(__xludf.DUMMYFUNCTION("""COMPUTED_VALUE"""),"นางสาว")</f>
        <v>นางสาว</v>
      </c>
      <c r="J142" s="1" t="str">
        <f>IFERROR(__xludf.DUMMYFUNCTION("""COMPUTED_VALUE"""),"รัศมี")</f>
        <v>รัศมี</v>
      </c>
      <c r="K142" s="1" t="str">
        <f>IFERROR(__xludf.DUMMYFUNCTION("""COMPUTED_VALUE"""),"เฮงอรุณ")</f>
        <v>เฮงอรุณ</v>
      </c>
      <c r="L142" s="1" t="str">
        <f>IFERROR(__xludf.DUMMYFUNCTION("""COMPUTED_VALUE"""),"ม.1")</f>
        <v>ม.1</v>
      </c>
      <c r="M142" s="1" t="str">
        <f>IFERROR(__xludf.DUMMYFUNCTION("""COMPUTED_VALUE"""),"คณิตศาสตร์")</f>
        <v>คณิตศาสตร์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>
        <f>IFERROR(__xludf.DUMMYFUNCTION("""COMPUTED_VALUE"""),2.0)</f>
        <v>2</v>
      </c>
      <c r="B143" s="1">
        <f>IFERROR(__xludf.DUMMYFUNCTION("""COMPUTED_VALUE"""),1.0)</f>
        <v>1</v>
      </c>
      <c r="C143" s="1" t="str">
        <f>IFERROR(__xludf.DUMMYFUNCTION("""COMPUTED_VALUE"""),"ค21201")</f>
        <v>ค21201</v>
      </c>
      <c r="D143" s="1" t="str">
        <f>IFERROR(__xludf.DUMMYFUNCTION("""COMPUTED_VALUE"""),"คณิตศาสตร์เพิ่มเติม 1")</f>
        <v>คณิตศาสตร์เพิ่มเติม 1</v>
      </c>
      <c r="E143" s="1">
        <f>IFERROR(__xludf.DUMMYFUNCTION("""COMPUTED_VALUE"""),1.0)</f>
        <v>1</v>
      </c>
      <c r="F143" s="1">
        <f>IFERROR(__xludf.DUMMYFUNCTION("""COMPUTED_VALUE"""),2569.0)</f>
        <v>2569</v>
      </c>
      <c r="G143" s="1">
        <f>IFERROR(__xludf.DUMMYFUNCTION("""COMPUTED_VALUE"""),1.0)</f>
        <v>1</v>
      </c>
      <c r="H143" s="1">
        <f>IFERROR(__xludf.DUMMYFUNCTION("""COMPUTED_VALUE"""),236.0)</f>
        <v>236</v>
      </c>
      <c r="I143" s="1" t="str">
        <f>IFERROR(__xludf.DUMMYFUNCTION("""COMPUTED_VALUE"""),"นางสาว")</f>
        <v>นางสาว</v>
      </c>
      <c r="J143" s="1" t="str">
        <f>IFERROR(__xludf.DUMMYFUNCTION("""COMPUTED_VALUE"""),"รัศมี")</f>
        <v>รัศมี</v>
      </c>
      <c r="K143" s="1" t="str">
        <f>IFERROR(__xludf.DUMMYFUNCTION("""COMPUTED_VALUE"""),"เฮงอรุณ")</f>
        <v>เฮงอรุณ</v>
      </c>
      <c r="L143" s="1" t="str">
        <f>IFERROR(__xludf.DUMMYFUNCTION("""COMPUTED_VALUE"""),"ม.1")</f>
        <v>ม.1</v>
      </c>
      <c r="M143" s="1" t="str">
        <f>IFERROR(__xludf.DUMMYFUNCTION("""COMPUTED_VALUE"""),"คณิตศาสตร์")</f>
        <v>คณิตศาสตร์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>
        <f>IFERROR(__xludf.DUMMYFUNCTION("""COMPUTED_VALUE"""),2.0)</f>
        <v>2</v>
      </c>
      <c r="B144" s="1">
        <f>IFERROR(__xludf.DUMMYFUNCTION("""COMPUTED_VALUE"""),1.0)</f>
        <v>1</v>
      </c>
      <c r="C144" s="1" t="str">
        <f>IFERROR(__xludf.DUMMYFUNCTION("""COMPUTED_VALUE"""),"ส20225")</f>
        <v>ส20225</v>
      </c>
      <c r="D144" s="1" t="str">
        <f>IFERROR(__xludf.DUMMYFUNCTION("""COMPUTED_VALUE"""),"การป้องกันการทุจริต 3")</f>
        <v>การป้องกันการทุจริต 3</v>
      </c>
      <c r="E144" s="1">
        <f>IFERROR(__xludf.DUMMYFUNCTION("""COMPUTED_VALUE"""),0.5)</f>
        <v>0.5</v>
      </c>
      <c r="F144" s="1">
        <f>IFERROR(__xludf.DUMMYFUNCTION("""COMPUTED_VALUE"""),2569.0)</f>
        <v>2569</v>
      </c>
      <c r="G144" s="1">
        <f>IFERROR(__xludf.DUMMYFUNCTION("""COMPUTED_VALUE"""),1.0)</f>
        <v>1</v>
      </c>
      <c r="H144" s="1">
        <f>IFERROR(__xludf.DUMMYFUNCTION("""COMPUTED_VALUE"""),236.0)</f>
        <v>236</v>
      </c>
      <c r="I144" s="1" t="str">
        <f>IFERROR(__xludf.DUMMYFUNCTION("""COMPUTED_VALUE"""),"นางสาว")</f>
        <v>นางสาว</v>
      </c>
      <c r="J144" s="1" t="str">
        <f>IFERROR(__xludf.DUMMYFUNCTION("""COMPUTED_VALUE"""),"รัศมี")</f>
        <v>รัศมี</v>
      </c>
      <c r="K144" s="1" t="str">
        <f>IFERROR(__xludf.DUMMYFUNCTION("""COMPUTED_VALUE"""),"เฮงอรุณ")</f>
        <v>เฮงอรุณ</v>
      </c>
      <c r="L144" s="1" t="str">
        <f>IFERROR(__xludf.DUMMYFUNCTION("""COMPUTED_VALUE"""),"ม.2")</f>
        <v>ม.2</v>
      </c>
      <c r="M144" s="1" t="str">
        <f>IFERROR(__xludf.DUMMYFUNCTION("""COMPUTED_VALUE"""),"คณิตศาสตร์")</f>
        <v>คณิตศาสตร์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>
        <f>IFERROR(__xludf.DUMMYFUNCTION("""COMPUTED_VALUE"""),2.0)</f>
        <v>2</v>
      </c>
      <c r="B145" s="1">
        <f>IFERROR(__xludf.DUMMYFUNCTION("""COMPUTED_VALUE"""),1.0)</f>
        <v>1</v>
      </c>
      <c r="C145" s="1" t="str">
        <f>IFERROR(__xludf.DUMMYFUNCTION("""COMPUTED_VALUE"""),"ค31101")</f>
        <v>ค31101</v>
      </c>
      <c r="D145" s="1" t="str">
        <f>IFERROR(__xludf.DUMMYFUNCTION("""COMPUTED_VALUE"""),"คณิตศาสตร์ 1")</f>
        <v>คณิตศาสตร์ 1</v>
      </c>
      <c r="E145" s="1">
        <f>IFERROR(__xludf.DUMMYFUNCTION("""COMPUTED_VALUE"""),1.0)</f>
        <v>1</v>
      </c>
      <c r="F145" s="1">
        <f>IFERROR(__xludf.DUMMYFUNCTION("""COMPUTED_VALUE"""),2569.0)</f>
        <v>2569</v>
      </c>
      <c r="G145" s="1">
        <f>IFERROR(__xludf.DUMMYFUNCTION("""COMPUTED_VALUE"""),1.0)</f>
        <v>1</v>
      </c>
      <c r="H145" s="1">
        <f>IFERROR(__xludf.DUMMYFUNCTION("""COMPUTED_VALUE"""),239.0)</f>
        <v>239</v>
      </c>
      <c r="I145" s="1" t="str">
        <f>IFERROR(__xludf.DUMMYFUNCTION("""COMPUTED_VALUE"""),"นาย")</f>
        <v>นาย</v>
      </c>
      <c r="J145" s="1" t="str">
        <f>IFERROR(__xludf.DUMMYFUNCTION("""COMPUTED_VALUE"""),"ดิษรินทร์")</f>
        <v>ดิษรินทร์</v>
      </c>
      <c r="K145" s="1" t="str">
        <f>IFERROR(__xludf.DUMMYFUNCTION("""COMPUTED_VALUE"""),"ปานบัณฑิตย์")</f>
        <v>ปานบัณฑิตย์</v>
      </c>
      <c r="L145" s="1" t="str">
        <f>IFERROR(__xludf.DUMMYFUNCTION("""COMPUTED_VALUE"""),"ม.4")</f>
        <v>ม.4</v>
      </c>
      <c r="M145" s="1" t="str">
        <f>IFERROR(__xludf.DUMMYFUNCTION("""COMPUTED_VALUE"""),"คณิตศาสตร์")</f>
        <v>คณิตศาสตร์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>
        <f>IFERROR(__xludf.DUMMYFUNCTION("""COMPUTED_VALUE"""),2.0)</f>
        <v>2</v>
      </c>
      <c r="B146" s="1">
        <f>IFERROR(__xludf.DUMMYFUNCTION("""COMPUTED_VALUE"""),1.0)</f>
        <v>1</v>
      </c>
      <c r="C146" s="1" t="str">
        <f>IFERROR(__xludf.DUMMYFUNCTION("""COMPUTED_VALUE"""),"ค31201")</f>
        <v>ค31201</v>
      </c>
      <c r="D146" s="1" t="str">
        <f>IFERROR(__xludf.DUMMYFUNCTION("""COMPUTED_VALUE"""),"คณิตศาสตร์เพิ่มเติม 1")</f>
        <v>คณิตศาสตร์เพิ่มเติม 1</v>
      </c>
      <c r="E146" s="1">
        <f>IFERROR(__xludf.DUMMYFUNCTION("""COMPUTED_VALUE"""),2.0)</f>
        <v>2</v>
      </c>
      <c r="F146" s="1">
        <f>IFERROR(__xludf.DUMMYFUNCTION("""COMPUTED_VALUE"""),2569.0)</f>
        <v>2569</v>
      </c>
      <c r="G146" s="1">
        <f>IFERROR(__xludf.DUMMYFUNCTION("""COMPUTED_VALUE"""),1.0)</f>
        <v>1</v>
      </c>
      <c r="H146" s="1">
        <f>IFERROR(__xludf.DUMMYFUNCTION("""COMPUTED_VALUE"""),239.0)</f>
        <v>239</v>
      </c>
      <c r="I146" s="1" t="str">
        <f>IFERROR(__xludf.DUMMYFUNCTION("""COMPUTED_VALUE"""),"นาย")</f>
        <v>นาย</v>
      </c>
      <c r="J146" s="1" t="str">
        <f>IFERROR(__xludf.DUMMYFUNCTION("""COMPUTED_VALUE"""),"ดิษรินทร์")</f>
        <v>ดิษรินทร์</v>
      </c>
      <c r="K146" s="1" t="str">
        <f>IFERROR(__xludf.DUMMYFUNCTION("""COMPUTED_VALUE"""),"ปานบัณฑิตย์")</f>
        <v>ปานบัณฑิตย์</v>
      </c>
      <c r="L146" s="1" t="str">
        <f>IFERROR(__xludf.DUMMYFUNCTION("""COMPUTED_VALUE"""),"ม.4")</f>
        <v>ม.4</v>
      </c>
      <c r="M146" s="1" t="str">
        <f>IFERROR(__xludf.DUMMYFUNCTION("""COMPUTED_VALUE"""),"คณิตศาสตร์")</f>
        <v>คณิตศาสตร์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>
        <f>IFERROR(__xludf.DUMMYFUNCTION("""COMPUTED_VALUE"""),3.0)</f>
        <v>3</v>
      </c>
      <c r="B147" s="1">
        <f>IFERROR(__xludf.DUMMYFUNCTION("""COMPUTED_VALUE"""),1.0)</f>
        <v>1</v>
      </c>
      <c r="C147" s="1" t="str">
        <f>IFERROR(__xludf.DUMMYFUNCTION("""COMPUTED_VALUE"""),"ค33101")</f>
        <v>ค33101</v>
      </c>
      <c r="D147" s="1" t="str">
        <f>IFERROR(__xludf.DUMMYFUNCTION("""COMPUTED_VALUE"""),"คณิตศาสตร์ 5")</f>
        <v>คณิตศาสตร์ 5</v>
      </c>
      <c r="E147" s="1">
        <f>IFERROR(__xludf.DUMMYFUNCTION("""COMPUTED_VALUE"""),1.0)</f>
        <v>1</v>
      </c>
      <c r="F147" s="1">
        <f>IFERROR(__xludf.DUMMYFUNCTION("""COMPUTED_VALUE"""),2569.0)</f>
        <v>2569</v>
      </c>
      <c r="G147" s="1">
        <f>IFERROR(__xludf.DUMMYFUNCTION("""COMPUTED_VALUE"""),1.0)</f>
        <v>1</v>
      </c>
      <c r="H147" s="1">
        <f>IFERROR(__xludf.DUMMYFUNCTION("""COMPUTED_VALUE"""),239.0)</f>
        <v>239</v>
      </c>
      <c r="I147" s="1" t="str">
        <f>IFERROR(__xludf.DUMMYFUNCTION("""COMPUTED_VALUE"""),"นาย")</f>
        <v>นาย</v>
      </c>
      <c r="J147" s="1" t="str">
        <f>IFERROR(__xludf.DUMMYFUNCTION("""COMPUTED_VALUE"""),"ดิษรินทร์")</f>
        <v>ดิษรินทร์</v>
      </c>
      <c r="K147" s="1" t="str">
        <f>IFERROR(__xludf.DUMMYFUNCTION("""COMPUTED_VALUE"""),"ปานบัณฑิตย์")</f>
        <v>ปานบัณฑิตย์</v>
      </c>
      <c r="L147" s="1" t="str">
        <f>IFERROR(__xludf.DUMMYFUNCTION("""COMPUTED_VALUE"""),"ม.6")</f>
        <v>ม.6</v>
      </c>
      <c r="M147" s="1" t="str">
        <f>IFERROR(__xludf.DUMMYFUNCTION("""COMPUTED_VALUE"""),"คณิตศาสตร์")</f>
        <v>คณิตศาสตร์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>
        <f>IFERROR(__xludf.DUMMYFUNCTION("""COMPUTED_VALUE"""),7.0)</f>
        <v>7</v>
      </c>
      <c r="B148" s="1">
        <f>IFERROR(__xludf.DUMMYFUNCTION("""COMPUTED_VALUE"""),1.0)</f>
        <v>1</v>
      </c>
      <c r="C148" s="1" t="str">
        <f>IFERROR(__xludf.DUMMYFUNCTION("""COMPUTED_VALUE"""),"ค33101")</f>
        <v>ค33101</v>
      </c>
      <c r="D148" s="1" t="str">
        <f>IFERROR(__xludf.DUMMYFUNCTION("""COMPUTED_VALUE"""),"คณิตศาสตร์ 5")</f>
        <v>คณิตศาสตร์ 5</v>
      </c>
      <c r="E148" s="1">
        <f>IFERROR(__xludf.DUMMYFUNCTION("""COMPUTED_VALUE"""),1.0)</f>
        <v>1</v>
      </c>
      <c r="F148" s="1">
        <f>IFERROR(__xludf.DUMMYFUNCTION("""COMPUTED_VALUE"""),2569.0)</f>
        <v>2569</v>
      </c>
      <c r="G148" s="1">
        <f>IFERROR(__xludf.DUMMYFUNCTION("""COMPUTED_VALUE"""),1.0)</f>
        <v>1</v>
      </c>
      <c r="H148" s="1">
        <f>IFERROR(__xludf.DUMMYFUNCTION("""COMPUTED_VALUE"""),239.0)</f>
        <v>239</v>
      </c>
      <c r="I148" s="1" t="str">
        <f>IFERROR(__xludf.DUMMYFUNCTION("""COMPUTED_VALUE"""),"นาย")</f>
        <v>นาย</v>
      </c>
      <c r="J148" s="1" t="str">
        <f>IFERROR(__xludf.DUMMYFUNCTION("""COMPUTED_VALUE"""),"ดิษรินทร์")</f>
        <v>ดิษรินทร์</v>
      </c>
      <c r="K148" s="1" t="str">
        <f>IFERROR(__xludf.DUMMYFUNCTION("""COMPUTED_VALUE"""),"ปานบัณฑิตย์")</f>
        <v>ปานบัณฑิตย์</v>
      </c>
      <c r="L148" s="1" t="str">
        <f>IFERROR(__xludf.DUMMYFUNCTION("""COMPUTED_VALUE"""),"ม.6")</f>
        <v>ม.6</v>
      </c>
      <c r="M148" s="1" t="str">
        <f>IFERROR(__xludf.DUMMYFUNCTION("""COMPUTED_VALUE"""),"คณิตศาสตร์")</f>
        <v>คณิตศาสตร์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>
        <f>IFERROR(__xludf.DUMMYFUNCTION("""COMPUTED_VALUE"""),9.0)</f>
        <v>9</v>
      </c>
      <c r="B149" s="1">
        <f>IFERROR(__xludf.DUMMYFUNCTION("""COMPUTED_VALUE"""),1.0)</f>
        <v>1</v>
      </c>
      <c r="C149" s="1" t="str">
        <f>IFERROR(__xludf.DUMMYFUNCTION("""COMPUTED_VALUE"""),"ค33101")</f>
        <v>ค33101</v>
      </c>
      <c r="D149" s="1" t="str">
        <f>IFERROR(__xludf.DUMMYFUNCTION("""COMPUTED_VALUE"""),"คณิตศาสตร์ 5")</f>
        <v>คณิตศาสตร์ 5</v>
      </c>
      <c r="E149" s="1">
        <f>IFERROR(__xludf.DUMMYFUNCTION("""COMPUTED_VALUE"""),1.0)</f>
        <v>1</v>
      </c>
      <c r="F149" s="1">
        <f>IFERROR(__xludf.DUMMYFUNCTION("""COMPUTED_VALUE"""),2569.0)</f>
        <v>2569</v>
      </c>
      <c r="G149" s="1">
        <f>IFERROR(__xludf.DUMMYFUNCTION("""COMPUTED_VALUE"""),1.0)</f>
        <v>1</v>
      </c>
      <c r="H149" s="1">
        <f>IFERROR(__xludf.DUMMYFUNCTION("""COMPUTED_VALUE"""),239.0)</f>
        <v>239</v>
      </c>
      <c r="I149" s="1" t="str">
        <f>IFERROR(__xludf.DUMMYFUNCTION("""COMPUTED_VALUE"""),"นาย")</f>
        <v>นาย</v>
      </c>
      <c r="J149" s="1" t="str">
        <f>IFERROR(__xludf.DUMMYFUNCTION("""COMPUTED_VALUE"""),"ดิษรินทร์")</f>
        <v>ดิษรินทร์</v>
      </c>
      <c r="K149" s="1" t="str">
        <f>IFERROR(__xludf.DUMMYFUNCTION("""COMPUTED_VALUE"""),"ปานบัณฑิตย์")</f>
        <v>ปานบัณฑิตย์</v>
      </c>
      <c r="L149" s="1" t="str">
        <f>IFERROR(__xludf.DUMMYFUNCTION("""COMPUTED_VALUE"""),"ม.6")</f>
        <v>ม.6</v>
      </c>
      <c r="M149" s="1" t="str">
        <f>IFERROR(__xludf.DUMMYFUNCTION("""COMPUTED_VALUE"""),"คณิตศาสตร์")</f>
        <v>คณิตศาสตร์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>
        <f>IFERROR(__xludf.DUMMYFUNCTION("""COMPUTED_VALUE"""),3.0)</f>
        <v>3</v>
      </c>
      <c r="B150" s="1">
        <f>IFERROR(__xludf.DUMMYFUNCTION("""COMPUTED_VALUE"""),1.0)</f>
        <v>1</v>
      </c>
      <c r="C150" s="1" t="str">
        <f>IFERROR(__xludf.DUMMYFUNCTION("""COMPUTED_VALUE"""),"ค33201")</f>
        <v>ค33201</v>
      </c>
      <c r="D150" s="1" t="str">
        <f>IFERROR(__xludf.DUMMYFUNCTION("""COMPUTED_VALUE"""),"คณิตศาสตร์เพิ่มเติม 5")</f>
        <v>คณิตศาสตร์เพิ่มเติม 5</v>
      </c>
      <c r="E150" s="1">
        <f>IFERROR(__xludf.DUMMYFUNCTION("""COMPUTED_VALUE"""),1.5)</f>
        <v>1.5</v>
      </c>
      <c r="F150" s="1">
        <f>IFERROR(__xludf.DUMMYFUNCTION("""COMPUTED_VALUE"""),2569.0)</f>
        <v>2569</v>
      </c>
      <c r="G150" s="1">
        <f>IFERROR(__xludf.DUMMYFUNCTION("""COMPUTED_VALUE"""),1.0)</f>
        <v>1</v>
      </c>
      <c r="H150" s="1">
        <f>IFERROR(__xludf.DUMMYFUNCTION("""COMPUTED_VALUE"""),239.0)</f>
        <v>239</v>
      </c>
      <c r="I150" s="1" t="str">
        <f>IFERROR(__xludf.DUMMYFUNCTION("""COMPUTED_VALUE"""),"นาย")</f>
        <v>นาย</v>
      </c>
      <c r="J150" s="1" t="str">
        <f>IFERROR(__xludf.DUMMYFUNCTION("""COMPUTED_VALUE"""),"ดิษรินทร์")</f>
        <v>ดิษรินทร์</v>
      </c>
      <c r="K150" s="1" t="str">
        <f>IFERROR(__xludf.DUMMYFUNCTION("""COMPUTED_VALUE"""),"ปานบัณฑิตย์")</f>
        <v>ปานบัณฑิตย์</v>
      </c>
      <c r="L150" s="1" t="str">
        <f>IFERROR(__xludf.DUMMYFUNCTION("""COMPUTED_VALUE"""),"ม.6")</f>
        <v>ม.6</v>
      </c>
      <c r="M150" s="1" t="str">
        <f>IFERROR(__xludf.DUMMYFUNCTION("""COMPUTED_VALUE"""),"คณิตศาสตร์")</f>
        <v>คณิตศาสตร์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>
        <f>IFERROR(__xludf.DUMMYFUNCTION("""COMPUTED_VALUE"""),6.0)</f>
        <v>6</v>
      </c>
      <c r="B151" s="1">
        <f>IFERROR(__xludf.DUMMYFUNCTION("""COMPUTED_VALUE"""),1.0)</f>
        <v>1</v>
      </c>
      <c r="C151" s="1" t="str">
        <f>IFERROR(__xludf.DUMMYFUNCTION("""COMPUTED_VALUE"""),"ส30251")</f>
        <v>ส30251</v>
      </c>
      <c r="D151" s="1" t="str">
        <f>IFERROR(__xludf.DUMMYFUNCTION("""COMPUTED_VALUE"""),"การป้องกันการทุจริต 5")</f>
        <v>การป้องกันการทุจริต 5</v>
      </c>
      <c r="E151" s="1">
        <f>IFERROR(__xludf.DUMMYFUNCTION("""COMPUTED_VALUE"""),0.5)</f>
        <v>0.5</v>
      </c>
      <c r="F151" s="1">
        <f>IFERROR(__xludf.DUMMYFUNCTION("""COMPUTED_VALUE"""),2569.0)</f>
        <v>2569</v>
      </c>
      <c r="G151" s="1">
        <f>IFERROR(__xludf.DUMMYFUNCTION("""COMPUTED_VALUE"""),1.0)</f>
        <v>1</v>
      </c>
      <c r="H151" s="1">
        <f>IFERROR(__xludf.DUMMYFUNCTION("""COMPUTED_VALUE"""),239.0)</f>
        <v>239</v>
      </c>
      <c r="I151" s="1" t="str">
        <f>IFERROR(__xludf.DUMMYFUNCTION("""COMPUTED_VALUE"""),"นาย")</f>
        <v>นาย</v>
      </c>
      <c r="J151" s="1" t="str">
        <f>IFERROR(__xludf.DUMMYFUNCTION("""COMPUTED_VALUE"""),"ดิษรินทร์")</f>
        <v>ดิษรินทร์</v>
      </c>
      <c r="K151" s="1" t="str">
        <f>IFERROR(__xludf.DUMMYFUNCTION("""COMPUTED_VALUE"""),"ปานบัณฑิตย์")</f>
        <v>ปานบัณฑิตย์</v>
      </c>
      <c r="L151" s="1" t="str">
        <f>IFERROR(__xludf.DUMMYFUNCTION("""COMPUTED_VALUE"""),"ม.6")</f>
        <v>ม.6</v>
      </c>
      <c r="M151" s="1" t="str">
        <f>IFERROR(__xludf.DUMMYFUNCTION("""COMPUTED_VALUE"""),"คณิตศาสตร์")</f>
        <v>คณิตศาสตร์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>
        <f>IFERROR(__xludf.DUMMYFUNCTION("""COMPUTED_VALUE"""),1.0)</f>
        <v>1</v>
      </c>
      <c r="B152" s="1">
        <f>IFERROR(__xludf.DUMMYFUNCTION("""COMPUTED_VALUE"""),1.0)</f>
        <v>1</v>
      </c>
      <c r="C152" s="1" t="str">
        <f>IFERROR(__xludf.DUMMYFUNCTION("""COMPUTED_VALUE"""),"ค22101")</f>
        <v>ค22101</v>
      </c>
      <c r="D152" s="1" t="str">
        <f>IFERROR(__xludf.DUMMYFUNCTION("""COMPUTED_VALUE"""),"คณิตศาสตร์ 3")</f>
        <v>คณิตศาสตร์ 3</v>
      </c>
      <c r="E152" s="1">
        <f>IFERROR(__xludf.DUMMYFUNCTION("""COMPUTED_VALUE"""),1.5)</f>
        <v>1.5</v>
      </c>
      <c r="F152" s="1">
        <f>IFERROR(__xludf.DUMMYFUNCTION("""COMPUTED_VALUE"""),2569.0)</f>
        <v>2569</v>
      </c>
      <c r="G152" s="1">
        <f>IFERROR(__xludf.DUMMYFUNCTION("""COMPUTED_VALUE"""),1.0)</f>
        <v>1</v>
      </c>
      <c r="H152" s="1">
        <f>IFERROR(__xludf.DUMMYFUNCTION("""COMPUTED_VALUE"""),240.0)</f>
        <v>240</v>
      </c>
      <c r="I152" s="1" t="str">
        <f>IFERROR(__xludf.DUMMYFUNCTION("""COMPUTED_VALUE"""),"นางสาว")</f>
        <v>นางสาว</v>
      </c>
      <c r="J152" s="1" t="str">
        <f>IFERROR(__xludf.DUMMYFUNCTION("""COMPUTED_VALUE"""),"ฤกษ์วดี")</f>
        <v>ฤกษ์วดี</v>
      </c>
      <c r="K152" s="1" t="str">
        <f>IFERROR(__xludf.DUMMYFUNCTION("""COMPUTED_VALUE"""),"อินทร์ตาล")</f>
        <v>อินทร์ตาล</v>
      </c>
      <c r="L152" s="1" t="str">
        <f>IFERROR(__xludf.DUMMYFUNCTION("""COMPUTED_VALUE"""),"ม.2")</f>
        <v>ม.2</v>
      </c>
      <c r="M152" s="1" t="str">
        <f>IFERROR(__xludf.DUMMYFUNCTION("""COMPUTED_VALUE"""),"คณิตศาสตร์")</f>
        <v>คณิตศาสตร์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>
        <f>IFERROR(__xludf.DUMMYFUNCTION("""COMPUTED_VALUE"""),3.0)</f>
        <v>3</v>
      </c>
      <c r="B153" s="1">
        <f>IFERROR(__xludf.DUMMYFUNCTION("""COMPUTED_VALUE"""),1.0)</f>
        <v>1</v>
      </c>
      <c r="C153" s="1" t="str">
        <f>IFERROR(__xludf.DUMMYFUNCTION("""COMPUTED_VALUE"""),"ค22101")</f>
        <v>ค22101</v>
      </c>
      <c r="D153" s="1" t="str">
        <f>IFERROR(__xludf.DUMMYFUNCTION("""COMPUTED_VALUE"""),"คณิตศาสตร์ 3")</f>
        <v>คณิตศาสตร์ 3</v>
      </c>
      <c r="E153" s="1">
        <f>IFERROR(__xludf.DUMMYFUNCTION("""COMPUTED_VALUE"""),1.5)</f>
        <v>1.5</v>
      </c>
      <c r="F153" s="1">
        <f>IFERROR(__xludf.DUMMYFUNCTION("""COMPUTED_VALUE"""),2569.0)</f>
        <v>2569</v>
      </c>
      <c r="G153" s="1">
        <f>IFERROR(__xludf.DUMMYFUNCTION("""COMPUTED_VALUE"""),1.0)</f>
        <v>1</v>
      </c>
      <c r="H153" s="1">
        <f>IFERROR(__xludf.DUMMYFUNCTION("""COMPUTED_VALUE"""),240.0)</f>
        <v>240</v>
      </c>
      <c r="I153" s="1" t="str">
        <f>IFERROR(__xludf.DUMMYFUNCTION("""COMPUTED_VALUE"""),"นางสาว")</f>
        <v>นางสาว</v>
      </c>
      <c r="J153" s="1" t="str">
        <f>IFERROR(__xludf.DUMMYFUNCTION("""COMPUTED_VALUE"""),"ฤกษ์วดี")</f>
        <v>ฤกษ์วดี</v>
      </c>
      <c r="K153" s="1" t="str">
        <f>IFERROR(__xludf.DUMMYFUNCTION("""COMPUTED_VALUE"""),"อินทร์ตาล")</f>
        <v>อินทร์ตาล</v>
      </c>
      <c r="L153" s="1" t="str">
        <f>IFERROR(__xludf.DUMMYFUNCTION("""COMPUTED_VALUE"""),"ม.2")</f>
        <v>ม.2</v>
      </c>
      <c r="M153" s="1" t="str">
        <f>IFERROR(__xludf.DUMMYFUNCTION("""COMPUTED_VALUE"""),"คณิตศาสตร์")</f>
        <v>คณิตศาสตร์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>
        <f>IFERROR(__xludf.DUMMYFUNCTION("""COMPUTED_VALUE"""),5.0)</f>
        <v>5</v>
      </c>
      <c r="B154" s="1">
        <f>IFERROR(__xludf.DUMMYFUNCTION("""COMPUTED_VALUE"""),1.0)</f>
        <v>1</v>
      </c>
      <c r="C154" s="1" t="str">
        <f>IFERROR(__xludf.DUMMYFUNCTION("""COMPUTED_VALUE"""),"ค22101")</f>
        <v>ค22101</v>
      </c>
      <c r="D154" s="1" t="str">
        <f>IFERROR(__xludf.DUMMYFUNCTION("""COMPUTED_VALUE"""),"คณิตศาสตร์ 3")</f>
        <v>คณิตศาสตร์ 3</v>
      </c>
      <c r="E154" s="1">
        <f>IFERROR(__xludf.DUMMYFUNCTION("""COMPUTED_VALUE"""),1.5)</f>
        <v>1.5</v>
      </c>
      <c r="F154" s="1">
        <f>IFERROR(__xludf.DUMMYFUNCTION("""COMPUTED_VALUE"""),2569.0)</f>
        <v>2569</v>
      </c>
      <c r="G154" s="1">
        <f>IFERROR(__xludf.DUMMYFUNCTION("""COMPUTED_VALUE"""),1.0)</f>
        <v>1</v>
      </c>
      <c r="H154" s="1">
        <f>IFERROR(__xludf.DUMMYFUNCTION("""COMPUTED_VALUE"""),240.0)</f>
        <v>240</v>
      </c>
      <c r="I154" s="1" t="str">
        <f>IFERROR(__xludf.DUMMYFUNCTION("""COMPUTED_VALUE"""),"นางสาว")</f>
        <v>นางสาว</v>
      </c>
      <c r="J154" s="1" t="str">
        <f>IFERROR(__xludf.DUMMYFUNCTION("""COMPUTED_VALUE"""),"ฤกษ์วดี")</f>
        <v>ฤกษ์วดี</v>
      </c>
      <c r="K154" s="1" t="str">
        <f>IFERROR(__xludf.DUMMYFUNCTION("""COMPUTED_VALUE"""),"อินทร์ตาล")</f>
        <v>อินทร์ตาล</v>
      </c>
      <c r="L154" s="1" t="str">
        <f>IFERROR(__xludf.DUMMYFUNCTION("""COMPUTED_VALUE"""),"ม.2")</f>
        <v>ม.2</v>
      </c>
      <c r="M154" s="1" t="str">
        <f>IFERROR(__xludf.DUMMYFUNCTION("""COMPUTED_VALUE"""),"คณิตศาสตร์")</f>
        <v>คณิตศาสตร์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>
        <f>IFERROR(__xludf.DUMMYFUNCTION("""COMPUTED_VALUE"""),1.0)</f>
        <v>1</v>
      </c>
      <c r="B155" s="1">
        <f>IFERROR(__xludf.DUMMYFUNCTION("""COMPUTED_VALUE"""),1.0)</f>
        <v>1</v>
      </c>
      <c r="C155" s="1" t="str">
        <f>IFERROR(__xludf.DUMMYFUNCTION("""COMPUTED_VALUE"""),"ค22201")</f>
        <v>ค22201</v>
      </c>
      <c r="D155" s="1" t="str">
        <f>IFERROR(__xludf.DUMMYFUNCTION("""COMPUTED_VALUE"""),"คณิตศาสตร์เพิ่มเติม 3")</f>
        <v>คณิตศาสตร์เพิ่มเติม 3</v>
      </c>
      <c r="E155" s="1">
        <f>IFERROR(__xludf.DUMMYFUNCTION("""COMPUTED_VALUE"""),1.0)</f>
        <v>1</v>
      </c>
      <c r="F155" s="1">
        <f>IFERROR(__xludf.DUMMYFUNCTION("""COMPUTED_VALUE"""),2569.0)</f>
        <v>2569</v>
      </c>
      <c r="G155" s="1">
        <f>IFERROR(__xludf.DUMMYFUNCTION("""COMPUTED_VALUE"""),1.0)</f>
        <v>1</v>
      </c>
      <c r="H155" s="1">
        <f>IFERROR(__xludf.DUMMYFUNCTION("""COMPUTED_VALUE"""),240.0)</f>
        <v>240</v>
      </c>
      <c r="I155" s="1" t="str">
        <f>IFERROR(__xludf.DUMMYFUNCTION("""COMPUTED_VALUE"""),"นางสาว")</f>
        <v>นางสาว</v>
      </c>
      <c r="J155" s="1" t="str">
        <f>IFERROR(__xludf.DUMMYFUNCTION("""COMPUTED_VALUE"""),"ฤกษ์วดี")</f>
        <v>ฤกษ์วดี</v>
      </c>
      <c r="K155" s="1" t="str">
        <f>IFERROR(__xludf.DUMMYFUNCTION("""COMPUTED_VALUE"""),"อินทร์ตาล")</f>
        <v>อินทร์ตาล</v>
      </c>
      <c r="L155" s="1" t="str">
        <f>IFERROR(__xludf.DUMMYFUNCTION("""COMPUTED_VALUE"""),"ม.2")</f>
        <v>ม.2</v>
      </c>
      <c r="M155" s="1" t="str">
        <f>IFERROR(__xludf.DUMMYFUNCTION("""COMPUTED_VALUE"""),"คณิตศาสตร์")</f>
        <v>คณิตศาสตร์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>
        <f>IFERROR(__xludf.DUMMYFUNCTION("""COMPUTED_VALUE"""),2.0)</f>
        <v>2</v>
      </c>
      <c r="B156" s="1">
        <f>IFERROR(__xludf.DUMMYFUNCTION("""COMPUTED_VALUE"""),1.0)</f>
        <v>1</v>
      </c>
      <c r="C156" s="1" t="str">
        <f>IFERROR(__xludf.DUMMYFUNCTION("""COMPUTED_VALUE"""),"ค22201")</f>
        <v>ค22201</v>
      </c>
      <c r="D156" s="1" t="str">
        <f>IFERROR(__xludf.DUMMYFUNCTION("""COMPUTED_VALUE"""),"คณิตศาสตร์เพิ่มเติม 3")</f>
        <v>คณิตศาสตร์เพิ่มเติม 3</v>
      </c>
      <c r="E156" s="1">
        <f>IFERROR(__xludf.DUMMYFUNCTION("""COMPUTED_VALUE"""),1.0)</f>
        <v>1</v>
      </c>
      <c r="F156" s="1">
        <f>IFERROR(__xludf.DUMMYFUNCTION("""COMPUTED_VALUE"""),2569.0)</f>
        <v>2569</v>
      </c>
      <c r="G156" s="1">
        <f>IFERROR(__xludf.DUMMYFUNCTION("""COMPUTED_VALUE"""),1.0)</f>
        <v>1</v>
      </c>
      <c r="H156" s="1">
        <f>IFERROR(__xludf.DUMMYFUNCTION("""COMPUTED_VALUE"""),240.0)</f>
        <v>240</v>
      </c>
      <c r="I156" s="1" t="str">
        <f>IFERROR(__xludf.DUMMYFUNCTION("""COMPUTED_VALUE"""),"นางสาว")</f>
        <v>นางสาว</v>
      </c>
      <c r="J156" s="1" t="str">
        <f>IFERROR(__xludf.DUMMYFUNCTION("""COMPUTED_VALUE"""),"ฤกษ์วดี")</f>
        <v>ฤกษ์วดี</v>
      </c>
      <c r="K156" s="1" t="str">
        <f>IFERROR(__xludf.DUMMYFUNCTION("""COMPUTED_VALUE"""),"อินทร์ตาล")</f>
        <v>อินทร์ตาล</v>
      </c>
      <c r="L156" s="1" t="str">
        <f>IFERROR(__xludf.DUMMYFUNCTION("""COMPUTED_VALUE"""),"ม.2")</f>
        <v>ม.2</v>
      </c>
      <c r="M156" s="1" t="str">
        <f>IFERROR(__xludf.DUMMYFUNCTION("""COMPUTED_VALUE"""),"คณิตศาสตร์")</f>
        <v>คณิตศาสตร์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>
        <f>IFERROR(__xludf.DUMMYFUNCTION("""COMPUTED_VALUE"""),3.0)</f>
        <v>3</v>
      </c>
      <c r="B157" s="1">
        <f>IFERROR(__xludf.DUMMYFUNCTION("""COMPUTED_VALUE"""),1.0)</f>
        <v>1</v>
      </c>
      <c r="C157" s="1" t="str">
        <f>IFERROR(__xludf.DUMMYFUNCTION("""COMPUTED_VALUE"""),"ค22201")</f>
        <v>ค22201</v>
      </c>
      <c r="D157" s="1" t="str">
        <f>IFERROR(__xludf.DUMMYFUNCTION("""COMPUTED_VALUE"""),"คณิตศาสตร์เพิ่มเติม 3")</f>
        <v>คณิตศาสตร์เพิ่มเติม 3</v>
      </c>
      <c r="E157" s="1">
        <f>IFERROR(__xludf.DUMMYFUNCTION("""COMPUTED_VALUE"""),1.0)</f>
        <v>1</v>
      </c>
      <c r="F157" s="1">
        <f>IFERROR(__xludf.DUMMYFUNCTION("""COMPUTED_VALUE"""),2569.0)</f>
        <v>2569</v>
      </c>
      <c r="G157" s="1">
        <f>IFERROR(__xludf.DUMMYFUNCTION("""COMPUTED_VALUE"""),1.0)</f>
        <v>1</v>
      </c>
      <c r="H157" s="1">
        <f>IFERROR(__xludf.DUMMYFUNCTION("""COMPUTED_VALUE"""),240.0)</f>
        <v>240</v>
      </c>
      <c r="I157" s="1" t="str">
        <f>IFERROR(__xludf.DUMMYFUNCTION("""COMPUTED_VALUE"""),"นางสาว")</f>
        <v>นางสาว</v>
      </c>
      <c r="J157" s="1" t="str">
        <f>IFERROR(__xludf.DUMMYFUNCTION("""COMPUTED_VALUE"""),"ฤกษ์วดี")</f>
        <v>ฤกษ์วดี</v>
      </c>
      <c r="K157" s="1" t="str">
        <f>IFERROR(__xludf.DUMMYFUNCTION("""COMPUTED_VALUE"""),"อินทร์ตาล")</f>
        <v>อินทร์ตาล</v>
      </c>
      <c r="L157" s="1" t="str">
        <f>IFERROR(__xludf.DUMMYFUNCTION("""COMPUTED_VALUE"""),"ม.2")</f>
        <v>ม.2</v>
      </c>
      <c r="M157" s="1" t="str">
        <f>IFERROR(__xludf.DUMMYFUNCTION("""COMPUTED_VALUE"""),"คณิตศาสตร์")</f>
        <v>คณิตศาสตร์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>
        <f>IFERROR(__xludf.DUMMYFUNCTION("""COMPUTED_VALUE"""),4.0)</f>
        <v>4</v>
      </c>
      <c r="B158" s="1">
        <f>IFERROR(__xludf.DUMMYFUNCTION("""COMPUTED_VALUE"""),1.0)</f>
        <v>1</v>
      </c>
      <c r="C158" s="1" t="str">
        <f>IFERROR(__xludf.DUMMYFUNCTION("""COMPUTED_VALUE"""),"ค23101")</f>
        <v>ค23101</v>
      </c>
      <c r="D158" s="1" t="str">
        <f>IFERROR(__xludf.DUMMYFUNCTION("""COMPUTED_VALUE"""),"คณิตศาสตร์ 5")</f>
        <v>คณิตศาสตร์ 5</v>
      </c>
      <c r="E158" s="1">
        <f>IFERROR(__xludf.DUMMYFUNCTION("""COMPUTED_VALUE"""),1.5)</f>
        <v>1.5</v>
      </c>
      <c r="F158" s="1">
        <f>IFERROR(__xludf.DUMMYFUNCTION("""COMPUTED_VALUE"""),2569.0)</f>
        <v>2569</v>
      </c>
      <c r="G158" s="1">
        <f>IFERROR(__xludf.DUMMYFUNCTION("""COMPUTED_VALUE"""),1.0)</f>
        <v>1</v>
      </c>
      <c r="H158" s="1">
        <f>IFERROR(__xludf.DUMMYFUNCTION("""COMPUTED_VALUE"""),240.0)</f>
        <v>240</v>
      </c>
      <c r="I158" s="1" t="str">
        <f>IFERROR(__xludf.DUMMYFUNCTION("""COMPUTED_VALUE"""),"นางสาว")</f>
        <v>นางสาว</v>
      </c>
      <c r="J158" s="1" t="str">
        <f>IFERROR(__xludf.DUMMYFUNCTION("""COMPUTED_VALUE"""),"ฤกษ์วดี")</f>
        <v>ฤกษ์วดี</v>
      </c>
      <c r="K158" s="1" t="str">
        <f>IFERROR(__xludf.DUMMYFUNCTION("""COMPUTED_VALUE"""),"อินทร์ตาล")</f>
        <v>อินทร์ตาล</v>
      </c>
      <c r="L158" s="1" t="str">
        <f>IFERROR(__xludf.DUMMYFUNCTION("""COMPUTED_VALUE"""),"ม.3")</f>
        <v>ม.3</v>
      </c>
      <c r="M158" s="1" t="str">
        <f>IFERROR(__xludf.DUMMYFUNCTION("""COMPUTED_VALUE"""),"คณิตศาสตร์")</f>
        <v>คณิตศาสตร์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>
        <f>IFERROR(__xludf.DUMMYFUNCTION("""COMPUTED_VALUE"""),1.0)</f>
        <v>1</v>
      </c>
      <c r="B159" s="1">
        <f>IFERROR(__xludf.DUMMYFUNCTION("""COMPUTED_VALUE"""),1.0)</f>
        <v>1</v>
      </c>
      <c r="C159" s="1" t="str">
        <f>IFERROR(__xludf.DUMMYFUNCTION("""COMPUTED_VALUE"""),"ส20225")</f>
        <v>ส20225</v>
      </c>
      <c r="D159" s="1" t="str">
        <f>IFERROR(__xludf.DUMMYFUNCTION("""COMPUTED_VALUE"""),"การป้องกันการทุจริต 3")</f>
        <v>การป้องกันการทุจริต 3</v>
      </c>
      <c r="E159" s="1">
        <f>IFERROR(__xludf.DUMMYFUNCTION("""COMPUTED_VALUE"""),0.5)</f>
        <v>0.5</v>
      </c>
      <c r="F159" s="1">
        <f>IFERROR(__xludf.DUMMYFUNCTION("""COMPUTED_VALUE"""),2569.0)</f>
        <v>2569</v>
      </c>
      <c r="G159" s="1">
        <f>IFERROR(__xludf.DUMMYFUNCTION("""COMPUTED_VALUE"""),1.0)</f>
        <v>1</v>
      </c>
      <c r="H159" s="1">
        <f>IFERROR(__xludf.DUMMYFUNCTION("""COMPUTED_VALUE"""),240.0)</f>
        <v>240</v>
      </c>
      <c r="I159" s="1" t="str">
        <f>IFERROR(__xludf.DUMMYFUNCTION("""COMPUTED_VALUE"""),"นางสาว")</f>
        <v>นางสาว</v>
      </c>
      <c r="J159" s="1" t="str">
        <f>IFERROR(__xludf.DUMMYFUNCTION("""COMPUTED_VALUE"""),"ฤกษ์วดี")</f>
        <v>ฤกษ์วดี</v>
      </c>
      <c r="K159" s="1" t="str">
        <f>IFERROR(__xludf.DUMMYFUNCTION("""COMPUTED_VALUE"""),"อินทร์ตาล")</f>
        <v>อินทร์ตาล</v>
      </c>
      <c r="L159" s="1" t="str">
        <f>IFERROR(__xludf.DUMMYFUNCTION("""COMPUTED_VALUE"""),"ม.2")</f>
        <v>ม.2</v>
      </c>
      <c r="M159" s="1" t="str">
        <f>IFERROR(__xludf.DUMMYFUNCTION("""COMPUTED_VALUE"""),"คณิตศาสตร์")</f>
        <v>คณิตศาสตร์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>
        <f>IFERROR(__xludf.DUMMYFUNCTION("""COMPUTED_VALUE"""),6.0)</f>
        <v>6</v>
      </c>
      <c r="B160" s="1">
        <f>IFERROR(__xludf.DUMMYFUNCTION("""COMPUTED_VALUE"""),1.0)</f>
        <v>1</v>
      </c>
      <c r="C160" s="1" t="str">
        <f>IFERROR(__xludf.DUMMYFUNCTION("""COMPUTED_VALUE"""),"ค23101")</f>
        <v>ค23101</v>
      </c>
      <c r="D160" s="1" t="str">
        <f>IFERROR(__xludf.DUMMYFUNCTION("""COMPUTED_VALUE"""),"คณิตศาสตร์ 5")</f>
        <v>คณิตศาสตร์ 5</v>
      </c>
      <c r="E160" s="1">
        <f>IFERROR(__xludf.DUMMYFUNCTION("""COMPUTED_VALUE"""),1.5)</f>
        <v>1.5</v>
      </c>
      <c r="F160" s="1">
        <f>IFERROR(__xludf.DUMMYFUNCTION("""COMPUTED_VALUE"""),2569.0)</f>
        <v>2569</v>
      </c>
      <c r="G160" s="1">
        <f>IFERROR(__xludf.DUMMYFUNCTION("""COMPUTED_VALUE"""),1.0)</f>
        <v>1</v>
      </c>
      <c r="H160" s="1">
        <f>IFERROR(__xludf.DUMMYFUNCTION("""COMPUTED_VALUE"""),241.0)</f>
        <v>241</v>
      </c>
      <c r="I160" s="1" t="str">
        <f>IFERROR(__xludf.DUMMYFUNCTION("""COMPUTED_VALUE"""),"นางสาว")</f>
        <v>นางสาว</v>
      </c>
      <c r="J160" s="1" t="str">
        <f>IFERROR(__xludf.DUMMYFUNCTION("""COMPUTED_VALUE"""),"อุบลวรรณ")</f>
        <v>อุบลวรรณ</v>
      </c>
      <c r="K160" s="1" t="str">
        <f>IFERROR(__xludf.DUMMYFUNCTION("""COMPUTED_VALUE"""),"ใจเย็น")</f>
        <v>ใจเย็น</v>
      </c>
      <c r="L160" s="1" t="str">
        <f>IFERROR(__xludf.DUMMYFUNCTION("""COMPUTED_VALUE"""),"ม.3")</f>
        <v>ม.3</v>
      </c>
      <c r="M160" s="1" t="str">
        <f>IFERROR(__xludf.DUMMYFUNCTION("""COMPUTED_VALUE"""),"คณิตศาสตร์")</f>
        <v>คณิตศาสตร์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>
        <f>IFERROR(__xludf.DUMMYFUNCTION("""COMPUTED_VALUE"""),3.0)</f>
        <v>3</v>
      </c>
      <c r="B161" s="1">
        <f>IFERROR(__xludf.DUMMYFUNCTION("""COMPUTED_VALUE"""),1.0)</f>
        <v>1</v>
      </c>
      <c r="C161" s="1" t="str">
        <f>IFERROR(__xludf.DUMMYFUNCTION("""COMPUTED_VALUE"""),"ค31101")</f>
        <v>ค31101</v>
      </c>
      <c r="D161" s="1" t="str">
        <f>IFERROR(__xludf.DUMMYFUNCTION("""COMPUTED_VALUE"""),"คณิตศาสตร์ 1")</f>
        <v>คณิตศาสตร์ 1</v>
      </c>
      <c r="E161" s="1">
        <f>IFERROR(__xludf.DUMMYFUNCTION("""COMPUTED_VALUE"""),1.0)</f>
        <v>1</v>
      </c>
      <c r="F161" s="1">
        <f>IFERROR(__xludf.DUMMYFUNCTION("""COMPUTED_VALUE"""),2569.0)</f>
        <v>2569</v>
      </c>
      <c r="G161" s="1">
        <f>IFERROR(__xludf.DUMMYFUNCTION("""COMPUTED_VALUE"""),1.0)</f>
        <v>1</v>
      </c>
      <c r="H161" s="1">
        <f>IFERROR(__xludf.DUMMYFUNCTION("""COMPUTED_VALUE"""),241.0)</f>
        <v>241</v>
      </c>
      <c r="I161" s="1" t="str">
        <f>IFERROR(__xludf.DUMMYFUNCTION("""COMPUTED_VALUE"""),"นางสาว")</f>
        <v>นางสาว</v>
      </c>
      <c r="J161" s="1" t="str">
        <f>IFERROR(__xludf.DUMMYFUNCTION("""COMPUTED_VALUE"""),"อุบลวรรณ")</f>
        <v>อุบลวรรณ</v>
      </c>
      <c r="K161" s="1" t="str">
        <f>IFERROR(__xludf.DUMMYFUNCTION("""COMPUTED_VALUE"""),"ใจเย็น")</f>
        <v>ใจเย็น</v>
      </c>
      <c r="L161" s="1" t="str">
        <f>IFERROR(__xludf.DUMMYFUNCTION("""COMPUTED_VALUE"""),"ม.4")</f>
        <v>ม.4</v>
      </c>
      <c r="M161" s="1" t="str">
        <f>IFERROR(__xludf.DUMMYFUNCTION("""COMPUTED_VALUE"""),"คณิตศาสตร์")</f>
        <v>คณิตศาสตร์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>
        <f>IFERROR(__xludf.DUMMYFUNCTION("""COMPUTED_VALUE"""),7.0)</f>
        <v>7</v>
      </c>
      <c r="B162" s="1">
        <f>IFERROR(__xludf.DUMMYFUNCTION("""COMPUTED_VALUE"""),1.0)</f>
        <v>1</v>
      </c>
      <c r="C162" s="1" t="str">
        <f>IFERROR(__xludf.DUMMYFUNCTION("""COMPUTED_VALUE"""),"ค31101")</f>
        <v>ค31101</v>
      </c>
      <c r="D162" s="1" t="str">
        <f>IFERROR(__xludf.DUMMYFUNCTION("""COMPUTED_VALUE"""),"คณิตศาสตร์ 1")</f>
        <v>คณิตศาสตร์ 1</v>
      </c>
      <c r="E162" s="1">
        <f>IFERROR(__xludf.DUMMYFUNCTION("""COMPUTED_VALUE"""),1.0)</f>
        <v>1</v>
      </c>
      <c r="F162" s="1">
        <f>IFERROR(__xludf.DUMMYFUNCTION("""COMPUTED_VALUE"""),2569.0)</f>
        <v>2569</v>
      </c>
      <c r="G162" s="1">
        <f>IFERROR(__xludf.DUMMYFUNCTION("""COMPUTED_VALUE"""),1.0)</f>
        <v>1</v>
      </c>
      <c r="H162" s="1">
        <f>IFERROR(__xludf.DUMMYFUNCTION("""COMPUTED_VALUE"""),241.0)</f>
        <v>241</v>
      </c>
      <c r="I162" s="1" t="str">
        <f>IFERROR(__xludf.DUMMYFUNCTION("""COMPUTED_VALUE"""),"นางสาว")</f>
        <v>นางสาว</v>
      </c>
      <c r="J162" s="1" t="str">
        <f>IFERROR(__xludf.DUMMYFUNCTION("""COMPUTED_VALUE"""),"อุบลวรรณ")</f>
        <v>อุบลวรรณ</v>
      </c>
      <c r="K162" s="1" t="str">
        <f>IFERROR(__xludf.DUMMYFUNCTION("""COMPUTED_VALUE"""),"ใจเย็น")</f>
        <v>ใจเย็น</v>
      </c>
      <c r="L162" s="1" t="str">
        <f>IFERROR(__xludf.DUMMYFUNCTION("""COMPUTED_VALUE"""),"ม.4")</f>
        <v>ม.4</v>
      </c>
      <c r="M162" s="1" t="str">
        <f>IFERROR(__xludf.DUMMYFUNCTION("""COMPUTED_VALUE"""),"คณิตศาสตร์")</f>
        <v>คณิตศาสตร์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>
        <f>IFERROR(__xludf.DUMMYFUNCTION("""COMPUTED_VALUE"""),9.0)</f>
        <v>9</v>
      </c>
      <c r="B163" s="1">
        <f>IFERROR(__xludf.DUMMYFUNCTION("""COMPUTED_VALUE"""),1.0)</f>
        <v>1</v>
      </c>
      <c r="C163" s="1" t="str">
        <f>IFERROR(__xludf.DUMMYFUNCTION("""COMPUTED_VALUE"""),"ค31101")</f>
        <v>ค31101</v>
      </c>
      <c r="D163" s="1" t="str">
        <f>IFERROR(__xludf.DUMMYFUNCTION("""COMPUTED_VALUE"""),"คณิตศาสตร์ 1")</f>
        <v>คณิตศาสตร์ 1</v>
      </c>
      <c r="E163" s="1">
        <f>IFERROR(__xludf.DUMMYFUNCTION("""COMPUTED_VALUE"""),1.0)</f>
        <v>1</v>
      </c>
      <c r="F163" s="1">
        <f>IFERROR(__xludf.DUMMYFUNCTION("""COMPUTED_VALUE"""),2569.0)</f>
        <v>2569</v>
      </c>
      <c r="G163" s="1">
        <f>IFERROR(__xludf.DUMMYFUNCTION("""COMPUTED_VALUE"""),1.0)</f>
        <v>1</v>
      </c>
      <c r="H163" s="1">
        <f>IFERROR(__xludf.DUMMYFUNCTION("""COMPUTED_VALUE"""),241.0)</f>
        <v>241</v>
      </c>
      <c r="I163" s="1" t="str">
        <f>IFERROR(__xludf.DUMMYFUNCTION("""COMPUTED_VALUE"""),"นางสาว")</f>
        <v>นางสาว</v>
      </c>
      <c r="J163" s="1" t="str">
        <f>IFERROR(__xludf.DUMMYFUNCTION("""COMPUTED_VALUE"""),"อุบลวรรณ")</f>
        <v>อุบลวรรณ</v>
      </c>
      <c r="K163" s="1" t="str">
        <f>IFERROR(__xludf.DUMMYFUNCTION("""COMPUTED_VALUE"""),"ใจเย็น")</f>
        <v>ใจเย็น</v>
      </c>
      <c r="L163" s="1" t="str">
        <f>IFERROR(__xludf.DUMMYFUNCTION("""COMPUTED_VALUE"""),"ม.4")</f>
        <v>ม.4</v>
      </c>
      <c r="M163" s="1" t="str">
        <f>IFERROR(__xludf.DUMMYFUNCTION("""COMPUTED_VALUE"""),"คณิตศาสตร์")</f>
        <v>คณิตศาสตร์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>
        <f>IFERROR(__xludf.DUMMYFUNCTION("""COMPUTED_VALUE"""),3.0)</f>
        <v>3</v>
      </c>
      <c r="B164" s="1">
        <f>IFERROR(__xludf.DUMMYFUNCTION("""COMPUTED_VALUE"""),1.0)</f>
        <v>1</v>
      </c>
      <c r="C164" s="1" t="str">
        <f>IFERROR(__xludf.DUMMYFUNCTION("""COMPUTED_VALUE"""),"ค31201")</f>
        <v>ค31201</v>
      </c>
      <c r="D164" s="1" t="str">
        <f>IFERROR(__xludf.DUMMYFUNCTION("""COMPUTED_VALUE"""),"คณิตศาสตร์เพิ่มเติม 1")</f>
        <v>คณิตศาสตร์เพิ่มเติม 1</v>
      </c>
      <c r="E164" s="1">
        <f>IFERROR(__xludf.DUMMYFUNCTION("""COMPUTED_VALUE"""),2.0)</f>
        <v>2</v>
      </c>
      <c r="F164" s="1">
        <f>IFERROR(__xludf.DUMMYFUNCTION("""COMPUTED_VALUE"""),2569.0)</f>
        <v>2569</v>
      </c>
      <c r="G164" s="1">
        <f>IFERROR(__xludf.DUMMYFUNCTION("""COMPUTED_VALUE"""),1.0)</f>
        <v>1</v>
      </c>
      <c r="H164" s="1">
        <f>IFERROR(__xludf.DUMMYFUNCTION("""COMPUTED_VALUE"""),241.0)</f>
        <v>241</v>
      </c>
      <c r="I164" s="1" t="str">
        <f>IFERROR(__xludf.DUMMYFUNCTION("""COMPUTED_VALUE"""),"นางสาว")</f>
        <v>นางสาว</v>
      </c>
      <c r="J164" s="1" t="str">
        <f>IFERROR(__xludf.DUMMYFUNCTION("""COMPUTED_VALUE"""),"อุบลวรรณ")</f>
        <v>อุบลวรรณ</v>
      </c>
      <c r="K164" s="1" t="str">
        <f>IFERROR(__xludf.DUMMYFUNCTION("""COMPUTED_VALUE"""),"ใจเย็น")</f>
        <v>ใจเย็น</v>
      </c>
      <c r="L164" s="1" t="str">
        <f>IFERROR(__xludf.DUMMYFUNCTION("""COMPUTED_VALUE"""),"ม.4")</f>
        <v>ม.4</v>
      </c>
      <c r="M164" s="1" t="str">
        <f>IFERROR(__xludf.DUMMYFUNCTION("""COMPUTED_VALUE"""),"คณิตศาสตร์")</f>
        <v>คณิตศาสตร์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>
        <f>IFERROR(__xludf.DUMMYFUNCTION("""COMPUTED_VALUE"""),9.0)</f>
        <v>9</v>
      </c>
      <c r="B165" s="1">
        <f>IFERROR(__xludf.DUMMYFUNCTION("""COMPUTED_VALUE"""),1.0)</f>
        <v>1</v>
      </c>
      <c r="C165" s="1" t="str">
        <f>IFERROR(__xludf.DUMMYFUNCTION("""COMPUTED_VALUE"""),"ค31203")</f>
        <v>ค31203</v>
      </c>
      <c r="D165" s="1" t="str">
        <f>IFERROR(__xludf.DUMMYFUNCTION("""COMPUTED_VALUE"""),"คณิตศาสตร์อุตสาหกรรม1")</f>
        <v>คณิตศาสตร์อุตสาหกรรม1</v>
      </c>
      <c r="E165" s="1">
        <f>IFERROR(__xludf.DUMMYFUNCTION("""COMPUTED_VALUE"""),1.0)</f>
        <v>1</v>
      </c>
      <c r="F165" s="1">
        <f>IFERROR(__xludf.DUMMYFUNCTION("""COMPUTED_VALUE"""),2569.0)</f>
        <v>2569</v>
      </c>
      <c r="G165" s="1">
        <f>IFERROR(__xludf.DUMMYFUNCTION("""COMPUTED_VALUE"""),1.0)</f>
        <v>1</v>
      </c>
      <c r="H165" s="1">
        <f>IFERROR(__xludf.DUMMYFUNCTION("""COMPUTED_VALUE"""),241.0)</f>
        <v>241</v>
      </c>
      <c r="I165" s="1" t="str">
        <f>IFERROR(__xludf.DUMMYFUNCTION("""COMPUTED_VALUE"""),"นางสาว")</f>
        <v>นางสาว</v>
      </c>
      <c r="J165" s="1" t="str">
        <f>IFERROR(__xludf.DUMMYFUNCTION("""COMPUTED_VALUE"""),"อุบลวรรณ")</f>
        <v>อุบลวรรณ</v>
      </c>
      <c r="K165" s="1" t="str">
        <f>IFERROR(__xludf.DUMMYFUNCTION("""COMPUTED_VALUE"""),"ใจเย็น")</f>
        <v>ใจเย็น</v>
      </c>
      <c r="L165" s="1" t="str">
        <f>IFERROR(__xludf.DUMMYFUNCTION("""COMPUTED_VALUE"""),"ม.4")</f>
        <v>ม.4</v>
      </c>
      <c r="M165" s="1" t="str">
        <f>IFERROR(__xludf.DUMMYFUNCTION("""COMPUTED_VALUE"""),"คณิตศาสตร์")</f>
        <v>คณิตศาสตร์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>
        <f>IFERROR(__xludf.DUMMYFUNCTION("""COMPUTED_VALUE"""),8.0)</f>
        <v>8</v>
      </c>
      <c r="B166" s="1">
        <f>IFERROR(__xludf.DUMMYFUNCTION("""COMPUTED_VALUE"""),1.0)</f>
        <v>1</v>
      </c>
      <c r="C166" s="1" t="str">
        <f>IFERROR(__xludf.DUMMYFUNCTION("""COMPUTED_VALUE"""),"ค33101")</f>
        <v>ค33101</v>
      </c>
      <c r="D166" s="1" t="str">
        <f>IFERROR(__xludf.DUMMYFUNCTION("""COMPUTED_VALUE"""),"คณิตศาสตร์ 5")</f>
        <v>คณิตศาสตร์ 5</v>
      </c>
      <c r="E166" s="1">
        <f>IFERROR(__xludf.DUMMYFUNCTION("""COMPUTED_VALUE"""),1.0)</f>
        <v>1</v>
      </c>
      <c r="F166" s="1">
        <f>IFERROR(__xludf.DUMMYFUNCTION("""COMPUTED_VALUE"""),2569.0)</f>
        <v>2569</v>
      </c>
      <c r="G166" s="1">
        <f>IFERROR(__xludf.DUMMYFUNCTION("""COMPUTED_VALUE"""),1.0)</f>
        <v>1</v>
      </c>
      <c r="H166" s="1">
        <f>IFERROR(__xludf.DUMMYFUNCTION("""COMPUTED_VALUE"""),241.0)</f>
        <v>241</v>
      </c>
      <c r="I166" s="1" t="str">
        <f>IFERROR(__xludf.DUMMYFUNCTION("""COMPUTED_VALUE"""),"นางสาว")</f>
        <v>นางสาว</v>
      </c>
      <c r="J166" s="1" t="str">
        <f>IFERROR(__xludf.DUMMYFUNCTION("""COMPUTED_VALUE"""),"อุบลวรรณ")</f>
        <v>อุบลวรรณ</v>
      </c>
      <c r="K166" s="1" t="str">
        <f>IFERROR(__xludf.DUMMYFUNCTION("""COMPUTED_VALUE"""),"ใจเย็น")</f>
        <v>ใจเย็น</v>
      </c>
      <c r="L166" s="1" t="str">
        <f>IFERROR(__xludf.DUMMYFUNCTION("""COMPUTED_VALUE"""),"ม.6")</f>
        <v>ม.6</v>
      </c>
      <c r="M166" s="1" t="str">
        <f>IFERROR(__xludf.DUMMYFUNCTION("""COMPUTED_VALUE"""),"คณิตศาสตร์")</f>
        <v>คณิตศาสตร์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>
        <f>IFERROR(__xludf.DUMMYFUNCTION("""COMPUTED_VALUE"""),10.0)</f>
        <v>10</v>
      </c>
      <c r="B167" s="1">
        <f>IFERROR(__xludf.DUMMYFUNCTION("""COMPUTED_VALUE"""),1.0)</f>
        <v>1</v>
      </c>
      <c r="C167" s="1" t="str">
        <f>IFERROR(__xludf.DUMMYFUNCTION("""COMPUTED_VALUE"""),"ค33101")</f>
        <v>ค33101</v>
      </c>
      <c r="D167" s="1" t="str">
        <f>IFERROR(__xludf.DUMMYFUNCTION("""COMPUTED_VALUE"""),"คณิตศาสตร์ 5")</f>
        <v>คณิตศาสตร์ 5</v>
      </c>
      <c r="E167" s="1">
        <f>IFERROR(__xludf.DUMMYFUNCTION("""COMPUTED_VALUE"""),1.0)</f>
        <v>1</v>
      </c>
      <c r="F167" s="1">
        <f>IFERROR(__xludf.DUMMYFUNCTION("""COMPUTED_VALUE"""),2569.0)</f>
        <v>2569</v>
      </c>
      <c r="G167" s="1">
        <f>IFERROR(__xludf.DUMMYFUNCTION("""COMPUTED_VALUE"""),1.0)</f>
        <v>1</v>
      </c>
      <c r="H167" s="1">
        <f>IFERROR(__xludf.DUMMYFUNCTION("""COMPUTED_VALUE"""),241.0)</f>
        <v>241</v>
      </c>
      <c r="I167" s="1" t="str">
        <f>IFERROR(__xludf.DUMMYFUNCTION("""COMPUTED_VALUE"""),"นางสาว")</f>
        <v>นางสาว</v>
      </c>
      <c r="J167" s="1" t="str">
        <f>IFERROR(__xludf.DUMMYFUNCTION("""COMPUTED_VALUE"""),"อุบลวรรณ")</f>
        <v>อุบลวรรณ</v>
      </c>
      <c r="K167" s="1" t="str">
        <f>IFERROR(__xludf.DUMMYFUNCTION("""COMPUTED_VALUE"""),"ใจเย็น")</f>
        <v>ใจเย็น</v>
      </c>
      <c r="L167" s="1" t="str">
        <f>IFERROR(__xludf.DUMMYFUNCTION("""COMPUTED_VALUE"""),"ม.6")</f>
        <v>ม.6</v>
      </c>
      <c r="M167" s="1" t="str">
        <f>IFERROR(__xludf.DUMMYFUNCTION("""COMPUTED_VALUE"""),"คณิตศาสตร์")</f>
        <v>คณิตศาสตร์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>
        <f>IFERROR(__xludf.DUMMYFUNCTION("""COMPUTED_VALUE"""),6.0)</f>
        <v>6</v>
      </c>
      <c r="B168" s="1">
        <f>IFERROR(__xludf.DUMMYFUNCTION("""COMPUTED_VALUE"""),1.0)</f>
        <v>1</v>
      </c>
      <c r="C168" s="1" t="str">
        <f>IFERROR(__xludf.DUMMYFUNCTION("""COMPUTED_VALUE"""),"ค31101")</f>
        <v>ค31101</v>
      </c>
      <c r="D168" s="1" t="str">
        <f>IFERROR(__xludf.DUMMYFUNCTION("""COMPUTED_VALUE"""),"คณิตศาสตร์ 1")</f>
        <v>คณิตศาสตร์ 1</v>
      </c>
      <c r="E168" s="1">
        <f>IFERROR(__xludf.DUMMYFUNCTION("""COMPUTED_VALUE"""),1.0)</f>
        <v>1</v>
      </c>
      <c r="F168" s="1">
        <f>IFERROR(__xludf.DUMMYFUNCTION("""COMPUTED_VALUE"""),2569.0)</f>
        <v>2569</v>
      </c>
      <c r="G168" s="1">
        <f>IFERROR(__xludf.DUMMYFUNCTION("""COMPUTED_VALUE"""),1.0)</f>
        <v>1</v>
      </c>
      <c r="H168" s="1">
        <f>IFERROR(__xludf.DUMMYFUNCTION("""COMPUTED_VALUE"""),242.0)</f>
        <v>242</v>
      </c>
      <c r="I168" s="1" t="str">
        <f>IFERROR(__xludf.DUMMYFUNCTION("""COMPUTED_VALUE"""),"นาง")</f>
        <v>นาง</v>
      </c>
      <c r="J168" s="1" t="str">
        <f>IFERROR(__xludf.DUMMYFUNCTION("""COMPUTED_VALUE"""),"สุวนันท์")</f>
        <v>สุวนันท์</v>
      </c>
      <c r="K168" s="1" t="str">
        <f>IFERROR(__xludf.DUMMYFUNCTION("""COMPUTED_VALUE"""),"กำจัด")</f>
        <v>กำจัด</v>
      </c>
      <c r="L168" s="1" t="str">
        <f>IFERROR(__xludf.DUMMYFUNCTION("""COMPUTED_VALUE"""),"ม.4")</f>
        <v>ม.4</v>
      </c>
      <c r="M168" s="1" t="str">
        <f>IFERROR(__xludf.DUMMYFUNCTION("""COMPUTED_VALUE"""),"คณิตศาสตร์")</f>
        <v>คณิตศาสตร์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>
        <f>IFERROR(__xludf.DUMMYFUNCTION("""COMPUTED_VALUE"""),8.0)</f>
        <v>8</v>
      </c>
      <c r="B169" s="1">
        <f>IFERROR(__xludf.DUMMYFUNCTION("""COMPUTED_VALUE"""),1.0)</f>
        <v>1</v>
      </c>
      <c r="C169" s="1" t="str">
        <f>IFERROR(__xludf.DUMMYFUNCTION("""COMPUTED_VALUE"""),"ค31101")</f>
        <v>ค31101</v>
      </c>
      <c r="D169" s="1" t="str">
        <f>IFERROR(__xludf.DUMMYFUNCTION("""COMPUTED_VALUE"""),"คณิตศาสตร์ 1")</f>
        <v>คณิตศาสตร์ 1</v>
      </c>
      <c r="E169" s="1">
        <f>IFERROR(__xludf.DUMMYFUNCTION("""COMPUTED_VALUE"""),1.0)</f>
        <v>1</v>
      </c>
      <c r="F169" s="1">
        <f>IFERROR(__xludf.DUMMYFUNCTION("""COMPUTED_VALUE"""),2569.0)</f>
        <v>2569</v>
      </c>
      <c r="G169" s="1">
        <f>IFERROR(__xludf.DUMMYFUNCTION("""COMPUTED_VALUE"""),1.0)</f>
        <v>1</v>
      </c>
      <c r="H169" s="1">
        <f>IFERROR(__xludf.DUMMYFUNCTION("""COMPUTED_VALUE"""),242.0)</f>
        <v>242</v>
      </c>
      <c r="I169" s="1" t="str">
        <f>IFERROR(__xludf.DUMMYFUNCTION("""COMPUTED_VALUE"""),"นาง")</f>
        <v>นาง</v>
      </c>
      <c r="J169" s="1" t="str">
        <f>IFERROR(__xludf.DUMMYFUNCTION("""COMPUTED_VALUE"""),"สุวนันท์")</f>
        <v>สุวนันท์</v>
      </c>
      <c r="K169" s="1" t="str">
        <f>IFERROR(__xludf.DUMMYFUNCTION("""COMPUTED_VALUE"""),"กำจัด")</f>
        <v>กำจัด</v>
      </c>
      <c r="L169" s="1" t="str">
        <f>IFERROR(__xludf.DUMMYFUNCTION("""COMPUTED_VALUE"""),"ม.4")</f>
        <v>ม.4</v>
      </c>
      <c r="M169" s="1" t="str">
        <f>IFERROR(__xludf.DUMMYFUNCTION("""COMPUTED_VALUE"""),"คณิตศาสตร์")</f>
        <v>คณิตศาสตร์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>
        <f>IFERROR(__xludf.DUMMYFUNCTION("""COMPUTED_VALUE"""),10.0)</f>
        <v>10</v>
      </c>
      <c r="B170" s="1">
        <f>IFERROR(__xludf.DUMMYFUNCTION("""COMPUTED_VALUE"""),1.0)</f>
        <v>1</v>
      </c>
      <c r="C170" s="1" t="str">
        <f>IFERROR(__xludf.DUMMYFUNCTION("""COMPUTED_VALUE"""),"ค31101")</f>
        <v>ค31101</v>
      </c>
      <c r="D170" s="1" t="str">
        <f>IFERROR(__xludf.DUMMYFUNCTION("""COMPUTED_VALUE"""),"คณิตศาสตร์ 1")</f>
        <v>คณิตศาสตร์ 1</v>
      </c>
      <c r="E170" s="1">
        <f>IFERROR(__xludf.DUMMYFUNCTION("""COMPUTED_VALUE"""),1.0)</f>
        <v>1</v>
      </c>
      <c r="F170" s="1">
        <f>IFERROR(__xludf.DUMMYFUNCTION("""COMPUTED_VALUE"""),2569.0)</f>
        <v>2569</v>
      </c>
      <c r="G170" s="1">
        <f>IFERROR(__xludf.DUMMYFUNCTION("""COMPUTED_VALUE"""),1.0)</f>
        <v>1</v>
      </c>
      <c r="H170" s="1">
        <f>IFERROR(__xludf.DUMMYFUNCTION("""COMPUTED_VALUE"""),242.0)</f>
        <v>242</v>
      </c>
      <c r="I170" s="1" t="str">
        <f>IFERROR(__xludf.DUMMYFUNCTION("""COMPUTED_VALUE"""),"นาง")</f>
        <v>นาง</v>
      </c>
      <c r="J170" s="1" t="str">
        <f>IFERROR(__xludf.DUMMYFUNCTION("""COMPUTED_VALUE"""),"สุวนันท์")</f>
        <v>สุวนันท์</v>
      </c>
      <c r="K170" s="1" t="str">
        <f>IFERROR(__xludf.DUMMYFUNCTION("""COMPUTED_VALUE"""),"กำจัด")</f>
        <v>กำจัด</v>
      </c>
      <c r="L170" s="1" t="str">
        <f>IFERROR(__xludf.DUMMYFUNCTION("""COMPUTED_VALUE"""),"ม.4")</f>
        <v>ม.4</v>
      </c>
      <c r="M170" s="1" t="str">
        <f>IFERROR(__xludf.DUMMYFUNCTION("""COMPUTED_VALUE"""),"คณิตศาสตร์")</f>
        <v>คณิตศาสตร์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>
        <f>IFERROR(__xludf.DUMMYFUNCTION("""COMPUTED_VALUE"""),11.0)</f>
        <v>11</v>
      </c>
      <c r="B171" s="1">
        <f>IFERROR(__xludf.DUMMYFUNCTION("""COMPUTED_VALUE"""),1.0)</f>
        <v>1</v>
      </c>
      <c r="C171" s="1" t="str">
        <f>IFERROR(__xludf.DUMMYFUNCTION("""COMPUTED_VALUE"""),"ค31101")</f>
        <v>ค31101</v>
      </c>
      <c r="D171" s="1" t="str">
        <f>IFERROR(__xludf.DUMMYFUNCTION("""COMPUTED_VALUE"""),"คณิตศาสตร์ 1")</f>
        <v>คณิตศาสตร์ 1</v>
      </c>
      <c r="E171" s="1">
        <f>IFERROR(__xludf.DUMMYFUNCTION("""COMPUTED_VALUE"""),1.0)</f>
        <v>1</v>
      </c>
      <c r="F171" s="1">
        <f>IFERROR(__xludf.DUMMYFUNCTION("""COMPUTED_VALUE"""),2569.0)</f>
        <v>2569</v>
      </c>
      <c r="G171" s="1">
        <f>IFERROR(__xludf.DUMMYFUNCTION("""COMPUTED_VALUE"""),1.0)</f>
        <v>1</v>
      </c>
      <c r="H171" s="1">
        <f>IFERROR(__xludf.DUMMYFUNCTION("""COMPUTED_VALUE"""),242.0)</f>
        <v>242</v>
      </c>
      <c r="I171" s="1" t="str">
        <f>IFERROR(__xludf.DUMMYFUNCTION("""COMPUTED_VALUE"""),"นาง")</f>
        <v>นาง</v>
      </c>
      <c r="J171" s="1" t="str">
        <f>IFERROR(__xludf.DUMMYFUNCTION("""COMPUTED_VALUE"""),"สุวนันท์")</f>
        <v>สุวนันท์</v>
      </c>
      <c r="K171" s="1" t="str">
        <f>IFERROR(__xludf.DUMMYFUNCTION("""COMPUTED_VALUE"""),"กำจัด")</f>
        <v>กำจัด</v>
      </c>
      <c r="L171" s="1" t="str">
        <f>IFERROR(__xludf.DUMMYFUNCTION("""COMPUTED_VALUE"""),"ม.4")</f>
        <v>ม.4</v>
      </c>
      <c r="M171" s="1" t="str">
        <f>IFERROR(__xludf.DUMMYFUNCTION("""COMPUTED_VALUE"""),"คณิตศาสตร์")</f>
        <v>คณิตศาสตร์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>
        <f>IFERROR(__xludf.DUMMYFUNCTION("""COMPUTED_VALUE"""),3.0)</f>
        <v>3</v>
      </c>
      <c r="B172" s="1">
        <f>IFERROR(__xludf.DUMMYFUNCTION("""COMPUTED_VALUE"""),1.0)</f>
        <v>1</v>
      </c>
      <c r="C172" s="1" t="str">
        <f>IFERROR(__xludf.DUMMYFUNCTION("""COMPUTED_VALUE"""),"ค32101")</f>
        <v>ค32101</v>
      </c>
      <c r="D172" s="1" t="str">
        <f>IFERROR(__xludf.DUMMYFUNCTION("""COMPUTED_VALUE"""),"คณิตศาสตร์ 3")</f>
        <v>คณิตศาสตร์ 3</v>
      </c>
      <c r="E172" s="1">
        <f>IFERROR(__xludf.DUMMYFUNCTION("""COMPUTED_VALUE"""),1.0)</f>
        <v>1</v>
      </c>
      <c r="F172" s="1">
        <f>IFERROR(__xludf.DUMMYFUNCTION("""COMPUTED_VALUE"""),2569.0)</f>
        <v>2569</v>
      </c>
      <c r="G172" s="1">
        <f>IFERROR(__xludf.DUMMYFUNCTION("""COMPUTED_VALUE"""),1.0)</f>
        <v>1</v>
      </c>
      <c r="H172" s="1">
        <f>IFERROR(__xludf.DUMMYFUNCTION("""COMPUTED_VALUE"""),242.0)</f>
        <v>242</v>
      </c>
      <c r="I172" s="1" t="str">
        <f>IFERROR(__xludf.DUMMYFUNCTION("""COMPUTED_VALUE"""),"นาง")</f>
        <v>นาง</v>
      </c>
      <c r="J172" s="1" t="str">
        <f>IFERROR(__xludf.DUMMYFUNCTION("""COMPUTED_VALUE"""),"สุวนันท์")</f>
        <v>สุวนันท์</v>
      </c>
      <c r="K172" s="1" t="str">
        <f>IFERROR(__xludf.DUMMYFUNCTION("""COMPUTED_VALUE"""),"กำจัด")</f>
        <v>กำจัด</v>
      </c>
      <c r="L172" s="1" t="str">
        <f>IFERROR(__xludf.DUMMYFUNCTION("""COMPUTED_VALUE"""),"ม.5")</f>
        <v>ม.5</v>
      </c>
      <c r="M172" s="1" t="str">
        <f>IFERROR(__xludf.DUMMYFUNCTION("""COMPUTED_VALUE"""),"คณิตศาสตร์")</f>
        <v>คณิตศาสตร์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>
        <f>IFERROR(__xludf.DUMMYFUNCTION("""COMPUTED_VALUE"""),6.0)</f>
        <v>6</v>
      </c>
      <c r="B173" s="1">
        <f>IFERROR(__xludf.DUMMYFUNCTION("""COMPUTED_VALUE"""),1.0)</f>
        <v>1</v>
      </c>
      <c r="C173" s="1" t="str">
        <f>IFERROR(__xludf.DUMMYFUNCTION("""COMPUTED_VALUE"""),"ค32101")</f>
        <v>ค32101</v>
      </c>
      <c r="D173" s="1" t="str">
        <f>IFERROR(__xludf.DUMMYFUNCTION("""COMPUTED_VALUE"""),"คณิตศาสตร์ 3")</f>
        <v>คณิตศาสตร์ 3</v>
      </c>
      <c r="E173" s="1">
        <f>IFERROR(__xludf.DUMMYFUNCTION("""COMPUTED_VALUE"""),1.0)</f>
        <v>1</v>
      </c>
      <c r="F173" s="1">
        <f>IFERROR(__xludf.DUMMYFUNCTION("""COMPUTED_VALUE"""),2569.0)</f>
        <v>2569</v>
      </c>
      <c r="G173" s="1">
        <f>IFERROR(__xludf.DUMMYFUNCTION("""COMPUTED_VALUE"""),1.0)</f>
        <v>1</v>
      </c>
      <c r="H173" s="1">
        <f>IFERROR(__xludf.DUMMYFUNCTION("""COMPUTED_VALUE"""),242.0)</f>
        <v>242</v>
      </c>
      <c r="I173" s="1" t="str">
        <f>IFERROR(__xludf.DUMMYFUNCTION("""COMPUTED_VALUE"""),"นาง")</f>
        <v>นาง</v>
      </c>
      <c r="J173" s="1" t="str">
        <f>IFERROR(__xludf.DUMMYFUNCTION("""COMPUTED_VALUE"""),"สุวนันท์")</f>
        <v>สุวนันท์</v>
      </c>
      <c r="K173" s="1" t="str">
        <f>IFERROR(__xludf.DUMMYFUNCTION("""COMPUTED_VALUE"""),"กำจัด")</f>
        <v>กำจัด</v>
      </c>
      <c r="L173" s="1" t="str">
        <f>IFERROR(__xludf.DUMMYFUNCTION("""COMPUTED_VALUE"""),"ม.5")</f>
        <v>ม.5</v>
      </c>
      <c r="M173" s="1" t="str">
        <f>IFERROR(__xludf.DUMMYFUNCTION("""COMPUTED_VALUE"""),"คณิตศาสตร์")</f>
        <v>คณิตศาสตร์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>
        <f>IFERROR(__xludf.DUMMYFUNCTION("""COMPUTED_VALUE"""),9.0)</f>
        <v>9</v>
      </c>
      <c r="B174" s="1">
        <f>IFERROR(__xludf.DUMMYFUNCTION("""COMPUTED_VALUE"""),1.0)</f>
        <v>1</v>
      </c>
      <c r="C174" s="1" t="str">
        <f>IFERROR(__xludf.DUMMYFUNCTION("""COMPUTED_VALUE"""),"ค32101")</f>
        <v>ค32101</v>
      </c>
      <c r="D174" s="1" t="str">
        <f>IFERROR(__xludf.DUMMYFUNCTION("""COMPUTED_VALUE"""),"คณิตศาสตร์ 3")</f>
        <v>คณิตศาสตร์ 3</v>
      </c>
      <c r="E174" s="1">
        <f>IFERROR(__xludf.DUMMYFUNCTION("""COMPUTED_VALUE"""),1.0)</f>
        <v>1</v>
      </c>
      <c r="F174" s="1">
        <f>IFERROR(__xludf.DUMMYFUNCTION("""COMPUTED_VALUE"""),2569.0)</f>
        <v>2569</v>
      </c>
      <c r="G174" s="1">
        <f>IFERROR(__xludf.DUMMYFUNCTION("""COMPUTED_VALUE"""),1.0)</f>
        <v>1</v>
      </c>
      <c r="H174" s="1">
        <f>IFERROR(__xludf.DUMMYFUNCTION("""COMPUTED_VALUE"""),242.0)</f>
        <v>242</v>
      </c>
      <c r="I174" s="1" t="str">
        <f>IFERROR(__xludf.DUMMYFUNCTION("""COMPUTED_VALUE"""),"นาง")</f>
        <v>นาง</v>
      </c>
      <c r="J174" s="1" t="str">
        <f>IFERROR(__xludf.DUMMYFUNCTION("""COMPUTED_VALUE"""),"สุวนันท์")</f>
        <v>สุวนันท์</v>
      </c>
      <c r="K174" s="1" t="str">
        <f>IFERROR(__xludf.DUMMYFUNCTION("""COMPUTED_VALUE"""),"กำจัด")</f>
        <v>กำจัด</v>
      </c>
      <c r="L174" s="1" t="str">
        <f>IFERROR(__xludf.DUMMYFUNCTION("""COMPUTED_VALUE"""),"ม.5")</f>
        <v>ม.5</v>
      </c>
      <c r="M174" s="1" t="str">
        <f>IFERROR(__xludf.DUMMYFUNCTION("""COMPUTED_VALUE"""),"คณิตศาสตร์")</f>
        <v>คณิตศาสตร์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>
        <f>IFERROR(__xludf.DUMMYFUNCTION("""COMPUTED_VALUE"""),3.0)</f>
        <v>3</v>
      </c>
      <c r="B175" s="1">
        <f>IFERROR(__xludf.DUMMYFUNCTION("""COMPUTED_VALUE"""),1.0)</f>
        <v>1</v>
      </c>
      <c r="C175" s="1" t="str">
        <f>IFERROR(__xludf.DUMMYFUNCTION("""COMPUTED_VALUE"""),"ค32201")</f>
        <v>ค32201</v>
      </c>
      <c r="D175" s="1" t="str">
        <f>IFERROR(__xludf.DUMMYFUNCTION("""COMPUTED_VALUE"""),"คณิตศาสตร์เพิ่มเติม 3")</f>
        <v>คณิตศาสตร์เพิ่มเติม 3</v>
      </c>
      <c r="E175" s="1">
        <f>IFERROR(__xludf.DUMMYFUNCTION("""COMPUTED_VALUE"""),2.0)</f>
        <v>2</v>
      </c>
      <c r="F175" s="1">
        <f>IFERROR(__xludf.DUMMYFUNCTION("""COMPUTED_VALUE"""),2569.0)</f>
        <v>2569</v>
      </c>
      <c r="G175" s="1">
        <f>IFERROR(__xludf.DUMMYFUNCTION("""COMPUTED_VALUE"""),1.0)</f>
        <v>1</v>
      </c>
      <c r="H175" s="1">
        <f>IFERROR(__xludf.DUMMYFUNCTION("""COMPUTED_VALUE"""),242.0)</f>
        <v>242</v>
      </c>
      <c r="I175" s="1" t="str">
        <f>IFERROR(__xludf.DUMMYFUNCTION("""COMPUTED_VALUE"""),"นาง")</f>
        <v>นาง</v>
      </c>
      <c r="J175" s="1" t="str">
        <f>IFERROR(__xludf.DUMMYFUNCTION("""COMPUTED_VALUE"""),"สุวนันท์")</f>
        <v>สุวนันท์</v>
      </c>
      <c r="K175" s="1" t="str">
        <f>IFERROR(__xludf.DUMMYFUNCTION("""COMPUTED_VALUE"""),"กำจัด")</f>
        <v>กำจัด</v>
      </c>
      <c r="L175" s="1" t="str">
        <f>IFERROR(__xludf.DUMMYFUNCTION("""COMPUTED_VALUE"""),"ม.5")</f>
        <v>ม.5</v>
      </c>
      <c r="M175" s="1" t="str">
        <f>IFERROR(__xludf.DUMMYFUNCTION("""COMPUTED_VALUE"""),"คณิตศาสตร์")</f>
        <v>คณิตศาสตร์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>
        <f>IFERROR(__xludf.DUMMYFUNCTION("""COMPUTED_VALUE"""),3.0)</f>
        <v>3</v>
      </c>
      <c r="B176" s="1">
        <f>IFERROR(__xludf.DUMMYFUNCTION("""COMPUTED_VALUE"""),2.0)</f>
        <v>2</v>
      </c>
      <c r="C176" s="1" t="str">
        <f>IFERROR(__xludf.DUMMYFUNCTION("""COMPUTED_VALUE"""),"ส30249")</f>
        <v>ส30249</v>
      </c>
      <c r="D176" s="1" t="str">
        <f>IFERROR(__xludf.DUMMYFUNCTION("""COMPUTED_VALUE"""),"การป้องกันการทุจริต 3")</f>
        <v>การป้องกันการทุจริต 3</v>
      </c>
      <c r="E176" s="1">
        <f>IFERROR(__xludf.DUMMYFUNCTION("""COMPUTED_VALUE"""),0.5)</f>
        <v>0.5</v>
      </c>
      <c r="F176" s="1">
        <f>IFERROR(__xludf.DUMMYFUNCTION("""COMPUTED_VALUE"""),2569.0)</f>
        <v>2569</v>
      </c>
      <c r="G176" s="1">
        <f>IFERROR(__xludf.DUMMYFUNCTION("""COMPUTED_VALUE"""),1.0)</f>
        <v>1</v>
      </c>
      <c r="H176" s="1">
        <f>IFERROR(__xludf.DUMMYFUNCTION("""COMPUTED_VALUE"""),242.0)</f>
        <v>242</v>
      </c>
      <c r="I176" s="1" t="str">
        <f>IFERROR(__xludf.DUMMYFUNCTION("""COMPUTED_VALUE"""),"นาง")</f>
        <v>นาง</v>
      </c>
      <c r="J176" s="1" t="str">
        <f>IFERROR(__xludf.DUMMYFUNCTION("""COMPUTED_VALUE"""),"สุวนันท์")</f>
        <v>สุวนันท์</v>
      </c>
      <c r="K176" s="1" t="str">
        <f>IFERROR(__xludf.DUMMYFUNCTION("""COMPUTED_VALUE"""),"กำจัด")</f>
        <v>กำจัด</v>
      </c>
      <c r="L176" s="1" t="str">
        <f>IFERROR(__xludf.DUMMYFUNCTION("""COMPUTED_VALUE"""),"ม.5")</f>
        <v>ม.5</v>
      </c>
      <c r="M176" s="1" t="str">
        <f>IFERROR(__xludf.DUMMYFUNCTION("""COMPUTED_VALUE"""),"คณิตศาสตร์")</f>
        <v>คณิตศาสตร์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>
        <f>IFERROR(__xludf.DUMMYFUNCTION("""COMPUTED_VALUE"""),3.0)</f>
        <v>3</v>
      </c>
      <c r="B177" s="1">
        <f>IFERROR(__xludf.DUMMYFUNCTION("""COMPUTED_VALUE"""),1.0)</f>
        <v>1</v>
      </c>
      <c r="C177" s="1" t="str">
        <f>IFERROR(__xludf.DUMMYFUNCTION("""COMPUTED_VALUE"""),"ค21101")</f>
        <v>ค21101</v>
      </c>
      <c r="D177" s="1" t="str">
        <f>IFERROR(__xludf.DUMMYFUNCTION("""COMPUTED_VALUE"""),"คณิตศาสตร์ 1")</f>
        <v>คณิตศาสตร์ 1</v>
      </c>
      <c r="E177" s="1">
        <f>IFERROR(__xludf.DUMMYFUNCTION("""COMPUTED_VALUE"""),1.5)</f>
        <v>1.5</v>
      </c>
      <c r="F177" s="1">
        <f>IFERROR(__xludf.DUMMYFUNCTION("""COMPUTED_VALUE"""),2569.0)</f>
        <v>2569</v>
      </c>
      <c r="G177" s="1">
        <f>IFERROR(__xludf.DUMMYFUNCTION("""COMPUTED_VALUE"""),1.0)</f>
        <v>1</v>
      </c>
      <c r="H177" s="1">
        <f>IFERROR(__xludf.DUMMYFUNCTION("""COMPUTED_VALUE"""),243.0)</f>
        <v>243</v>
      </c>
      <c r="I177" s="1" t="str">
        <f>IFERROR(__xludf.DUMMYFUNCTION("""COMPUTED_VALUE"""),"นาง")</f>
        <v>นาง</v>
      </c>
      <c r="J177" s="1" t="str">
        <f>IFERROR(__xludf.DUMMYFUNCTION("""COMPUTED_VALUE"""),"ประพาฬรัตน์")</f>
        <v>ประพาฬรัตน์</v>
      </c>
      <c r="K177" s="1" t="str">
        <f>IFERROR(__xludf.DUMMYFUNCTION("""COMPUTED_VALUE"""),"เอื่ยมใช้")</f>
        <v>เอื่ยมใช้</v>
      </c>
      <c r="L177" s="1" t="str">
        <f>IFERROR(__xludf.DUMMYFUNCTION("""COMPUTED_VALUE"""),"ม.1")</f>
        <v>ม.1</v>
      </c>
      <c r="M177" s="1" t="str">
        <f>IFERROR(__xludf.DUMMYFUNCTION("""COMPUTED_VALUE"""),"คณิตศาสตร์")</f>
        <v>คณิตศาสตร์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>
        <f>IFERROR(__xludf.DUMMYFUNCTION("""COMPUTED_VALUE"""),4.0)</f>
        <v>4</v>
      </c>
      <c r="B178" s="1">
        <f>IFERROR(__xludf.DUMMYFUNCTION("""COMPUTED_VALUE"""),1.0)</f>
        <v>1</v>
      </c>
      <c r="C178" s="1" t="str">
        <f>IFERROR(__xludf.DUMMYFUNCTION("""COMPUTED_VALUE"""),"ค21101")</f>
        <v>ค21101</v>
      </c>
      <c r="D178" s="1" t="str">
        <f>IFERROR(__xludf.DUMMYFUNCTION("""COMPUTED_VALUE"""),"คณิตศาสตร์ 1")</f>
        <v>คณิตศาสตร์ 1</v>
      </c>
      <c r="E178" s="1">
        <f>IFERROR(__xludf.DUMMYFUNCTION("""COMPUTED_VALUE"""),1.5)</f>
        <v>1.5</v>
      </c>
      <c r="F178" s="1">
        <f>IFERROR(__xludf.DUMMYFUNCTION("""COMPUTED_VALUE"""),2569.0)</f>
        <v>2569</v>
      </c>
      <c r="G178" s="1">
        <f>IFERROR(__xludf.DUMMYFUNCTION("""COMPUTED_VALUE"""),1.0)</f>
        <v>1</v>
      </c>
      <c r="H178" s="1">
        <f>IFERROR(__xludf.DUMMYFUNCTION("""COMPUTED_VALUE"""),243.0)</f>
        <v>243</v>
      </c>
      <c r="I178" s="1" t="str">
        <f>IFERROR(__xludf.DUMMYFUNCTION("""COMPUTED_VALUE"""),"นาง")</f>
        <v>นาง</v>
      </c>
      <c r="J178" s="1" t="str">
        <f>IFERROR(__xludf.DUMMYFUNCTION("""COMPUTED_VALUE"""),"ประพาฬรัตน์")</f>
        <v>ประพาฬรัตน์</v>
      </c>
      <c r="K178" s="1" t="str">
        <f>IFERROR(__xludf.DUMMYFUNCTION("""COMPUTED_VALUE"""),"เอื่ยมใช้")</f>
        <v>เอื่ยมใช้</v>
      </c>
      <c r="L178" s="1" t="str">
        <f>IFERROR(__xludf.DUMMYFUNCTION("""COMPUTED_VALUE"""),"ม.1")</f>
        <v>ม.1</v>
      </c>
      <c r="M178" s="1" t="str">
        <f>IFERROR(__xludf.DUMMYFUNCTION("""COMPUTED_VALUE"""),"คณิตศาสตร์")</f>
        <v>คณิตศาสตร์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>
        <f>IFERROR(__xludf.DUMMYFUNCTION("""COMPUTED_VALUE"""),6.0)</f>
        <v>6</v>
      </c>
      <c r="B179" s="1">
        <f>IFERROR(__xludf.DUMMYFUNCTION("""COMPUTED_VALUE"""),1.0)</f>
        <v>1</v>
      </c>
      <c r="C179" s="1" t="str">
        <f>IFERROR(__xludf.DUMMYFUNCTION("""COMPUTED_VALUE"""),"ค21101")</f>
        <v>ค21101</v>
      </c>
      <c r="D179" s="1" t="str">
        <f>IFERROR(__xludf.DUMMYFUNCTION("""COMPUTED_VALUE"""),"คณิตศาสตร์ 1")</f>
        <v>คณิตศาสตร์ 1</v>
      </c>
      <c r="E179" s="1">
        <f>IFERROR(__xludf.DUMMYFUNCTION("""COMPUTED_VALUE"""),1.5)</f>
        <v>1.5</v>
      </c>
      <c r="F179" s="1">
        <f>IFERROR(__xludf.DUMMYFUNCTION("""COMPUTED_VALUE"""),2569.0)</f>
        <v>2569</v>
      </c>
      <c r="G179" s="1">
        <f>IFERROR(__xludf.DUMMYFUNCTION("""COMPUTED_VALUE"""),1.0)</f>
        <v>1</v>
      </c>
      <c r="H179" s="1">
        <f>IFERROR(__xludf.DUMMYFUNCTION("""COMPUTED_VALUE"""),243.0)</f>
        <v>243</v>
      </c>
      <c r="I179" s="1" t="str">
        <f>IFERROR(__xludf.DUMMYFUNCTION("""COMPUTED_VALUE"""),"นาง")</f>
        <v>นาง</v>
      </c>
      <c r="J179" s="1" t="str">
        <f>IFERROR(__xludf.DUMMYFUNCTION("""COMPUTED_VALUE"""),"ประพาฬรัตน์")</f>
        <v>ประพาฬรัตน์</v>
      </c>
      <c r="K179" s="1" t="str">
        <f>IFERROR(__xludf.DUMMYFUNCTION("""COMPUTED_VALUE"""),"เอื่ยมใช้")</f>
        <v>เอื่ยมใช้</v>
      </c>
      <c r="L179" s="1" t="str">
        <f>IFERROR(__xludf.DUMMYFUNCTION("""COMPUTED_VALUE"""),"ม.1")</f>
        <v>ม.1</v>
      </c>
      <c r="M179" s="1" t="str">
        <f>IFERROR(__xludf.DUMMYFUNCTION("""COMPUTED_VALUE"""),"คณิตศาสตร์")</f>
        <v>คณิตศาสตร์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>
        <f>IFERROR(__xludf.DUMMYFUNCTION("""COMPUTED_VALUE"""),3.0)</f>
        <v>3</v>
      </c>
      <c r="B180" s="1">
        <f>IFERROR(__xludf.DUMMYFUNCTION("""COMPUTED_VALUE"""),1.0)</f>
        <v>1</v>
      </c>
      <c r="C180" s="1" t="str">
        <f>IFERROR(__xludf.DUMMYFUNCTION("""COMPUTED_VALUE"""),"ค21201")</f>
        <v>ค21201</v>
      </c>
      <c r="D180" s="1" t="str">
        <f>IFERROR(__xludf.DUMMYFUNCTION("""COMPUTED_VALUE"""),"คณิตศาสตร์เพิ่มเติม 1")</f>
        <v>คณิตศาสตร์เพิ่มเติม 1</v>
      </c>
      <c r="E180" s="1">
        <f>IFERROR(__xludf.DUMMYFUNCTION("""COMPUTED_VALUE"""),1.0)</f>
        <v>1</v>
      </c>
      <c r="F180" s="1">
        <f>IFERROR(__xludf.DUMMYFUNCTION("""COMPUTED_VALUE"""),2569.0)</f>
        <v>2569</v>
      </c>
      <c r="G180" s="1">
        <f>IFERROR(__xludf.DUMMYFUNCTION("""COMPUTED_VALUE"""),1.0)</f>
        <v>1</v>
      </c>
      <c r="H180" s="1">
        <f>IFERROR(__xludf.DUMMYFUNCTION("""COMPUTED_VALUE"""),243.0)</f>
        <v>243</v>
      </c>
      <c r="I180" s="1" t="str">
        <f>IFERROR(__xludf.DUMMYFUNCTION("""COMPUTED_VALUE"""),"นาง")</f>
        <v>นาง</v>
      </c>
      <c r="J180" s="1" t="str">
        <f>IFERROR(__xludf.DUMMYFUNCTION("""COMPUTED_VALUE"""),"ประพาฬรัตน์")</f>
        <v>ประพาฬรัตน์</v>
      </c>
      <c r="K180" s="1" t="str">
        <f>IFERROR(__xludf.DUMMYFUNCTION("""COMPUTED_VALUE"""),"เอื่ยมใช้")</f>
        <v>เอื่ยมใช้</v>
      </c>
      <c r="L180" s="1" t="str">
        <f>IFERROR(__xludf.DUMMYFUNCTION("""COMPUTED_VALUE"""),"ม.1")</f>
        <v>ม.1</v>
      </c>
      <c r="M180" s="1" t="str">
        <f>IFERROR(__xludf.DUMMYFUNCTION("""COMPUTED_VALUE"""),"คณิตศาสตร์")</f>
        <v>คณิตศาสตร์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>
        <f>IFERROR(__xludf.DUMMYFUNCTION("""COMPUTED_VALUE"""),3.0)</f>
        <v>3</v>
      </c>
      <c r="B181" s="1">
        <f>IFERROR(__xludf.DUMMYFUNCTION("""COMPUTED_VALUE"""),1.0)</f>
        <v>1</v>
      </c>
      <c r="C181" s="1" t="str">
        <f>IFERROR(__xludf.DUMMYFUNCTION("""COMPUTED_VALUE"""),"ค23101")</f>
        <v>ค23101</v>
      </c>
      <c r="D181" s="1" t="str">
        <f>IFERROR(__xludf.DUMMYFUNCTION("""COMPUTED_VALUE"""),"คณิตศาสตร์ 5")</f>
        <v>คณิตศาสตร์ 5</v>
      </c>
      <c r="E181" s="1">
        <f>IFERROR(__xludf.DUMMYFUNCTION("""COMPUTED_VALUE"""),1.5)</f>
        <v>1.5</v>
      </c>
      <c r="F181" s="1">
        <f>IFERROR(__xludf.DUMMYFUNCTION("""COMPUTED_VALUE"""),2569.0)</f>
        <v>2569</v>
      </c>
      <c r="G181" s="1">
        <f>IFERROR(__xludf.DUMMYFUNCTION("""COMPUTED_VALUE"""),1.0)</f>
        <v>1</v>
      </c>
      <c r="H181" s="1">
        <f>IFERROR(__xludf.DUMMYFUNCTION("""COMPUTED_VALUE"""),243.0)</f>
        <v>243</v>
      </c>
      <c r="I181" s="1" t="str">
        <f>IFERROR(__xludf.DUMMYFUNCTION("""COMPUTED_VALUE"""),"นาง")</f>
        <v>นาง</v>
      </c>
      <c r="J181" s="1" t="str">
        <f>IFERROR(__xludf.DUMMYFUNCTION("""COMPUTED_VALUE"""),"ประพาฬรัตน์")</f>
        <v>ประพาฬรัตน์</v>
      </c>
      <c r="K181" s="1" t="str">
        <f>IFERROR(__xludf.DUMMYFUNCTION("""COMPUTED_VALUE"""),"เอื่ยมใช้")</f>
        <v>เอื่ยมใช้</v>
      </c>
      <c r="L181" s="1" t="str">
        <f>IFERROR(__xludf.DUMMYFUNCTION("""COMPUTED_VALUE"""),"ม.3")</f>
        <v>ม.3</v>
      </c>
      <c r="M181" s="1" t="str">
        <f>IFERROR(__xludf.DUMMYFUNCTION("""COMPUTED_VALUE"""),"คณิตศาสตร์")</f>
        <v>คณิตศาสตร์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>
        <f>IFERROR(__xludf.DUMMYFUNCTION("""COMPUTED_VALUE"""),8.0)</f>
        <v>8</v>
      </c>
      <c r="B182" s="1">
        <f>IFERROR(__xludf.DUMMYFUNCTION("""COMPUTED_VALUE"""),1.0)</f>
        <v>1</v>
      </c>
      <c r="C182" s="1" t="str">
        <f>IFERROR(__xludf.DUMMYFUNCTION("""COMPUTED_VALUE"""),"ค23101")</f>
        <v>ค23101</v>
      </c>
      <c r="D182" s="1" t="str">
        <f>IFERROR(__xludf.DUMMYFUNCTION("""COMPUTED_VALUE"""),"คณิตศาสตร์ 5")</f>
        <v>คณิตศาสตร์ 5</v>
      </c>
      <c r="E182" s="1">
        <f>IFERROR(__xludf.DUMMYFUNCTION("""COMPUTED_VALUE"""),1.5)</f>
        <v>1.5</v>
      </c>
      <c r="F182" s="1">
        <f>IFERROR(__xludf.DUMMYFUNCTION("""COMPUTED_VALUE"""),2569.0)</f>
        <v>2569</v>
      </c>
      <c r="G182" s="1">
        <f>IFERROR(__xludf.DUMMYFUNCTION("""COMPUTED_VALUE"""),1.0)</f>
        <v>1</v>
      </c>
      <c r="H182" s="1">
        <f>IFERROR(__xludf.DUMMYFUNCTION("""COMPUTED_VALUE"""),243.0)</f>
        <v>243</v>
      </c>
      <c r="I182" s="1" t="str">
        <f>IFERROR(__xludf.DUMMYFUNCTION("""COMPUTED_VALUE"""),"นาง")</f>
        <v>นาง</v>
      </c>
      <c r="J182" s="1" t="str">
        <f>IFERROR(__xludf.DUMMYFUNCTION("""COMPUTED_VALUE"""),"ประพาฬรัตน์")</f>
        <v>ประพาฬรัตน์</v>
      </c>
      <c r="K182" s="1" t="str">
        <f>IFERROR(__xludf.DUMMYFUNCTION("""COMPUTED_VALUE"""),"เอื่ยมใช้")</f>
        <v>เอื่ยมใช้</v>
      </c>
      <c r="L182" s="1" t="str">
        <f>IFERROR(__xludf.DUMMYFUNCTION("""COMPUTED_VALUE"""),"ม.3")</f>
        <v>ม.3</v>
      </c>
      <c r="M182" s="1" t="str">
        <f>IFERROR(__xludf.DUMMYFUNCTION("""COMPUTED_VALUE"""),"คณิตศาสตร์")</f>
        <v>คณิตศาสตร์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>
        <f>IFERROR(__xludf.DUMMYFUNCTION("""COMPUTED_VALUE"""),3.0)</f>
        <v>3</v>
      </c>
      <c r="B183" s="1">
        <f>IFERROR(__xludf.DUMMYFUNCTION("""COMPUTED_VALUE"""),1.0)</f>
        <v>1</v>
      </c>
      <c r="C183" s="1" t="str">
        <f>IFERROR(__xludf.DUMMYFUNCTION("""COMPUTED_VALUE"""),"ค23201")</f>
        <v>ค23201</v>
      </c>
      <c r="D183" s="1" t="str">
        <f>IFERROR(__xludf.DUMMYFUNCTION("""COMPUTED_VALUE"""),"คณิตศาสตร์เพิ่มเติม 5")</f>
        <v>คณิตศาสตร์เพิ่มเติม 5</v>
      </c>
      <c r="E183" s="1">
        <f>IFERROR(__xludf.DUMMYFUNCTION("""COMPUTED_VALUE"""),1.0)</f>
        <v>1</v>
      </c>
      <c r="F183" s="1">
        <f>IFERROR(__xludf.DUMMYFUNCTION("""COMPUTED_VALUE"""),2569.0)</f>
        <v>2569</v>
      </c>
      <c r="G183" s="1">
        <f>IFERROR(__xludf.DUMMYFUNCTION("""COMPUTED_VALUE"""),1.0)</f>
        <v>1</v>
      </c>
      <c r="H183" s="1">
        <f>IFERROR(__xludf.DUMMYFUNCTION("""COMPUTED_VALUE"""),243.0)</f>
        <v>243</v>
      </c>
      <c r="I183" s="1" t="str">
        <f>IFERROR(__xludf.DUMMYFUNCTION("""COMPUTED_VALUE"""),"นาง")</f>
        <v>นาง</v>
      </c>
      <c r="J183" s="1" t="str">
        <f>IFERROR(__xludf.DUMMYFUNCTION("""COMPUTED_VALUE"""),"ประพาฬรัตน์")</f>
        <v>ประพาฬรัตน์</v>
      </c>
      <c r="K183" s="1" t="str">
        <f>IFERROR(__xludf.DUMMYFUNCTION("""COMPUTED_VALUE"""),"เอื่ยมใช้")</f>
        <v>เอื่ยมใช้</v>
      </c>
      <c r="L183" s="1" t="str">
        <f>IFERROR(__xludf.DUMMYFUNCTION("""COMPUTED_VALUE"""),"ม.3")</f>
        <v>ม.3</v>
      </c>
      <c r="M183" s="1" t="str">
        <f>IFERROR(__xludf.DUMMYFUNCTION("""COMPUTED_VALUE"""),"คณิตศาสตร์")</f>
        <v>คณิตศาสตร์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>
        <f>IFERROR(__xludf.DUMMYFUNCTION("""COMPUTED_VALUE"""),2.0)</f>
        <v>2</v>
      </c>
      <c r="B184" s="1">
        <f>IFERROR(__xludf.DUMMYFUNCTION("""COMPUTED_VALUE"""),1.0)</f>
        <v>1</v>
      </c>
      <c r="C184" s="1" t="str">
        <f>IFERROR(__xludf.DUMMYFUNCTION("""COMPUTED_VALUE"""),"ส30247")</f>
        <v>ส30247</v>
      </c>
      <c r="D184" s="1" t="str">
        <f>IFERROR(__xludf.DUMMYFUNCTION("""COMPUTED_VALUE"""),"การป้องกันการทุจริต 1")</f>
        <v>การป้องกันการทุจริต 1</v>
      </c>
      <c r="E184" s="1">
        <f>IFERROR(__xludf.DUMMYFUNCTION("""COMPUTED_VALUE"""),0.5)</f>
        <v>0.5</v>
      </c>
      <c r="F184" s="1">
        <f>IFERROR(__xludf.DUMMYFUNCTION("""COMPUTED_VALUE"""),2569.0)</f>
        <v>2569</v>
      </c>
      <c r="G184" s="1">
        <f>IFERROR(__xludf.DUMMYFUNCTION("""COMPUTED_VALUE"""),1.0)</f>
        <v>1</v>
      </c>
      <c r="H184" s="1">
        <f>IFERROR(__xludf.DUMMYFUNCTION("""COMPUTED_VALUE"""),243.0)</f>
        <v>243</v>
      </c>
      <c r="I184" s="1" t="str">
        <f>IFERROR(__xludf.DUMMYFUNCTION("""COMPUTED_VALUE"""),"นาง")</f>
        <v>นาง</v>
      </c>
      <c r="J184" s="1" t="str">
        <f>IFERROR(__xludf.DUMMYFUNCTION("""COMPUTED_VALUE"""),"ประพาฬรัตน์")</f>
        <v>ประพาฬรัตน์</v>
      </c>
      <c r="K184" s="1" t="str">
        <f>IFERROR(__xludf.DUMMYFUNCTION("""COMPUTED_VALUE"""),"เอื่ยมใช้")</f>
        <v>เอื่ยมใช้</v>
      </c>
      <c r="L184" s="1" t="str">
        <f>IFERROR(__xludf.DUMMYFUNCTION("""COMPUTED_VALUE"""),"ม.4")</f>
        <v>ม.4</v>
      </c>
      <c r="M184" s="1" t="str">
        <f>IFERROR(__xludf.DUMMYFUNCTION("""COMPUTED_VALUE"""),"คณิตศาสตร์")</f>
        <v>คณิตศาสตร์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>
        <f>IFERROR(__xludf.DUMMYFUNCTION("""COMPUTED_VALUE"""),7.0)</f>
        <v>7</v>
      </c>
      <c r="B185" s="1">
        <f>IFERROR(__xludf.DUMMYFUNCTION("""COMPUTED_VALUE"""),1.0)</f>
        <v>1</v>
      </c>
      <c r="C185" s="1" t="str">
        <f>IFERROR(__xludf.DUMMYFUNCTION("""COMPUTED_VALUE"""),"ว30102")</f>
        <v>ว30102</v>
      </c>
      <c r="D185" s="1" t="str">
        <f>IFERROR(__xludf.DUMMYFUNCTION("""COMPUTED_VALUE"""),"วิทยาศาสตร์กายภาพเคมี")</f>
        <v>วิทยาศาสตร์กายภาพเคมี</v>
      </c>
      <c r="E185" s="1">
        <f>IFERROR(__xludf.DUMMYFUNCTION("""COMPUTED_VALUE"""),1.5)</f>
        <v>1.5</v>
      </c>
      <c r="F185" s="1">
        <f>IFERROR(__xludf.DUMMYFUNCTION("""COMPUTED_VALUE"""),2569.0)</f>
        <v>2569</v>
      </c>
      <c r="G185" s="1">
        <f>IFERROR(__xludf.DUMMYFUNCTION("""COMPUTED_VALUE"""),1.0)</f>
        <v>1</v>
      </c>
      <c r="H185" s="1">
        <f>IFERROR(__xludf.DUMMYFUNCTION("""COMPUTED_VALUE"""),308.0)</f>
        <v>308</v>
      </c>
      <c r="I185" s="1" t="str">
        <f>IFERROR(__xludf.DUMMYFUNCTION("""COMPUTED_VALUE"""),"นาย")</f>
        <v>นาย</v>
      </c>
      <c r="J185" s="1" t="str">
        <f>IFERROR(__xludf.DUMMYFUNCTION("""COMPUTED_VALUE"""),"สันติ")</f>
        <v>สันติ</v>
      </c>
      <c r="K185" s="1" t="str">
        <f>IFERROR(__xludf.DUMMYFUNCTION("""COMPUTED_VALUE"""),"ดอกกุหลาบ")</f>
        <v>ดอกกุหลาบ</v>
      </c>
      <c r="L185" s="1" t="str">
        <f>IFERROR(__xludf.DUMMYFUNCTION("""COMPUTED_VALUE"""),"ม.5")</f>
        <v>ม.5</v>
      </c>
      <c r="M185" s="1" t="str">
        <f>IFERROR(__xludf.DUMMYFUNCTION("""COMPUTED_VALUE"""),"วิทยาศาสตร์")</f>
        <v>วิทยาศาสตร์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>
        <f>IFERROR(__xludf.DUMMYFUNCTION("""COMPUTED_VALUE"""),1.0)</f>
        <v>1</v>
      </c>
      <c r="B186" s="1">
        <f>IFERROR(__xludf.DUMMYFUNCTION("""COMPUTED_VALUE"""),1.0)</f>
        <v>1</v>
      </c>
      <c r="C186" s="1" t="str">
        <f>IFERROR(__xludf.DUMMYFUNCTION("""COMPUTED_VALUE"""),"ว30213")</f>
        <v>ว30213</v>
      </c>
      <c r="D186" s="1" t="str">
        <f>IFERROR(__xludf.DUMMYFUNCTION("""COMPUTED_VALUE"""),"ปฏิบัติการทางวิทยาศาสตร์ 3")</f>
        <v>ปฏิบัติการทางวิทยาศาสตร์ 3</v>
      </c>
      <c r="E186" s="1">
        <f>IFERROR(__xludf.DUMMYFUNCTION("""COMPUTED_VALUE"""),1.0)</f>
        <v>1</v>
      </c>
      <c r="F186" s="1">
        <f>IFERROR(__xludf.DUMMYFUNCTION("""COMPUTED_VALUE"""),2569.0)</f>
        <v>2569</v>
      </c>
      <c r="G186" s="1">
        <f>IFERROR(__xludf.DUMMYFUNCTION("""COMPUTED_VALUE"""),1.0)</f>
        <v>1</v>
      </c>
      <c r="H186" s="1">
        <f>IFERROR(__xludf.DUMMYFUNCTION("""COMPUTED_VALUE"""),308.0)</f>
        <v>308</v>
      </c>
      <c r="I186" s="1" t="str">
        <f>IFERROR(__xludf.DUMMYFUNCTION("""COMPUTED_VALUE"""),"นาย")</f>
        <v>นาย</v>
      </c>
      <c r="J186" s="1" t="str">
        <f>IFERROR(__xludf.DUMMYFUNCTION("""COMPUTED_VALUE"""),"สันติ")</f>
        <v>สันติ</v>
      </c>
      <c r="K186" s="1" t="str">
        <f>IFERROR(__xludf.DUMMYFUNCTION("""COMPUTED_VALUE"""),"ดอกกุหลาบ")</f>
        <v>ดอกกุหลาบ</v>
      </c>
      <c r="L186" s="1" t="str">
        <f>IFERROR(__xludf.DUMMYFUNCTION("""COMPUTED_VALUE"""),"ม.5")</f>
        <v>ม.5</v>
      </c>
      <c r="M186" s="1" t="str">
        <f>IFERROR(__xludf.DUMMYFUNCTION("""COMPUTED_VALUE"""),"วิทยาศาสตร์")</f>
        <v>วิทยาศาสตร์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>
        <f>IFERROR(__xludf.DUMMYFUNCTION("""COMPUTED_VALUE"""),2.0)</f>
        <v>2</v>
      </c>
      <c r="B187" s="1">
        <f>IFERROR(__xludf.DUMMYFUNCTION("""COMPUTED_VALUE"""),1.0)</f>
        <v>1</v>
      </c>
      <c r="C187" s="1" t="str">
        <f>IFERROR(__xludf.DUMMYFUNCTION("""COMPUTED_VALUE"""),"ว30213")</f>
        <v>ว30213</v>
      </c>
      <c r="D187" s="1" t="str">
        <f>IFERROR(__xludf.DUMMYFUNCTION("""COMPUTED_VALUE"""),"ปฏิบัติการทางวิทยาศาสตร์ 3")</f>
        <v>ปฏิบัติการทางวิทยาศาสตร์ 3</v>
      </c>
      <c r="E187" s="1">
        <f>IFERROR(__xludf.DUMMYFUNCTION("""COMPUTED_VALUE"""),1.0)</f>
        <v>1</v>
      </c>
      <c r="F187" s="1">
        <f>IFERROR(__xludf.DUMMYFUNCTION("""COMPUTED_VALUE"""),2569.0)</f>
        <v>2569</v>
      </c>
      <c r="G187" s="1">
        <f>IFERROR(__xludf.DUMMYFUNCTION("""COMPUTED_VALUE"""),1.0)</f>
        <v>1</v>
      </c>
      <c r="H187" s="1">
        <f>IFERROR(__xludf.DUMMYFUNCTION("""COMPUTED_VALUE"""),308.0)</f>
        <v>308</v>
      </c>
      <c r="I187" s="1" t="str">
        <f>IFERROR(__xludf.DUMMYFUNCTION("""COMPUTED_VALUE"""),"นาย")</f>
        <v>นาย</v>
      </c>
      <c r="J187" s="1" t="str">
        <f>IFERROR(__xludf.DUMMYFUNCTION("""COMPUTED_VALUE"""),"สันติ")</f>
        <v>สันติ</v>
      </c>
      <c r="K187" s="1" t="str">
        <f>IFERROR(__xludf.DUMMYFUNCTION("""COMPUTED_VALUE"""),"ดอกกุหลาบ")</f>
        <v>ดอกกุหลาบ</v>
      </c>
      <c r="L187" s="1" t="str">
        <f>IFERROR(__xludf.DUMMYFUNCTION("""COMPUTED_VALUE"""),"ม.5")</f>
        <v>ม.5</v>
      </c>
      <c r="M187" s="1" t="str">
        <f>IFERROR(__xludf.DUMMYFUNCTION("""COMPUTED_VALUE"""),"วิทยาศาสตร์")</f>
        <v>วิทยาศาสตร์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>
        <f>IFERROR(__xludf.DUMMYFUNCTION("""COMPUTED_VALUE"""),1.0)</f>
        <v>1</v>
      </c>
      <c r="B188" s="1">
        <f>IFERROR(__xludf.DUMMYFUNCTION("""COMPUTED_VALUE"""),1.0)</f>
        <v>1</v>
      </c>
      <c r="C188" s="1" t="str">
        <f>IFERROR(__xludf.DUMMYFUNCTION("""COMPUTED_VALUE"""),"ว30222")</f>
        <v>ว30222</v>
      </c>
      <c r="D188" s="1" t="str">
        <f>IFERROR(__xludf.DUMMYFUNCTION("""COMPUTED_VALUE"""),"เคมี 2")</f>
        <v>เคมี 2</v>
      </c>
      <c r="E188" s="1">
        <f>IFERROR(__xludf.DUMMYFUNCTION("""COMPUTED_VALUE"""),1.5)</f>
        <v>1.5</v>
      </c>
      <c r="F188" s="1">
        <f>IFERROR(__xludf.DUMMYFUNCTION("""COMPUTED_VALUE"""),2569.0)</f>
        <v>2569</v>
      </c>
      <c r="G188" s="1">
        <f>IFERROR(__xludf.DUMMYFUNCTION("""COMPUTED_VALUE"""),1.0)</f>
        <v>1</v>
      </c>
      <c r="H188" s="1">
        <f>IFERROR(__xludf.DUMMYFUNCTION("""COMPUTED_VALUE"""),308.0)</f>
        <v>308</v>
      </c>
      <c r="I188" s="1" t="str">
        <f>IFERROR(__xludf.DUMMYFUNCTION("""COMPUTED_VALUE"""),"นาย")</f>
        <v>นาย</v>
      </c>
      <c r="J188" s="1" t="str">
        <f>IFERROR(__xludf.DUMMYFUNCTION("""COMPUTED_VALUE"""),"สันติ")</f>
        <v>สันติ</v>
      </c>
      <c r="K188" s="1" t="str">
        <f>IFERROR(__xludf.DUMMYFUNCTION("""COMPUTED_VALUE"""),"ดอกกุหลาบ")</f>
        <v>ดอกกุหลาบ</v>
      </c>
      <c r="L188" s="1" t="str">
        <f>IFERROR(__xludf.DUMMYFUNCTION("""COMPUTED_VALUE"""),"ม.5")</f>
        <v>ม.5</v>
      </c>
      <c r="M188" s="1" t="str">
        <f>IFERROR(__xludf.DUMMYFUNCTION("""COMPUTED_VALUE"""),"วิทยาศาสตร์")</f>
        <v>วิทยาศาสตร์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>
        <f>IFERROR(__xludf.DUMMYFUNCTION("""COMPUTED_VALUE"""),2.0)</f>
        <v>2</v>
      </c>
      <c r="B189" s="1">
        <f>IFERROR(__xludf.DUMMYFUNCTION("""COMPUTED_VALUE"""),1.0)</f>
        <v>1</v>
      </c>
      <c r="C189" s="1" t="str">
        <f>IFERROR(__xludf.DUMMYFUNCTION("""COMPUTED_VALUE"""),"ว30222")</f>
        <v>ว30222</v>
      </c>
      <c r="D189" s="1" t="str">
        <f>IFERROR(__xludf.DUMMYFUNCTION("""COMPUTED_VALUE"""),"เคมี 2")</f>
        <v>เคมี 2</v>
      </c>
      <c r="E189" s="1">
        <f>IFERROR(__xludf.DUMMYFUNCTION("""COMPUTED_VALUE"""),1.5)</f>
        <v>1.5</v>
      </c>
      <c r="F189" s="1">
        <f>IFERROR(__xludf.DUMMYFUNCTION("""COMPUTED_VALUE"""),2569.0)</f>
        <v>2569</v>
      </c>
      <c r="G189" s="1">
        <f>IFERROR(__xludf.DUMMYFUNCTION("""COMPUTED_VALUE"""),1.0)</f>
        <v>1</v>
      </c>
      <c r="H189" s="1">
        <f>IFERROR(__xludf.DUMMYFUNCTION("""COMPUTED_VALUE"""),308.0)</f>
        <v>308</v>
      </c>
      <c r="I189" s="1" t="str">
        <f>IFERROR(__xludf.DUMMYFUNCTION("""COMPUTED_VALUE"""),"นาย")</f>
        <v>นาย</v>
      </c>
      <c r="J189" s="1" t="str">
        <f>IFERROR(__xludf.DUMMYFUNCTION("""COMPUTED_VALUE"""),"สันติ")</f>
        <v>สันติ</v>
      </c>
      <c r="K189" s="1" t="str">
        <f>IFERROR(__xludf.DUMMYFUNCTION("""COMPUTED_VALUE"""),"ดอกกุหลาบ")</f>
        <v>ดอกกุหลาบ</v>
      </c>
      <c r="L189" s="1" t="str">
        <f>IFERROR(__xludf.DUMMYFUNCTION("""COMPUTED_VALUE"""),"ม.5")</f>
        <v>ม.5</v>
      </c>
      <c r="M189" s="1" t="str">
        <f>IFERROR(__xludf.DUMMYFUNCTION("""COMPUTED_VALUE"""),"วิทยาศาสตร์")</f>
        <v>วิทยาศาสตร์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>
        <f>IFERROR(__xludf.DUMMYFUNCTION("""COMPUTED_VALUE"""),3.0)</f>
        <v>3</v>
      </c>
      <c r="B190" s="1">
        <f>IFERROR(__xludf.DUMMYFUNCTION("""COMPUTED_VALUE"""),1.0)</f>
        <v>1</v>
      </c>
      <c r="C190" s="1" t="str">
        <f>IFERROR(__xludf.DUMMYFUNCTION("""COMPUTED_VALUE"""),"ว30222")</f>
        <v>ว30222</v>
      </c>
      <c r="D190" s="1" t="str">
        <f>IFERROR(__xludf.DUMMYFUNCTION("""COMPUTED_VALUE"""),"เคมี 2")</f>
        <v>เคมี 2</v>
      </c>
      <c r="E190" s="1">
        <f>IFERROR(__xludf.DUMMYFUNCTION("""COMPUTED_VALUE"""),1.5)</f>
        <v>1.5</v>
      </c>
      <c r="F190" s="1">
        <f>IFERROR(__xludf.DUMMYFUNCTION("""COMPUTED_VALUE"""),2569.0)</f>
        <v>2569</v>
      </c>
      <c r="G190" s="1">
        <f>IFERROR(__xludf.DUMMYFUNCTION("""COMPUTED_VALUE"""),1.0)</f>
        <v>1</v>
      </c>
      <c r="H190" s="1">
        <f>IFERROR(__xludf.DUMMYFUNCTION("""COMPUTED_VALUE"""),308.0)</f>
        <v>308</v>
      </c>
      <c r="I190" s="1" t="str">
        <f>IFERROR(__xludf.DUMMYFUNCTION("""COMPUTED_VALUE"""),"นาย")</f>
        <v>นาย</v>
      </c>
      <c r="J190" s="1" t="str">
        <f>IFERROR(__xludf.DUMMYFUNCTION("""COMPUTED_VALUE"""),"สันติ")</f>
        <v>สันติ</v>
      </c>
      <c r="K190" s="1" t="str">
        <f>IFERROR(__xludf.DUMMYFUNCTION("""COMPUTED_VALUE"""),"ดอกกุหลาบ")</f>
        <v>ดอกกุหลาบ</v>
      </c>
      <c r="L190" s="1" t="str">
        <f>IFERROR(__xludf.DUMMYFUNCTION("""COMPUTED_VALUE"""),"ม.5")</f>
        <v>ม.5</v>
      </c>
      <c r="M190" s="1" t="str">
        <f>IFERROR(__xludf.DUMMYFUNCTION("""COMPUTED_VALUE"""),"วิทยาศาสตร์")</f>
        <v>วิทยาศาสตร์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>
        <f>IFERROR(__xludf.DUMMYFUNCTION("""COMPUTED_VALUE"""),4.0)</f>
        <v>4</v>
      </c>
      <c r="B191" s="1">
        <f>IFERROR(__xludf.DUMMYFUNCTION("""COMPUTED_VALUE"""),1.0)</f>
        <v>1</v>
      </c>
      <c r="C191" s="1" t="str">
        <f>IFERROR(__xludf.DUMMYFUNCTION("""COMPUTED_VALUE"""),"ว30222")</f>
        <v>ว30222</v>
      </c>
      <c r="D191" s="1" t="str">
        <f>IFERROR(__xludf.DUMMYFUNCTION("""COMPUTED_VALUE"""),"เคมี 2")</f>
        <v>เคมี 2</v>
      </c>
      <c r="E191" s="1">
        <f>IFERROR(__xludf.DUMMYFUNCTION("""COMPUTED_VALUE"""),1.5)</f>
        <v>1.5</v>
      </c>
      <c r="F191" s="1">
        <f>IFERROR(__xludf.DUMMYFUNCTION("""COMPUTED_VALUE"""),2569.0)</f>
        <v>2569</v>
      </c>
      <c r="G191" s="1">
        <f>IFERROR(__xludf.DUMMYFUNCTION("""COMPUTED_VALUE"""),1.0)</f>
        <v>1</v>
      </c>
      <c r="H191" s="1">
        <f>IFERROR(__xludf.DUMMYFUNCTION("""COMPUTED_VALUE"""),308.0)</f>
        <v>308</v>
      </c>
      <c r="I191" s="1" t="str">
        <f>IFERROR(__xludf.DUMMYFUNCTION("""COMPUTED_VALUE"""),"นาย")</f>
        <v>นาย</v>
      </c>
      <c r="J191" s="1" t="str">
        <f>IFERROR(__xludf.DUMMYFUNCTION("""COMPUTED_VALUE"""),"สันติ")</f>
        <v>สันติ</v>
      </c>
      <c r="K191" s="1" t="str">
        <f>IFERROR(__xludf.DUMMYFUNCTION("""COMPUTED_VALUE"""),"ดอกกุหลาบ")</f>
        <v>ดอกกุหลาบ</v>
      </c>
      <c r="L191" s="1" t="str">
        <f>IFERROR(__xludf.DUMMYFUNCTION("""COMPUTED_VALUE"""),"ม.5")</f>
        <v>ม.5</v>
      </c>
      <c r="M191" s="1" t="str">
        <f>IFERROR(__xludf.DUMMYFUNCTION("""COMPUTED_VALUE"""),"วิทยาศาสตร์")</f>
        <v>วิทยาศาสตร์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>
        <f>IFERROR(__xludf.DUMMYFUNCTION("""COMPUTED_VALUE"""),4.0)</f>
        <v>4</v>
      </c>
      <c r="B192" s="1">
        <f>IFERROR(__xludf.DUMMYFUNCTION("""COMPUTED_VALUE"""),1.0)</f>
        <v>1</v>
      </c>
      <c r="C192" s="1" t="str">
        <f>IFERROR(__xludf.DUMMYFUNCTION("""COMPUTED_VALUE"""),"ส30249")</f>
        <v>ส30249</v>
      </c>
      <c r="D192" s="1" t="str">
        <f>IFERROR(__xludf.DUMMYFUNCTION("""COMPUTED_VALUE"""),"การป้องกันการทุจริต 3")</f>
        <v>การป้องกันการทุจริต 3</v>
      </c>
      <c r="E192" s="1">
        <f>IFERROR(__xludf.DUMMYFUNCTION("""COMPUTED_VALUE"""),0.5)</f>
        <v>0.5</v>
      </c>
      <c r="F192" s="1">
        <f>IFERROR(__xludf.DUMMYFUNCTION("""COMPUTED_VALUE"""),2569.0)</f>
        <v>2569</v>
      </c>
      <c r="G192" s="1">
        <f>IFERROR(__xludf.DUMMYFUNCTION("""COMPUTED_VALUE"""),1.0)</f>
        <v>1</v>
      </c>
      <c r="H192" s="1">
        <f>IFERROR(__xludf.DUMMYFUNCTION("""COMPUTED_VALUE"""),308.0)</f>
        <v>308</v>
      </c>
      <c r="I192" s="1" t="str">
        <f>IFERROR(__xludf.DUMMYFUNCTION("""COMPUTED_VALUE"""),"นาย")</f>
        <v>นาย</v>
      </c>
      <c r="J192" s="1" t="str">
        <f>IFERROR(__xludf.DUMMYFUNCTION("""COMPUTED_VALUE"""),"สันติ")</f>
        <v>สันติ</v>
      </c>
      <c r="K192" s="1" t="str">
        <f>IFERROR(__xludf.DUMMYFUNCTION("""COMPUTED_VALUE"""),"ดอกกุหลาบ")</f>
        <v>ดอกกุหลาบ</v>
      </c>
      <c r="L192" s="1" t="str">
        <f>IFERROR(__xludf.DUMMYFUNCTION("""COMPUTED_VALUE"""),"ม.5")</f>
        <v>ม.5</v>
      </c>
      <c r="M192" s="1" t="str">
        <f>IFERROR(__xludf.DUMMYFUNCTION("""COMPUTED_VALUE"""),"วิทยาศาสตร์")</f>
        <v>วิทยาศาสตร์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>
        <f>IFERROR(__xludf.DUMMYFUNCTION("""COMPUTED_VALUE"""),1.0)</f>
        <v>1</v>
      </c>
      <c r="B193" s="1">
        <f>IFERROR(__xludf.DUMMYFUNCTION("""COMPUTED_VALUE"""),1.0)</f>
        <v>1</v>
      </c>
      <c r="C193" s="1" t="str">
        <f>IFERROR(__xludf.DUMMYFUNCTION("""COMPUTED_VALUE"""),"ว30102")</f>
        <v>ว30102</v>
      </c>
      <c r="D193" s="1" t="str">
        <f>IFERROR(__xludf.DUMMYFUNCTION("""COMPUTED_VALUE"""),"วิทยาศาสตร์กายภาพเคมี")</f>
        <v>วิทยาศาสตร์กายภาพเคมี</v>
      </c>
      <c r="E193" s="1">
        <f>IFERROR(__xludf.DUMMYFUNCTION("""COMPUTED_VALUE"""),1.5)</f>
        <v>1.5</v>
      </c>
      <c r="F193" s="1">
        <f>IFERROR(__xludf.DUMMYFUNCTION("""COMPUTED_VALUE"""),2569.0)</f>
        <v>2569</v>
      </c>
      <c r="G193" s="1">
        <f>IFERROR(__xludf.DUMMYFUNCTION("""COMPUTED_VALUE"""),1.0)</f>
        <v>1</v>
      </c>
      <c r="H193" s="1">
        <f>IFERROR(__xludf.DUMMYFUNCTION("""COMPUTED_VALUE"""),310.0)</f>
        <v>310</v>
      </c>
      <c r="I193" s="1" t="str">
        <f>IFERROR(__xludf.DUMMYFUNCTION("""COMPUTED_VALUE"""),"นาง")</f>
        <v>นาง</v>
      </c>
      <c r="J193" s="1" t="str">
        <f>IFERROR(__xludf.DUMMYFUNCTION("""COMPUTED_VALUE"""),"ทัศนี")</f>
        <v>ทัศนี</v>
      </c>
      <c r="K193" s="1" t="str">
        <f>IFERROR(__xludf.DUMMYFUNCTION("""COMPUTED_VALUE"""),"เทียนบุตร")</f>
        <v>เทียนบุตร</v>
      </c>
      <c r="L193" s="1" t="str">
        <f>IFERROR(__xludf.DUMMYFUNCTION("""COMPUTED_VALUE"""),"ม.4")</f>
        <v>ม.4</v>
      </c>
      <c r="M193" s="1" t="str">
        <f>IFERROR(__xludf.DUMMYFUNCTION("""COMPUTED_VALUE"""),"วิทยาศาสตร์")</f>
        <v>วิทยาศาสตร์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>
        <f>IFERROR(__xludf.DUMMYFUNCTION("""COMPUTED_VALUE"""),1.0)</f>
        <v>1</v>
      </c>
      <c r="B194" s="1">
        <f>IFERROR(__xludf.DUMMYFUNCTION("""COMPUTED_VALUE"""),1.0)</f>
        <v>1</v>
      </c>
      <c r="C194" s="1" t="str">
        <f>IFERROR(__xludf.DUMMYFUNCTION("""COMPUTED_VALUE"""),"ว30215")</f>
        <v>ว30215</v>
      </c>
      <c r="D194" s="1" t="str">
        <f>IFERROR(__xludf.DUMMYFUNCTION("""COMPUTED_VALUE"""),"นวัตกรรม 1")</f>
        <v>นวัตกรรม 1</v>
      </c>
      <c r="E194" s="1">
        <f>IFERROR(__xludf.DUMMYFUNCTION("""COMPUTED_VALUE"""),1.0)</f>
        <v>1</v>
      </c>
      <c r="F194" s="1">
        <f>IFERROR(__xludf.DUMMYFUNCTION("""COMPUTED_VALUE"""),2569.0)</f>
        <v>2569</v>
      </c>
      <c r="G194" s="1">
        <f>IFERROR(__xludf.DUMMYFUNCTION("""COMPUTED_VALUE"""),1.0)</f>
        <v>1</v>
      </c>
      <c r="H194" s="1">
        <f>IFERROR(__xludf.DUMMYFUNCTION("""COMPUTED_VALUE"""),310.0)</f>
        <v>310</v>
      </c>
      <c r="I194" s="1" t="str">
        <f>IFERROR(__xludf.DUMMYFUNCTION("""COMPUTED_VALUE"""),"นาง")</f>
        <v>นาง</v>
      </c>
      <c r="J194" s="1" t="str">
        <f>IFERROR(__xludf.DUMMYFUNCTION("""COMPUTED_VALUE"""),"ทัศนี")</f>
        <v>ทัศนี</v>
      </c>
      <c r="K194" s="1" t="str">
        <f>IFERROR(__xludf.DUMMYFUNCTION("""COMPUTED_VALUE"""),"เทียนบุตร")</f>
        <v>เทียนบุตร</v>
      </c>
      <c r="L194" s="1" t="str">
        <f>IFERROR(__xludf.DUMMYFUNCTION("""COMPUTED_VALUE"""),"ม.6")</f>
        <v>ม.6</v>
      </c>
      <c r="M194" s="1" t="str">
        <f>IFERROR(__xludf.DUMMYFUNCTION("""COMPUTED_VALUE"""),"วิทยาศาสตร์")</f>
        <v>วิทยาศาสตร์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>
        <f>IFERROR(__xludf.DUMMYFUNCTION("""COMPUTED_VALUE"""),2.0)</f>
        <v>2</v>
      </c>
      <c r="B195" s="1">
        <f>IFERROR(__xludf.DUMMYFUNCTION("""COMPUTED_VALUE"""),1.0)</f>
        <v>1</v>
      </c>
      <c r="C195" s="1" t="str">
        <f>IFERROR(__xludf.DUMMYFUNCTION("""COMPUTED_VALUE"""),"ว30215")</f>
        <v>ว30215</v>
      </c>
      <c r="D195" s="1" t="str">
        <f>IFERROR(__xludf.DUMMYFUNCTION("""COMPUTED_VALUE"""),"นวัตกรรม 1")</f>
        <v>นวัตกรรม 1</v>
      </c>
      <c r="E195" s="1">
        <f>IFERROR(__xludf.DUMMYFUNCTION("""COMPUTED_VALUE"""),1.0)</f>
        <v>1</v>
      </c>
      <c r="F195" s="1">
        <f>IFERROR(__xludf.DUMMYFUNCTION("""COMPUTED_VALUE"""),2569.0)</f>
        <v>2569</v>
      </c>
      <c r="G195" s="1">
        <f>IFERROR(__xludf.DUMMYFUNCTION("""COMPUTED_VALUE"""),1.0)</f>
        <v>1</v>
      </c>
      <c r="H195" s="1">
        <f>IFERROR(__xludf.DUMMYFUNCTION("""COMPUTED_VALUE"""),310.0)</f>
        <v>310</v>
      </c>
      <c r="I195" s="1" t="str">
        <f>IFERROR(__xludf.DUMMYFUNCTION("""COMPUTED_VALUE"""),"นาง")</f>
        <v>นาง</v>
      </c>
      <c r="J195" s="1" t="str">
        <f>IFERROR(__xludf.DUMMYFUNCTION("""COMPUTED_VALUE"""),"ทัศนี")</f>
        <v>ทัศนี</v>
      </c>
      <c r="K195" s="1" t="str">
        <f>IFERROR(__xludf.DUMMYFUNCTION("""COMPUTED_VALUE"""),"เทียนบุตร")</f>
        <v>เทียนบุตร</v>
      </c>
      <c r="L195" s="1" t="str">
        <f>IFERROR(__xludf.DUMMYFUNCTION("""COMPUTED_VALUE"""),"ม.6")</f>
        <v>ม.6</v>
      </c>
      <c r="M195" s="1" t="str">
        <f>IFERROR(__xludf.DUMMYFUNCTION("""COMPUTED_VALUE"""),"วิทยาศาสตร์")</f>
        <v>วิทยาศาสตร์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>
        <f>IFERROR(__xludf.DUMMYFUNCTION("""COMPUTED_VALUE"""),1.0)</f>
        <v>1</v>
      </c>
      <c r="B196" s="1">
        <f>IFERROR(__xludf.DUMMYFUNCTION("""COMPUTED_VALUE"""),1.0)</f>
        <v>1</v>
      </c>
      <c r="C196" s="1" t="str">
        <f>IFERROR(__xludf.DUMMYFUNCTION("""COMPUTED_VALUE"""),"ว30224")</f>
        <v>ว30224</v>
      </c>
      <c r="D196" s="1" t="str">
        <f>IFERROR(__xludf.DUMMYFUNCTION("""COMPUTED_VALUE"""),"เคมี 4")</f>
        <v>เคมี 4</v>
      </c>
      <c r="E196" s="1">
        <f>IFERROR(__xludf.DUMMYFUNCTION("""COMPUTED_VALUE"""),1.5)</f>
        <v>1.5</v>
      </c>
      <c r="F196" s="1">
        <f>IFERROR(__xludf.DUMMYFUNCTION("""COMPUTED_VALUE"""),2569.0)</f>
        <v>2569</v>
      </c>
      <c r="G196" s="1">
        <f>IFERROR(__xludf.DUMMYFUNCTION("""COMPUTED_VALUE"""),1.0)</f>
        <v>1</v>
      </c>
      <c r="H196" s="1">
        <f>IFERROR(__xludf.DUMMYFUNCTION("""COMPUTED_VALUE"""),310.0)</f>
        <v>310</v>
      </c>
      <c r="I196" s="1" t="str">
        <f>IFERROR(__xludf.DUMMYFUNCTION("""COMPUTED_VALUE"""),"นาง")</f>
        <v>นาง</v>
      </c>
      <c r="J196" s="1" t="str">
        <f>IFERROR(__xludf.DUMMYFUNCTION("""COMPUTED_VALUE"""),"ทัศนี")</f>
        <v>ทัศนี</v>
      </c>
      <c r="K196" s="1" t="str">
        <f>IFERROR(__xludf.DUMMYFUNCTION("""COMPUTED_VALUE"""),"เทียนบุตร")</f>
        <v>เทียนบุตร</v>
      </c>
      <c r="L196" s="1" t="str">
        <f>IFERROR(__xludf.DUMMYFUNCTION("""COMPUTED_VALUE"""),"ม.6")</f>
        <v>ม.6</v>
      </c>
      <c r="M196" s="1" t="str">
        <f>IFERROR(__xludf.DUMMYFUNCTION("""COMPUTED_VALUE"""),"วิทยาศาสตร์")</f>
        <v>วิทยาศาสตร์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>
        <f>IFERROR(__xludf.DUMMYFUNCTION("""COMPUTED_VALUE"""),2.0)</f>
        <v>2</v>
      </c>
      <c r="B197" s="1">
        <f>IFERROR(__xludf.DUMMYFUNCTION("""COMPUTED_VALUE"""),1.0)</f>
        <v>1</v>
      </c>
      <c r="C197" s="1" t="str">
        <f>IFERROR(__xludf.DUMMYFUNCTION("""COMPUTED_VALUE"""),"ว30224")</f>
        <v>ว30224</v>
      </c>
      <c r="D197" s="1" t="str">
        <f>IFERROR(__xludf.DUMMYFUNCTION("""COMPUTED_VALUE"""),"เคมี 4")</f>
        <v>เคมี 4</v>
      </c>
      <c r="E197" s="1">
        <f>IFERROR(__xludf.DUMMYFUNCTION("""COMPUTED_VALUE"""),1.5)</f>
        <v>1.5</v>
      </c>
      <c r="F197" s="1">
        <f>IFERROR(__xludf.DUMMYFUNCTION("""COMPUTED_VALUE"""),2569.0)</f>
        <v>2569</v>
      </c>
      <c r="G197" s="1">
        <f>IFERROR(__xludf.DUMMYFUNCTION("""COMPUTED_VALUE"""),1.0)</f>
        <v>1</v>
      </c>
      <c r="H197" s="1">
        <f>IFERROR(__xludf.DUMMYFUNCTION("""COMPUTED_VALUE"""),310.0)</f>
        <v>310</v>
      </c>
      <c r="I197" s="1" t="str">
        <f>IFERROR(__xludf.DUMMYFUNCTION("""COMPUTED_VALUE"""),"นาง")</f>
        <v>นาง</v>
      </c>
      <c r="J197" s="1" t="str">
        <f>IFERROR(__xludf.DUMMYFUNCTION("""COMPUTED_VALUE"""),"ทัศนี")</f>
        <v>ทัศนี</v>
      </c>
      <c r="K197" s="1" t="str">
        <f>IFERROR(__xludf.DUMMYFUNCTION("""COMPUTED_VALUE"""),"เทียนบุตร")</f>
        <v>เทียนบุตร</v>
      </c>
      <c r="L197" s="1" t="str">
        <f>IFERROR(__xludf.DUMMYFUNCTION("""COMPUTED_VALUE"""),"ม.6")</f>
        <v>ม.6</v>
      </c>
      <c r="M197" s="1" t="str">
        <f>IFERROR(__xludf.DUMMYFUNCTION("""COMPUTED_VALUE"""),"วิทยาศาสตร์")</f>
        <v>วิทยาศาสตร์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>
        <f>IFERROR(__xludf.DUMMYFUNCTION("""COMPUTED_VALUE"""),3.0)</f>
        <v>3</v>
      </c>
      <c r="B198" s="1">
        <f>IFERROR(__xludf.DUMMYFUNCTION("""COMPUTED_VALUE"""),1.0)</f>
        <v>1</v>
      </c>
      <c r="C198" s="1" t="str">
        <f>IFERROR(__xludf.DUMMYFUNCTION("""COMPUTED_VALUE"""),"ว30224")</f>
        <v>ว30224</v>
      </c>
      <c r="D198" s="1" t="str">
        <f>IFERROR(__xludf.DUMMYFUNCTION("""COMPUTED_VALUE"""),"เคมี 4")</f>
        <v>เคมี 4</v>
      </c>
      <c r="E198" s="1">
        <f>IFERROR(__xludf.DUMMYFUNCTION("""COMPUTED_VALUE"""),1.5)</f>
        <v>1.5</v>
      </c>
      <c r="F198" s="1">
        <f>IFERROR(__xludf.DUMMYFUNCTION("""COMPUTED_VALUE"""),2569.0)</f>
        <v>2569</v>
      </c>
      <c r="G198" s="1">
        <f>IFERROR(__xludf.DUMMYFUNCTION("""COMPUTED_VALUE"""),1.0)</f>
        <v>1</v>
      </c>
      <c r="H198" s="1">
        <f>IFERROR(__xludf.DUMMYFUNCTION("""COMPUTED_VALUE"""),310.0)</f>
        <v>310</v>
      </c>
      <c r="I198" s="1" t="str">
        <f>IFERROR(__xludf.DUMMYFUNCTION("""COMPUTED_VALUE"""),"นาง")</f>
        <v>นาง</v>
      </c>
      <c r="J198" s="1" t="str">
        <f>IFERROR(__xludf.DUMMYFUNCTION("""COMPUTED_VALUE"""),"ทัศนี")</f>
        <v>ทัศนี</v>
      </c>
      <c r="K198" s="1" t="str">
        <f>IFERROR(__xludf.DUMMYFUNCTION("""COMPUTED_VALUE"""),"เทียนบุตร")</f>
        <v>เทียนบุตร</v>
      </c>
      <c r="L198" s="1" t="str">
        <f>IFERROR(__xludf.DUMMYFUNCTION("""COMPUTED_VALUE"""),"ม.6")</f>
        <v>ม.6</v>
      </c>
      <c r="M198" s="1" t="str">
        <f>IFERROR(__xludf.DUMMYFUNCTION("""COMPUTED_VALUE"""),"วิทยาศาสตร์")</f>
        <v>วิทยาศาสตร์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>
        <f>IFERROR(__xludf.DUMMYFUNCTION("""COMPUTED_VALUE"""),4.0)</f>
        <v>4</v>
      </c>
      <c r="B199" s="1">
        <f>IFERROR(__xludf.DUMMYFUNCTION("""COMPUTED_VALUE"""),1.0)</f>
        <v>1</v>
      </c>
      <c r="C199" s="1" t="str">
        <f>IFERROR(__xludf.DUMMYFUNCTION("""COMPUTED_VALUE"""),"ว30224")</f>
        <v>ว30224</v>
      </c>
      <c r="D199" s="1" t="str">
        <f>IFERROR(__xludf.DUMMYFUNCTION("""COMPUTED_VALUE"""),"เคมี 4")</f>
        <v>เคมี 4</v>
      </c>
      <c r="E199" s="1">
        <f>IFERROR(__xludf.DUMMYFUNCTION("""COMPUTED_VALUE"""),1.5)</f>
        <v>1.5</v>
      </c>
      <c r="F199" s="1">
        <f>IFERROR(__xludf.DUMMYFUNCTION("""COMPUTED_VALUE"""),2569.0)</f>
        <v>2569</v>
      </c>
      <c r="G199" s="1">
        <f>IFERROR(__xludf.DUMMYFUNCTION("""COMPUTED_VALUE"""),1.0)</f>
        <v>1</v>
      </c>
      <c r="H199" s="1">
        <f>IFERROR(__xludf.DUMMYFUNCTION("""COMPUTED_VALUE"""),310.0)</f>
        <v>310</v>
      </c>
      <c r="I199" s="1" t="str">
        <f>IFERROR(__xludf.DUMMYFUNCTION("""COMPUTED_VALUE"""),"นาง")</f>
        <v>นาง</v>
      </c>
      <c r="J199" s="1" t="str">
        <f>IFERROR(__xludf.DUMMYFUNCTION("""COMPUTED_VALUE"""),"ทัศนี")</f>
        <v>ทัศนี</v>
      </c>
      <c r="K199" s="1" t="str">
        <f>IFERROR(__xludf.DUMMYFUNCTION("""COMPUTED_VALUE"""),"เทียนบุตร")</f>
        <v>เทียนบุตร</v>
      </c>
      <c r="L199" s="1" t="str">
        <f>IFERROR(__xludf.DUMMYFUNCTION("""COMPUTED_VALUE"""),"ม.6")</f>
        <v>ม.6</v>
      </c>
      <c r="M199" s="1" t="str">
        <f>IFERROR(__xludf.DUMMYFUNCTION("""COMPUTED_VALUE"""),"วิทยาศาสตร์")</f>
        <v>วิทยาศาสตร์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>
        <f>IFERROR(__xludf.DUMMYFUNCTION("""COMPUTED_VALUE"""),1.0)</f>
        <v>1</v>
      </c>
      <c r="B200" s="1">
        <f>IFERROR(__xludf.DUMMYFUNCTION("""COMPUTED_VALUE"""),2.0)</f>
        <v>2</v>
      </c>
      <c r="C200" s="1" t="str">
        <f>IFERROR(__xludf.DUMMYFUNCTION("""COMPUTED_VALUE"""),"ส30251")</f>
        <v>ส30251</v>
      </c>
      <c r="D200" s="1" t="str">
        <f>IFERROR(__xludf.DUMMYFUNCTION("""COMPUTED_VALUE"""),"การป้องกันการทุจริต 5")</f>
        <v>การป้องกันการทุจริต 5</v>
      </c>
      <c r="E200" s="1">
        <f>IFERROR(__xludf.DUMMYFUNCTION("""COMPUTED_VALUE"""),0.5)</f>
        <v>0.5</v>
      </c>
      <c r="F200" s="1">
        <f>IFERROR(__xludf.DUMMYFUNCTION("""COMPUTED_VALUE"""),2569.0)</f>
        <v>2569</v>
      </c>
      <c r="G200" s="1">
        <f>IFERROR(__xludf.DUMMYFUNCTION("""COMPUTED_VALUE"""),1.0)</f>
        <v>1</v>
      </c>
      <c r="H200" s="1">
        <f>IFERROR(__xludf.DUMMYFUNCTION("""COMPUTED_VALUE"""),310.0)</f>
        <v>310</v>
      </c>
      <c r="I200" s="1" t="str">
        <f>IFERROR(__xludf.DUMMYFUNCTION("""COMPUTED_VALUE"""),"นาง")</f>
        <v>นาง</v>
      </c>
      <c r="J200" s="1" t="str">
        <f>IFERROR(__xludf.DUMMYFUNCTION("""COMPUTED_VALUE"""),"ทัศนี")</f>
        <v>ทัศนี</v>
      </c>
      <c r="K200" s="1" t="str">
        <f>IFERROR(__xludf.DUMMYFUNCTION("""COMPUTED_VALUE"""),"เทียนบุตร")</f>
        <v>เทียนบุตร</v>
      </c>
      <c r="L200" s="1" t="str">
        <f>IFERROR(__xludf.DUMMYFUNCTION("""COMPUTED_VALUE"""),"ม.6")</f>
        <v>ม.6</v>
      </c>
      <c r="M200" s="1" t="str">
        <f>IFERROR(__xludf.DUMMYFUNCTION("""COMPUTED_VALUE"""),"วิทยาศาสตร์")</f>
        <v>วิทยาศาสตร์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>
        <f>IFERROR(__xludf.DUMMYFUNCTION("""COMPUTED_VALUE"""),3.0)</f>
        <v>3</v>
      </c>
      <c r="B201" s="1">
        <f>IFERROR(__xludf.DUMMYFUNCTION("""COMPUTED_VALUE"""),1.0)</f>
        <v>1</v>
      </c>
      <c r="C201" s="1" t="str">
        <f>IFERROR(__xludf.DUMMYFUNCTION("""COMPUTED_VALUE"""),"ว23101")</f>
        <v>ว23101</v>
      </c>
      <c r="D201" s="1" t="str">
        <f>IFERROR(__xludf.DUMMYFUNCTION("""COMPUTED_VALUE"""),"วิทยาศาสตร์ 5")</f>
        <v>วิทยาศาสตร์ 5</v>
      </c>
      <c r="E201" s="1">
        <f>IFERROR(__xludf.DUMMYFUNCTION("""COMPUTED_VALUE"""),1.5)</f>
        <v>1.5</v>
      </c>
      <c r="F201" s="1">
        <f>IFERROR(__xludf.DUMMYFUNCTION("""COMPUTED_VALUE"""),2569.0)</f>
        <v>2569</v>
      </c>
      <c r="G201" s="1">
        <f>IFERROR(__xludf.DUMMYFUNCTION("""COMPUTED_VALUE"""),1.0)</f>
        <v>1</v>
      </c>
      <c r="H201" s="1">
        <f>IFERROR(__xludf.DUMMYFUNCTION("""COMPUTED_VALUE"""),311.0)</f>
        <v>311</v>
      </c>
      <c r="I201" s="1" t="str">
        <f>IFERROR(__xludf.DUMMYFUNCTION("""COMPUTED_VALUE"""),"นาง")</f>
        <v>นาง</v>
      </c>
      <c r="J201" s="1" t="str">
        <f>IFERROR(__xludf.DUMMYFUNCTION("""COMPUTED_VALUE"""),"จำเรียง")</f>
        <v>จำเรียง</v>
      </c>
      <c r="K201" s="1" t="str">
        <f>IFERROR(__xludf.DUMMYFUNCTION("""COMPUTED_VALUE"""),"หมู่ทอง")</f>
        <v>หมู่ทอง</v>
      </c>
      <c r="L201" s="1" t="str">
        <f>IFERROR(__xludf.DUMMYFUNCTION("""COMPUTED_VALUE"""),"ม.3")</f>
        <v>ม.3</v>
      </c>
      <c r="M201" s="1" t="str">
        <f>IFERROR(__xludf.DUMMYFUNCTION("""COMPUTED_VALUE"""),"วิทยาศาสตร์")</f>
        <v>วิทยาศาสตร์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>
        <f>IFERROR(__xludf.DUMMYFUNCTION("""COMPUTED_VALUE"""),6.0)</f>
        <v>6</v>
      </c>
      <c r="B202" s="1">
        <f>IFERROR(__xludf.DUMMYFUNCTION("""COMPUTED_VALUE"""),1.0)</f>
        <v>1</v>
      </c>
      <c r="C202" s="1" t="str">
        <f>IFERROR(__xludf.DUMMYFUNCTION("""COMPUTED_VALUE"""),"ว23101")</f>
        <v>ว23101</v>
      </c>
      <c r="D202" s="1" t="str">
        <f>IFERROR(__xludf.DUMMYFUNCTION("""COMPUTED_VALUE"""),"วิทยาศาสตร์ 5")</f>
        <v>วิทยาศาสตร์ 5</v>
      </c>
      <c r="E202" s="1">
        <f>IFERROR(__xludf.DUMMYFUNCTION("""COMPUTED_VALUE"""),1.5)</f>
        <v>1.5</v>
      </c>
      <c r="F202" s="1">
        <f>IFERROR(__xludf.DUMMYFUNCTION("""COMPUTED_VALUE"""),2569.0)</f>
        <v>2569</v>
      </c>
      <c r="G202" s="1">
        <f>IFERROR(__xludf.DUMMYFUNCTION("""COMPUTED_VALUE"""),1.0)</f>
        <v>1</v>
      </c>
      <c r="H202" s="1">
        <f>IFERROR(__xludf.DUMMYFUNCTION("""COMPUTED_VALUE"""),311.0)</f>
        <v>311</v>
      </c>
      <c r="I202" s="1" t="str">
        <f>IFERROR(__xludf.DUMMYFUNCTION("""COMPUTED_VALUE"""),"นาง")</f>
        <v>นาง</v>
      </c>
      <c r="J202" s="1" t="str">
        <f>IFERROR(__xludf.DUMMYFUNCTION("""COMPUTED_VALUE"""),"จำเรียง")</f>
        <v>จำเรียง</v>
      </c>
      <c r="K202" s="1" t="str">
        <f>IFERROR(__xludf.DUMMYFUNCTION("""COMPUTED_VALUE"""),"หมู่ทอง")</f>
        <v>หมู่ทอง</v>
      </c>
      <c r="L202" s="1" t="str">
        <f>IFERROR(__xludf.DUMMYFUNCTION("""COMPUTED_VALUE"""),"ม.3")</f>
        <v>ม.3</v>
      </c>
      <c r="M202" s="1" t="str">
        <f>IFERROR(__xludf.DUMMYFUNCTION("""COMPUTED_VALUE"""),"วิทยาศาสตร์")</f>
        <v>วิทยาศาสตร์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>
        <f>IFERROR(__xludf.DUMMYFUNCTION("""COMPUTED_VALUE"""),7.0)</f>
        <v>7</v>
      </c>
      <c r="B203" s="1">
        <f>IFERROR(__xludf.DUMMYFUNCTION("""COMPUTED_VALUE"""),1.0)</f>
        <v>1</v>
      </c>
      <c r="C203" s="1" t="str">
        <f>IFERROR(__xludf.DUMMYFUNCTION("""COMPUTED_VALUE"""),"ว23101")</f>
        <v>ว23101</v>
      </c>
      <c r="D203" s="1" t="str">
        <f>IFERROR(__xludf.DUMMYFUNCTION("""COMPUTED_VALUE"""),"วิทยาศาสตร์ 5")</f>
        <v>วิทยาศาสตร์ 5</v>
      </c>
      <c r="E203" s="1">
        <f>IFERROR(__xludf.DUMMYFUNCTION("""COMPUTED_VALUE"""),1.5)</f>
        <v>1.5</v>
      </c>
      <c r="F203" s="1">
        <f>IFERROR(__xludf.DUMMYFUNCTION("""COMPUTED_VALUE"""),2569.0)</f>
        <v>2569</v>
      </c>
      <c r="G203" s="1">
        <f>IFERROR(__xludf.DUMMYFUNCTION("""COMPUTED_VALUE"""),1.0)</f>
        <v>1</v>
      </c>
      <c r="H203" s="1">
        <f>IFERROR(__xludf.DUMMYFUNCTION("""COMPUTED_VALUE"""),311.0)</f>
        <v>311</v>
      </c>
      <c r="I203" s="1" t="str">
        <f>IFERROR(__xludf.DUMMYFUNCTION("""COMPUTED_VALUE"""),"นาง")</f>
        <v>นาง</v>
      </c>
      <c r="J203" s="1" t="str">
        <f>IFERROR(__xludf.DUMMYFUNCTION("""COMPUTED_VALUE"""),"จำเรียง")</f>
        <v>จำเรียง</v>
      </c>
      <c r="K203" s="1" t="str">
        <f>IFERROR(__xludf.DUMMYFUNCTION("""COMPUTED_VALUE"""),"หมู่ทอง")</f>
        <v>หมู่ทอง</v>
      </c>
      <c r="L203" s="1" t="str">
        <f>IFERROR(__xludf.DUMMYFUNCTION("""COMPUTED_VALUE"""),"ม.3")</f>
        <v>ม.3</v>
      </c>
      <c r="M203" s="1" t="str">
        <f>IFERROR(__xludf.DUMMYFUNCTION("""COMPUTED_VALUE"""),"วิทยาศาสตร์")</f>
        <v>วิทยาศาสตร์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>
        <f>IFERROR(__xludf.DUMMYFUNCTION("""COMPUTED_VALUE"""),3.0)</f>
        <v>3</v>
      </c>
      <c r="B204" s="1">
        <f>IFERROR(__xludf.DUMMYFUNCTION("""COMPUTED_VALUE"""),1.0)</f>
        <v>1</v>
      </c>
      <c r="C204" s="1" t="str">
        <f>IFERROR(__xludf.DUMMYFUNCTION("""COMPUTED_VALUE"""),"ส20223")</f>
        <v>ส20223</v>
      </c>
      <c r="D204" s="1" t="str">
        <f>IFERROR(__xludf.DUMMYFUNCTION("""COMPUTED_VALUE"""),"การป้องกันการทุจริต 1")</f>
        <v>การป้องกันการทุจริต 1</v>
      </c>
      <c r="E204" s="1">
        <f>IFERROR(__xludf.DUMMYFUNCTION("""COMPUTED_VALUE"""),0.5)</f>
        <v>0.5</v>
      </c>
      <c r="F204" s="1">
        <f>IFERROR(__xludf.DUMMYFUNCTION("""COMPUTED_VALUE"""),2569.0)</f>
        <v>2569</v>
      </c>
      <c r="G204" s="1">
        <f>IFERROR(__xludf.DUMMYFUNCTION("""COMPUTED_VALUE"""),1.0)</f>
        <v>1</v>
      </c>
      <c r="H204" s="1">
        <f>IFERROR(__xludf.DUMMYFUNCTION("""COMPUTED_VALUE"""),311.0)</f>
        <v>311</v>
      </c>
      <c r="I204" s="1" t="str">
        <f>IFERROR(__xludf.DUMMYFUNCTION("""COMPUTED_VALUE"""),"นาง")</f>
        <v>นาง</v>
      </c>
      <c r="J204" s="1" t="str">
        <f>IFERROR(__xludf.DUMMYFUNCTION("""COMPUTED_VALUE"""),"จำเรียง")</f>
        <v>จำเรียง</v>
      </c>
      <c r="K204" s="1" t="str">
        <f>IFERROR(__xludf.DUMMYFUNCTION("""COMPUTED_VALUE"""),"หมู่ทอง")</f>
        <v>หมู่ทอง</v>
      </c>
      <c r="L204" s="1" t="str">
        <f>IFERROR(__xludf.DUMMYFUNCTION("""COMPUTED_VALUE"""),"ม.1")</f>
        <v>ม.1</v>
      </c>
      <c r="M204" s="1" t="str">
        <f>IFERROR(__xludf.DUMMYFUNCTION("""COMPUTED_VALUE"""),"วิทยาศาสตร์")</f>
        <v>วิทยาศาสตร์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>
        <f>IFERROR(__xludf.DUMMYFUNCTION("""COMPUTED_VALUE"""),4.0)</f>
        <v>4</v>
      </c>
      <c r="B205" s="1">
        <f>IFERROR(__xludf.DUMMYFUNCTION("""COMPUTED_VALUE"""),1.0)</f>
        <v>1</v>
      </c>
      <c r="C205" s="1" t="str">
        <f>IFERROR(__xludf.DUMMYFUNCTION("""COMPUTED_VALUE"""),"I20201")</f>
        <v>I20201</v>
      </c>
      <c r="D205" s="1" t="str">
        <f>IFERROR(__xludf.DUMMYFUNCTION("""COMPUTED_VALUE"""),"การศึกษาค้นคว้า")</f>
        <v>การศึกษาค้นคว้า</v>
      </c>
      <c r="E205" s="1">
        <f>IFERROR(__xludf.DUMMYFUNCTION("""COMPUTED_VALUE"""),1.0)</f>
        <v>1</v>
      </c>
      <c r="F205" s="1">
        <f>IFERROR(__xludf.DUMMYFUNCTION("""COMPUTED_VALUE"""),2569.0)</f>
        <v>2569</v>
      </c>
      <c r="G205" s="1">
        <f>IFERROR(__xludf.DUMMYFUNCTION("""COMPUTED_VALUE"""),1.0)</f>
        <v>1</v>
      </c>
      <c r="H205" s="1">
        <f>IFERROR(__xludf.DUMMYFUNCTION("""COMPUTED_VALUE"""),311.0)</f>
        <v>311</v>
      </c>
      <c r="I205" s="1" t="str">
        <f>IFERROR(__xludf.DUMMYFUNCTION("""COMPUTED_VALUE"""),"นาง")</f>
        <v>นาง</v>
      </c>
      <c r="J205" s="1" t="str">
        <f>IFERROR(__xludf.DUMMYFUNCTION("""COMPUTED_VALUE"""),"จำเรียง")</f>
        <v>จำเรียง</v>
      </c>
      <c r="K205" s="1" t="str">
        <f>IFERROR(__xludf.DUMMYFUNCTION("""COMPUTED_VALUE"""),"หมู่ทอง")</f>
        <v>หมู่ทอง</v>
      </c>
      <c r="L205" s="1" t="str">
        <f>IFERROR(__xludf.DUMMYFUNCTION("""COMPUTED_VALUE"""),"ม.2")</f>
        <v>ม.2</v>
      </c>
      <c r="M205" s="1" t="str">
        <f>IFERROR(__xludf.DUMMYFUNCTION("""COMPUTED_VALUE"""),"วิทยาศาสตร์")</f>
        <v>วิทยาศาสตร์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>
        <f>IFERROR(__xludf.DUMMYFUNCTION("""COMPUTED_VALUE"""),5.0)</f>
        <v>5</v>
      </c>
      <c r="B206" s="1">
        <f>IFERROR(__xludf.DUMMYFUNCTION("""COMPUTED_VALUE"""),1.0)</f>
        <v>1</v>
      </c>
      <c r="C206" s="1" t="str">
        <f>IFERROR(__xludf.DUMMYFUNCTION("""COMPUTED_VALUE"""),"I20201")</f>
        <v>I20201</v>
      </c>
      <c r="D206" s="1" t="str">
        <f>IFERROR(__xludf.DUMMYFUNCTION("""COMPUTED_VALUE"""),"การศึกษาค้นคว้า")</f>
        <v>การศึกษาค้นคว้า</v>
      </c>
      <c r="E206" s="1">
        <f>IFERROR(__xludf.DUMMYFUNCTION("""COMPUTED_VALUE"""),1.0)</f>
        <v>1</v>
      </c>
      <c r="F206" s="1">
        <f>IFERROR(__xludf.DUMMYFUNCTION("""COMPUTED_VALUE"""),2569.0)</f>
        <v>2569</v>
      </c>
      <c r="G206" s="1">
        <f>IFERROR(__xludf.DUMMYFUNCTION("""COMPUTED_VALUE"""),1.0)</f>
        <v>1</v>
      </c>
      <c r="H206" s="1">
        <f>IFERROR(__xludf.DUMMYFUNCTION("""COMPUTED_VALUE"""),311.0)</f>
        <v>311</v>
      </c>
      <c r="I206" s="1" t="str">
        <f>IFERROR(__xludf.DUMMYFUNCTION("""COMPUTED_VALUE"""),"นาง")</f>
        <v>นาง</v>
      </c>
      <c r="J206" s="1" t="str">
        <f>IFERROR(__xludf.DUMMYFUNCTION("""COMPUTED_VALUE"""),"จำเรียง")</f>
        <v>จำเรียง</v>
      </c>
      <c r="K206" s="1" t="str">
        <f>IFERROR(__xludf.DUMMYFUNCTION("""COMPUTED_VALUE"""),"หมู่ทอง")</f>
        <v>หมู่ทอง</v>
      </c>
      <c r="L206" s="1" t="str">
        <f>IFERROR(__xludf.DUMMYFUNCTION("""COMPUTED_VALUE"""),"ม.2")</f>
        <v>ม.2</v>
      </c>
      <c r="M206" s="1" t="str">
        <f>IFERROR(__xludf.DUMMYFUNCTION("""COMPUTED_VALUE"""),"วิทยาศาสตร์")</f>
        <v>วิทยาศาสตร์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>
        <f>IFERROR(__xludf.DUMMYFUNCTION("""COMPUTED_VALUE"""),6.0)</f>
        <v>6</v>
      </c>
      <c r="B207" s="1">
        <f>IFERROR(__xludf.DUMMYFUNCTION("""COMPUTED_VALUE"""),1.0)</f>
        <v>1</v>
      </c>
      <c r="C207" s="1" t="str">
        <f>IFERROR(__xludf.DUMMYFUNCTION("""COMPUTED_VALUE"""),"I20201")</f>
        <v>I20201</v>
      </c>
      <c r="D207" s="1" t="str">
        <f>IFERROR(__xludf.DUMMYFUNCTION("""COMPUTED_VALUE"""),"การศึกษาค้นคว้า")</f>
        <v>การศึกษาค้นคว้า</v>
      </c>
      <c r="E207" s="1">
        <f>IFERROR(__xludf.DUMMYFUNCTION("""COMPUTED_VALUE"""),1.0)</f>
        <v>1</v>
      </c>
      <c r="F207" s="1">
        <f>IFERROR(__xludf.DUMMYFUNCTION("""COMPUTED_VALUE"""),2569.0)</f>
        <v>2569</v>
      </c>
      <c r="G207" s="1">
        <f>IFERROR(__xludf.DUMMYFUNCTION("""COMPUTED_VALUE"""),1.0)</f>
        <v>1</v>
      </c>
      <c r="H207" s="1">
        <f>IFERROR(__xludf.DUMMYFUNCTION("""COMPUTED_VALUE"""),311.0)</f>
        <v>311</v>
      </c>
      <c r="I207" s="1" t="str">
        <f>IFERROR(__xludf.DUMMYFUNCTION("""COMPUTED_VALUE"""),"นาง")</f>
        <v>นาง</v>
      </c>
      <c r="J207" s="1" t="str">
        <f>IFERROR(__xludf.DUMMYFUNCTION("""COMPUTED_VALUE"""),"จำเรียง")</f>
        <v>จำเรียง</v>
      </c>
      <c r="K207" s="1" t="str">
        <f>IFERROR(__xludf.DUMMYFUNCTION("""COMPUTED_VALUE"""),"หมู่ทอง")</f>
        <v>หมู่ทอง</v>
      </c>
      <c r="L207" s="1" t="str">
        <f>IFERROR(__xludf.DUMMYFUNCTION("""COMPUTED_VALUE"""),"ม.2")</f>
        <v>ม.2</v>
      </c>
      <c r="M207" s="1" t="str">
        <f>IFERROR(__xludf.DUMMYFUNCTION("""COMPUTED_VALUE"""),"วิทยาศาสตร์")</f>
        <v>วิทยาศาสตร์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>
        <f>IFERROR(__xludf.DUMMYFUNCTION("""COMPUTED_VALUE"""),7.0)</f>
        <v>7</v>
      </c>
      <c r="B208" s="1">
        <f>IFERROR(__xludf.DUMMYFUNCTION("""COMPUTED_VALUE"""),1.0)</f>
        <v>1</v>
      </c>
      <c r="C208" s="1" t="str">
        <f>IFERROR(__xludf.DUMMYFUNCTION("""COMPUTED_VALUE"""),"I20201")</f>
        <v>I20201</v>
      </c>
      <c r="D208" s="1" t="str">
        <f>IFERROR(__xludf.DUMMYFUNCTION("""COMPUTED_VALUE"""),"การศึกษาค้นคว้า")</f>
        <v>การศึกษาค้นคว้า</v>
      </c>
      <c r="E208" s="1">
        <f>IFERROR(__xludf.DUMMYFUNCTION("""COMPUTED_VALUE"""),1.0)</f>
        <v>1</v>
      </c>
      <c r="F208" s="1">
        <f>IFERROR(__xludf.DUMMYFUNCTION("""COMPUTED_VALUE"""),2569.0)</f>
        <v>2569</v>
      </c>
      <c r="G208" s="1">
        <f>IFERROR(__xludf.DUMMYFUNCTION("""COMPUTED_VALUE"""),1.0)</f>
        <v>1</v>
      </c>
      <c r="H208" s="1">
        <f>IFERROR(__xludf.DUMMYFUNCTION("""COMPUTED_VALUE"""),311.0)</f>
        <v>311</v>
      </c>
      <c r="I208" s="1" t="str">
        <f>IFERROR(__xludf.DUMMYFUNCTION("""COMPUTED_VALUE"""),"นาง")</f>
        <v>นาง</v>
      </c>
      <c r="J208" s="1" t="str">
        <f>IFERROR(__xludf.DUMMYFUNCTION("""COMPUTED_VALUE"""),"จำเรียง")</f>
        <v>จำเรียง</v>
      </c>
      <c r="K208" s="1" t="str">
        <f>IFERROR(__xludf.DUMMYFUNCTION("""COMPUTED_VALUE"""),"หมู่ทอง")</f>
        <v>หมู่ทอง</v>
      </c>
      <c r="L208" s="1" t="str">
        <f>IFERROR(__xludf.DUMMYFUNCTION("""COMPUTED_VALUE"""),"ม.2")</f>
        <v>ม.2</v>
      </c>
      <c r="M208" s="1" t="str">
        <f>IFERROR(__xludf.DUMMYFUNCTION("""COMPUTED_VALUE"""),"วิทยาศาสตร์")</f>
        <v>วิทยาศาสตร์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>
        <f>IFERROR(__xludf.DUMMYFUNCTION("""COMPUTED_VALUE"""),3.0)</f>
        <v>3</v>
      </c>
      <c r="B209" s="1">
        <f>IFERROR(__xludf.DUMMYFUNCTION("""COMPUTED_VALUE"""),1.0)</f>
        <v>1</v>
      </c>
      <c r="C209" s="1" t="str">
        <f>IFERROR(__xludf.DUMMYFUNCTION("""COMPUTED_VALUE"""),"ว30204")</f>
        <v>ว30204</v>
      </c>
      <c r="D209" s="1" t="str">
        <f>IFERROR(__xludf.DUMMYFUNCTION("""COMPUTED_VALUE"""),"ฟิสิกส์ 4")</f>
        <v>ฟิสิกส์ 4</v>
      </c>
      <c r="E209" s="1">
        <f>IFERROR(__xludf.DUMMYFUNCTION("""COMPUTED_VALUE"""),2.0)</f>
        <v>2</v>
      </c>
      <c r="F209" s="1">
        <f>IFERROR(__xludf.DUMMYFUNCTION("""COMPUTED_VALUE"""),2569.0)</f>
        <v>2569</v>
      </c>
      <c r="G209" s="1">
        <f>IFERROR(__xludf.DUMMYFUNCTION("""COMPUTED_VALUE"""),1.0)</f>
        <v>1</v>
      </c>
      <c r="H209" s="1">
        <f>IFERROR(__xludf.DUMMYFUNCTION("""COMPUTED_VALUE"""),318.0)</f>
        <v>318</v>
      </c>
      <c r="I209" s="1" t="str">
        <f>IFERROR(__xludf.DUMMYFUNCTION("""COMPUTED_VALUE"""),"นาย")</f>
        <v>นาย</v>
      </c>
      <c r="J209" s="1" t="str">
        <f>IFERROR(__xludf.DUMMYFUNCTION("""COMPUTED_VALUE"""),"สายันต์")</f>
        <v>สายันต์</v>
      </c>
      <c r="K209" s="1" t="str">
        <f>IFERROR(__xludf.DUMMYFUNCTION("""COMPUTED_VALUE"""),"เย็นเจริญ")</f>
        <v>เย็นเจริญ</v>
      </c>
      <c r="L209" s="1" t="str">
        <f>IFERROR(__xludf.DUMMYFUNCTION("""COMPUTED_VALUE"""),"ม.6")</f>
        <v>ม.6</v>
      </c>
      <c r="M209" s="1" t="str">
        <f>IFERROR(__xludf.DUMMYFUNCTION("""COMPUTED_VALUE"""),"วิทยาศาสตร์")</f>
        <v>วิทยาศาสตร์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>
        <f>IFERROR(__xludf.DUMMYFUNCTION("""COMPUTED_VALUE"""),4.0)</f>
        <v>4</v>
      </c>
      <c r="B210" s="1">
        <f>IFERROR(__xludf.DUMMYFUNCTION("""COMPUTED_VALUE"""),1.0)</f>
        <v>1</v>
      </c>
      <c r="C210" s="1" t="str">
        <f>IFERROR(__xludf.DUMMYFUNCTION("""COMPUTED_VALUE"""),"ว30204")</f>
        <v>ว30204</v>
      </c>
      <c r="D210" s="1" t="str">
        <f>IFERROR(__xludf.DUMMYFUNCTION("""COMPUTED_VALUE"""),"ฟิสิกส์ 4")</f>
        <v>ฟิสิกส์ 4</v>
      </c>
      <c r="E210" s="1">
        <f>IFERROR(__xludf.DUMMYFUNCTION("""COMPUTED_VALUE"""),2.0)</f>
        <v>2</v>
      </c>
      <c r="F210" s="1">
        <f>IFERROR(__xludf.DUMMYFUNCTION("""COMPUTED_VALUE"""),2569.0)</f>
        <v>2569</v>
      </c>
      <c r="G210" s="1">
        <f>IFERROR(__xludf.DUMMYFUNCTION("""COMPUTED_VALUE"""),1.0)</f>
        <v>1</v>
      </c>
      <c r="H210" s="1">
        <f>IFERROR(__xludf.DUMMYFUNCTION("""COMPUTED_VALUE"""),318.0)</f>
        <v>318</v>
      </c>
      <c r="I210" s="1" t="str">
        <f>IFERROR(__xludf.DUMMYFUNCTION("""COMPUTED_VALUE"""),"นาย")</f>
        <v>นาย</v>
      </c>
      <c r="J210" s="1" t="str">
        <f>IFERROR(__xludf.DUMMYFUNCTION("""COMPUTED_VALUE"""),"สายันต์")</f>
        <v>สายันต์</v>
      </c>
      <c r="K210" s="1" t="str">
        <f>IFERROR(__xludf.DUMMYFUNCTION("""COMPUTED_VALUE"""),"เย็นเจริญ")</f>
        <v>เย็นเจริญ</v>
      </c>
      <c r="L210" s="1" t="str">
        <f>IFERROR(__xludf.DUMMYFUNCTION("""COMPUTED_VALUE"""),"ม.6")</f>
        <v>ม.6</v>
      </c>
      <c r="M210" s="1" t="str">
        <f>IFERROR(__xludf.DUMMYFUNCTION("""COMPUTED_VALUE"""),"วิทยาศาสตร์")</f>
        <v>วิทยาศาสตร์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>
        <f>IFERROR(__xludf.DUMMYFUNCTION("""COMPUTED_VALUE"""),1.0)</f>
        <v>1</v>
      </c>
      <c r="B211" s="1">
        <f>IFERROR(__xludf.DUMMYFUNCTION("""COMPUTED_VALUE"""),1.0)</f>
        <v>1</v>
      </c>
      <c r="C211" s="1" t="str">
        <f>IFERROR(__xludf.DUMMYFUNCTION("""COMPUTED_VALUE"""),"ว30209")</f>
        <v>ว30209</v>
      </c>
      <c r="D211" s="1" t="str">
        <f>IFERROR(__xludf.DUMMYFUNCTION("""COMPUTED_VALUE"""),"ฟิสิกส์เพิ่มเติม 4")</f>
        <v>ฟิสิกส์เพิ่มเติม 4</v>
      </c>
      <c r="E211" s="1">
        <f>IFERROR(__xludf.DUMMYFUNCTION("""COMPUTED_VALUE"""),1.5)</f>
        <v>1.5</v>
      </c>
      <c r="F211" s="1">
        <f>IFERROR(__xludf.DUMMYFUNCTION("""COMPUTED_VALUE"""),2569.0)</f>
        <v>2569</v>
      </c>
      <c r="G211" s="1">
        <f>IFERROR(__xludf.DUMMYFUNCTION("""COMPUTED_VALUE"""),1.0)</f>
        <v>1</v>
      </c>
      <c r="H211" s="1">
        <f>IFERROR(__xludf.DUMMYFUNCTION("""COMPUTED_VALUE"""),318.0)</f>
        <v>318</v>
      </c>
      <c r="I211" s="1" t="str">
        <f>IFERROR(__xludf.DUMMYFUNCTION("""COMPUTED_VALUE"""),"นาย")</f>
        <v>นาย</v>
      </c>
      <c r="J211" s="1" t="str">
        <f>IFERROR(__xludf.DUMMYFUNCTION("""COMPUTED_VALUE"""),"สายันต์")</f>
        <v>สายันต์</v>
      </c>
      <c r="K211" s="1" t="str">
        <f>IFERROR(__xludf.DUMMYFUNCTION("""COMPUTED_VALUE"""),"เย็นเจริญ")</f>
        <v>เย็นเจริญ</v>
      </c>
      <c r="L211" s="1" t="str">
        <f>IFERROR(__xludf.DUMMYFUNCTION("""COMPUTED_VALUE"""),"ม.6")</f>
        <v>ม.6</v>
      </c>
      <c r="M211" s="1" t="str">
        <f>IFERROR(__xludf.DUMMYFUNCTION("""COMPUTED_VALUE"""),"วิทยาศาสตร์")</f>
        <v>วิทยาศาสตร์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>
        <f>IFERROR(__xludf.DUMMYFUNCTION("""COMPUTED_VALUE"""),2.0)</f>
        <v>2</v>
      </c>
      <c r="B212" s="1">
        <f>IFERROR(__xludf.DUMMYFUNCTION("""COMPUTED_VALUE"""),1.0)</f>
        <v>1</v>
      </c>
      <c r="C212" s="1" t="str">
        <f>IFERROR(__xludf.DUMMYFUNCTION("""COMPUTED_VALUE"""),"ว30209")</f>
        <v>ว30209</v>
      </c>
      <c r="D212" s="1" t="str">
        <f>IFERROR(__xludf.DUMMYFUNCTION("""COMPUTED_VALUE"""),"ฟิสิกส์เพิ่มเติม 4")</f>
        <v>ฟิสิกส์เพิ่มเติม 4</v>
      </c>
      <c r="E212" s="1">
        <f>IFERROR(__xludf.DUMMYFUNCTION("""COMPUTED_VALUE"""),1.5)</f>
        <v>1.5</v>
      </c>
      <c r="F212" s="1">
        <f>IFERROR(__xludf.DUMMYFUNCTION("""COMPUTED_VALUE"""),2569.0)</f>
        <v>2569</v>
      </c>
      <c r="G212" s="1">
        <f>IFERROR(__xludf.DUMMYFUNCTION("""COMPUTED_VALUE"""),1.0)</f>
        <v>1</v>
      </c>
      <c r="H212" s="1">
        <f>IFERROR(__xludf.DUMMYFUNCTION("""COMPUTED_VALUE"""),318.0)</f>
        <v>318</v>
      </c>
      <c r="I212" s="1" t="str">
        <f>IFERROR(__xludf.DUMMYFUNCTION("""COMPUTED_VALUE"""),"นาย")</f>
        <v>นาย</v>
      </c>
      <c r="J212" s="1" t="str">
        <f>IFERROR(__xludf.DUMMYFUNCTION("""COMPUTED_VALUE"""),"สายันต์")</f>
        <v>สายันต์</v>
      </c>
      <c r="K212" s="1" t="str">
        <f>IFERROR(__xludf.DUMMYFUNCTION("""COMPUTED_VALUE"""),"เย็นเจริญ")</f>
        <v>เย็นเจริญ</v>
      </c>
      <c r="L212" s="1" t="str">
        <f>IFERROR(__xludf.DUMMYFUNCTION("""COMPUTED_VALUE"""),"ม.6")</f>
        <v>ม.6</v>
      </c>
      <c r="M212" s="1" t="str">
        <f>IFERROR(__xludf.DUMMYFUNCTION("""COMPUTED_VALUE"""),"วิทยาศาสตร์")</f>
        <v>วิทยาศาสตร์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>
        <f>IFERROR(__xludf.DUMMYFUNCTION("""COMPUTED_VALUE"""),1.0)</f>
        <v>1</v>
      </c>
      <c r="B213" s="1">
        <f>IFERROR(__xludf.DUMMYFUNCTION("""COMPUTED_VALUE"""),1.0)</f>
        <v>1</v>
      </c>
      <c r="C213" s="1" t="str">
        <f>IFERROR(__xludf.DUMMYFUNCTION("""COMPUTED_VALUE"""),"ส30249")</f>
        <v>ส30249</v>
      </c>
      <c r="D213" s="1" t="str">
        <f>IFERROR(__xludf.DUMMYFUNCTION("""COMPUTED_VALUE"""),"การป้องกันการทุจริต 3")</f>
        <v>การป้องกันการทุจริต 3</v>
      </c>
      <c r="E213" s="1">
        <f>IFERROR(__xludf.DUMMYFUNCTION("""COMPUTED_VALUE"""),0.5)</f>
        <v>0.5</v>
      </c>
      <c r="F213" s="1">
        <f>IFERROR(__xludf.DUMMYFUNCTION("""COMPUTED_VALUE"""),2569.0)</f>
        <v>2569</v>
      </c>
      <c r="G213" s="1">
        <f>IFERROR(__xludf.DUMMYFUNCTION("""COMPUTED_VALUE"""),1.0)</f>
        <v>1</v>
      </c>
      <c r="H213" s="1">
        <f>IFERROR(__xludf.DUMMYFUNCTION("""COMPUTED_VALUE"""),318.0)</f>
        <v>318</v>
      </c>
      <c r="I213" s="1" t="str">
        <f>IFERROR(__xludf.DUMMYFUNCTION("""COMPUTED_VALUE"""),"นาย")</f>
        <v>นาย</v>
      </c>
      <c r="J213" s="1" t="str">
        <f>IFERROR(__xludf.DUMMYFUNCTION("""COMPUTED_VALUE"""),"สายันต์")</f>
        <v>สายันต์</v>
      </c>
      <c r="K213" s="1" t="str">
        <f>IFERROR(__xludf.DUMMYFUNCTION("""COMPUTED_VALUE"""),"เย็นเจริญ")</f>
        <v>เย็นเจริญ</v>
      </c>
      <c r="L213" s="1" t="str">
        <f>IFERROR(__xludf.DUMMYFUNCTION("""COMPUTED_VALUE"""),"ม.5")</f>
        <v>ม.5</v>
      </c>
      <c r="M213" s="1" t="str">
        <f>IFERROR(__xludf.DUMMYFUNCTION("""COMPUTED_VALUE"""),"วิทยาศาสตร์")</f>
        <v>วิทยาศาสตร์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>
        <f>IFERROR(__xludf.DUMMYFUNCTION("""COMPUTED_VALUE"""),1.0)</f>
        <v>1</v>
      </c>
      <c r="B214" s="1">
        <f>IFERROR(__xludf.DUMMYFUNCTION("""COMPUTED_VALUE"""),1.0)</f>
        <v>1</v>
      </c>
      <c r="C214" s="1" t="str">
        <f>IFERROR(__xludf.DUMMYFUNCTION("""COMPUTED_VALUE"""),"ว22101")</f>
        <v>ว22101</v>
      </c>
      <c r="D214" s="1" t="str">
        <f>IFERROR(__xludf.DUMMYFUNCTION("""COMPUTED_VALUE"""),"วิทยาศาสตร์ 3")</f>
        <v>วิทยาศาสตร์ 3</v>
      </c>
      <c r="E214" s="1">
        <f>IFERROR(__xludf.DUMMYFUNCTION("""COMPUTED_VALUE"""),1.5)</f>
        <v>1.5</v>
      </c>
      <c r="F214" s="1">
        <f>IFERROR(__xludf.DUMMYFUNCTION("""COMPUTED_VALUE"""),2569.0)</f>
        <v>2569</v>
      </c>
      <c r="G214" s="1">
        <f>IFERROR(__xludf.DUMMYFUNCTION("""COMPUTED_VALUE"""),1.0)</f>
        <v>1</v>
      </c>
      <c r="H214" s="1">
        <f>IFERROR(__xludf.DUMMYFUNCTION("""COMPUTED_VALUE"""),320.0)</f>
        <v>320</v>
      </c>
      <c r="I214" s="1" t="str">
        <f>IFERROR(__xludf.DUMMYFUNCTION("""COMPUTED_VALUE"""),"นาง")</f>
        <v>นาง</v>
      </c>
      <c r="J214" s="1" t="str">
        <f>IFERROR(__xludf.DUMMYFUNCTION("""COMPUTED_VALUE"""),"รัตณา")</f>
        <v>รัตณา</v>
      </c>
      <c r="K214" s="1" t="str">
        <f>IFERROR(__xludf.DUMMYFUNCTION("""COMPUTED_VALUE"""),"เสาศิริ")</f>
        <v>เสาศิริ</v>
      </c>
      <c r="L214" s="1" t="str">
        <f>IFERROR(__xludf.DUMMYFUNCTION("""COMPUTED_VALUE"""),"ม.2")</f>
        <v>ม.2</v>
      </c>
      <c r="M214" s="1" t="str">
        <f>IFERROR(__xludf.DUMMYFUNCTION("""COMPUTED_VALUE"""),"วิทยาศาสตร์")</f>
        <v>วิทยาศาสตร์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>
        <f>IFERROR(__xludf.DUMMYFUNCTION("""COMPUTED_VALUE"""),3.0)</f>
        <v>3</v>
      </c>
      <c r="B215" s="1">
        <f>IFERROR(__xludf.DUMMYFUNCTION("""COMPUTED_VALUE"""),1.0)</f>
        <v>1</v>
      </c>
      <c r="C215" s="1" t="str">
        <f>IFERROR(__xludf.DUMMYFUNCTION("""COMPUTED_VALUE"""),"ว22101")</f>
        <v>ว22101</v>
      </c>
      <c r="D215" s="1" t="str">
        <f>IFERROR(__xludf.DUMMYFUNCTION("""COMPUTED_VALUE"""),"วิทยาศาสตร์ 3")</f>
        <v>วิทยาศาสตร์ 3</v>
      </c>
      <c r="E215" s="1">
        <f>IFERROR(__xludf.DUMMYFUNCTION("""COMPUTED_VALUE"""),1.5)</f>
        <v>1.5</v>
      </c>
      <c r="F215" s="1">
        <f>IFERROR(__xludf.DUMMYFUNCTION("""COMPUTED_VALUE"""),2569.0)</f>
        <v>2569</v>
      </c>
      <c r="G215" s="1">
        <f>IFERROR(__xludf.DUMMYFUNCTION("""COMPUTED_VALUE"""),1.0)</f>
        <v>1</v>
      </c>
      <c r="H215" s="1">
        <f>IFERROR(__xludf.DUMMYFUNCTION("""COMPUTED_VALUE"""),320.0)</f>
        <v>320</v>
      </c>
      <c r="I215" s="1" t="str">
        <f>IFERROR(__xludf.DUMMYFUNCTION("""COMPUTED_VALUE"""),"นาง")</f>
        <v>นาง</v>
      </c>
      <c r="J215" s="1" t="str">
        <f>IFERROR(__xludf.DUMMYFUNCTION("""COMPUTED_VALUE"""),"รัตณา")</f>
        <v>รัตณา</v>
      </c>
      <c r="K215" s="1" t="str">
        <f>IFERROR(__xludf.DUMMYFUNCTION("""COMPUTED_VALUE"""),"เสาศิริ")</f>
        <v>เสาศิริ</v>
      </c>
      <c r="L215" s="1" t="str">
        <f>IFERROR(__xludf.DUMMYFUNCTION("""COMPUTED_VALUE"""),"ม.2")</f>
        <v>ม.2</v>
      </c>
      <c r="M215" s="1" t="str">
        <f>IFERROR(__xludf.DUMMYFUNCTION("""COMPUTED_VALUE"""),"วิทยาศาสตร์")</f>
        <v>วิทยาศาสตร์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>
        <f>IFERROR(__xludf.DUMMYFUNCTION("""COMPUTED_VALUE"""),5.0)</f>
        <v>5</v>
      </c>
      <c r="B216" s="1">
        <f>IFERROR(__xludf.DUMMYFUNCTION("""COMPUTED_VALUE"""),1.0)</f>
        <v>1</v>
      </c>
      <c r="C216" s="1" t="str">
        <f>IFERROR(__xludf.DUMMYFUNCTION("""COMPUTED_VALUE"""),"ว22101")</f>
        <v>ว22101</v>
      </c>
      <c r="D216" s="1" t="str">
        <f>IFERROR(__xludf.DUMMYFUNCTION("""COMPUTED_VALUE"""),"วิทยาศาสตร์ 3")</f>
        <v>วิทยาศาสตร์ 3</v>
      </c>
      <c r="E216" s="1">
        <f>IFERROR(__xludf.DUMMYFUNCTION("""COMPUTED_VALUE"""),1.5)</f>
        <v>1.5</v>
      </c>
      <c r="F216" s="1">
        <f>IFERROR(__xludf.DUMMYFUNCTION("""COMPUTED_VALUE"""),2569.0)</f>
        <v>2569</v>
      </c>
      <c r="G216" s="1">
        <f>IFERROR(__xludf.DUMMYFUNCTION("""COMPUTED_VALUE"""),1.0)</f>
        <v>1</v>
      </c>
      <c r="H216" s="1">
        <f>IFERROR(__xludf.DUMMYFUNCTION("""COMPUTED_VALUE"""),320.0)</f>
        <v>320</v>
      </c>
      <c r="I216" s="1" t="str">
        <f>IFERROR(__xludf.DUMMYFUNCTION("""COMPUTED_VALUE"""),"นาง")</f>
        <v>นาง</v>
      </c>
      <c r="J216" s="1" t="str">
        <f>IFERROR(__xludf.DUMMYFUNCTION("""COMPUTED_VALUE"""),"รัตณา")</f>
        <v>รัตณา</v>
      </c>
      <c r="K216" s="1" t="str">
        <f>IFERROR(__xludf.DUMMYFUNCTION("""COMPUTED_VALUE"""),"เสาศิริ")</f>
        <v>เสาศิริ</v>
      </c>
      <c r="L216" s="1" t="str">
        <f>IFERROR(__xludf.DUMMYFUNCTION("""COMPUTED_VALUE"""),"ม.2")</f>
        <v>ม.2</v>
      </c>
      <c r="M216" s="1" t="str">
        <f>IFERROR(__xludf.DUMMYFUNCTION("""COMPUTED_VALUE"""),"วิทยาศาสตร์")</f>
        <v>วิทยาศาสตร์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>
        <f>IFERROR(__xludf.DUMMYFUNCTION("""COMPUTED_VALUE"""),6.0)</f>
        <v>6</v>
      </c>
      <c r="B217" s="1">
        <f>IFERROR(__xludf.DUMMYFUNCTION("""COMPUTED_VALUE"""),1.0)</f>
        <v>1</v>
      </c>
      <c r="C217" s="1" t="str">
        <f>IFERROR(__xludf.DUMMYFUNCTION("""COMPUTED_VALUE"""),"ว22101")</f>
        <v>ว22101</v>
      </c>
      <c r="D217" s="1" t="str">
        <f>IFERROR(__xludf.DUMMYFUNCTION("""COMPUTED_VALUE"""),"วิทยาศาสตร์ 3")</f>
        <v>วิทยาศาสตร์ 3</v>
      </c>
      <c r="E217" s="1">
        <f>IFERROR(__xludf.DUMMYFUNCTION("""COMPUTED_VALUE"""),1.5)</f>
        <v>1.5</v>
      </c>
      <c r="F217" s="1">
        <f>IFERROR(__xludf.DUMMYFUNCTION("""COMPUTED_VALUE"""),2569.0)</f>
        <v>2569</v>
      </c>
      <c r="G217" s="1">
        <f>IFERROR(__xludf.DUMMYFUNCTION("""COMPUTED_VALUE"""),1.0)</f>
        <v>1</v>
      </c>
      <c r="H217" s="1">
        <f>IFERROR(__xludf.DUMMYFUNCTION("""COMPUTED_VALUE"""),320.0)</f>
        <v>320</v>
      </c>
      <c r="I217" s="1" t="str">
        <f>IFERROR(__xludf.DUMMYFUNCTION("""COMPUTED_VALUE"""),"นาง")</f>
        <v>นาง</v>
      </c>
      <c r="J217" s="1" t="str">
        <f>IFERROR(__xludf.DUMMYFUNCTION("""COMPUTED_VALUE"""),"รัตณา")</f>
        <v>รัตณา</v>
      </c>
      <c r="K217" s="1" t="str">
        <f>IFERROR(__xludf.DUMMYFUNCTION("""COMPUTED_VALUE"""),"เสาศิริ")</f>
        <v>เสาศิริ</v>
      </c>
      <c r="L217" s="1" t="str">
        <f>IFERROR(__xludf.DUMMYFUNCTION("""COMPUTED_VALUE"""),"ม.2")</f>
        <v>ม.2</v>
      </c>
      <c r="M217" s="1" t="str">
        <f>IFERROR(__xludf.DUMMYFUNCTION("""COMPUTED_VALUE"""),"วิทยาศาสตร์")</f>
        <v>วิทยาศาสตร์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>
        <f>IFERROR(__xludf.DUMMYFUNCTION("""COMPUTED_VALUE"""),7.0)</f>
        <v>7</v>
      </c>
      <c r="B218" s="1">
        <f>IFERROR(__xludf.DUMMYFUNCTION("""COMPUTED_VALUE"""),1.0)</f>
        <v>1</v>
      </c>
      <c r="C218" s="1" t="str">
        <f>IFERROR(__xludf.DUMMYFUNCTION("""COMPUTED_VALUE"""),"ว22101")</f>
        <v>ว22101</v>
      </c>
      <c r="D218" s="1" t="str">
        <f>IFERROR(__xludf.DUMMYFUNCTION("""COMPUTED_VALUE"""),"วิทยาศาสตร์ 3")</f>
        <v>วิทยาศาสตร์ 3</v>
      </c>
      <c r="E218" s="1">
        <f>IFERROR(__xludf.DUMMYFUNCTION("""COMPUTED_VALUE"""),1.5)</f>
        <v>1.5</v>
      </c>
      <c r="F218" s="1">
        <f>IFERROR(__xludf.DUMMYFUNCTION("""COMPUTED_VALUE"""),2569.0)</f>
        <v>2569</v>
      </c>
      <c r="G218" s="1">
        <f>IFERROR(__xludf.DUMMYFUNCTION("""COMPUTED_VALUE"""),1.0)</f>
        <v>1</v>
      </c>
      <c r="H218" s="1">
        <f>IFERROR(__xludf.DUMMYFUNCTION("""COMPUTED_VALUE"""),320.0)</f>
        <v>320</v>
      </c>
      <c r="I218" s="1" t="str">
        <f>IFERROR(__xludf.DUMMYFUNCTION("""COMPUTED_VALUE"""),"นาง")</f>
        <v>นาง</v>
      </c>
      <c r="J218" s="1" t="str">
        <f>IFERROR(__xludf.DUMMYFUNCTION("""COMPUTED_VALUE"""),"รัตณา")</f>
        <v>รัตณา</v>
      </c>
      <c r="K218" s="1" t="str">
        <f>IFERROR(__xludf.DUMMYFUNCTION("""COMPUTED_VALUE"""),"เสาศิริ")</f>
        <v>เสาศิริ</v>
      </c>
      <c r="L218" s="1" t="str">
        <f>IFERROR(__xludf.DUMMYFUNCTION("""COMPUTED_VALUE"""),"ม.2")</f>
        <v>ม.2</v>
      </c>
      <c r="M218" s="1" t="str">
        <f>IFERROR(__xludf.DUMMYFUNCTION("""COMPUTED_VALUE"""),"วิทยาศาสตร์")</f>
        <v>วิทยาศาสตร์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>
        <f>IFERROR(__xludf.DUMMYFUNCTION("""COMPUTED_VALUE"""),1.0)</f>
        <v>1</v>
      </c>
      <c r="B219" s="1">
        <f>IFERROR(__xludf.DUMMYFUNCTION("""COMPUTED_VALUE"""),1.0)</f>
        <v>1</v>
      </c>
      <c r="C219" s="1" t="str">
        <f>IFERROR(__xludf.DUMMYFUNCTION("""COMPUTED_VALUE"""),"ว23203")</f>
        <v>ว23203</v>
      </c>
      <c r="D219" s="1" t="str">
        <f>IFERROR(__xludf.DUMMYFUNCTION("""COMPUTED_VALUE"""),"เชื้อเพลิงเพื่อคมนาคม")</f>
        <v>เชื้อเพลิงเพื่อคมนาคม</v>
      </c>
      <c r="E219" s="1">
        <f>IFERROR(__xludf.DUMMYFUNCTION("""COMPUTED_VALUE"""),1.0)</f>
        <v>1</v>
      </c>
      <c r="F219" s="1">
        <f>IFERROR(__xludf.DUMMYFUNCTION("""COMPUTED_VALUE"""),2569.0)</f>
        <v>2569</v>
      </c>
      <c r="G219" s="1">
        <f>IFERROR(__xludf.DUMMYFUNCTION("""COMPUTED_VALUE"""),1.0)</f>
        <v>1</v>
      </c>
      <c r="H219" s="1">
        <f>IFERROR(__xludf.DUMMYFUNCTION("""COMPUTED_VALUE"""),320.0)</f>
        <v>320</v>
      </c>
      <c r="I219" s="1" t="str">
        <f>IFERROR(__xludf.DUMMYFUNCTION("""COMPUTED_VALUE"""),"นาง")</f>
        <v>นาง</v>
      </c>
      <c r="J219" s="1" t="str">
        <f>IFERROR(__xludf.DUMMYFUNCTION("""COMPUTED_VALUE"""),"รัตณา")</f>
        <v>รัตณา</v>
      </c>
      <c r="K219" s="1" t="str">
        <f>IFERROR(__xludf.DUMMYFUNCTION("""COMPUTED_VALUE"""),"เสาศิริ")</f>
        <v>เสาศิริ</v>
      </c>
      <c r="L219" s="1" t="str">
        <f>IFERROR(__xludf.DUMMYFUNCTION("""COMPUTED_VALUE"""),"ม.3")</f>
        <v>ม.3</v>
      </c>
      <c r="M219" s="1" t="str">
        <f>IFERROR(__xludf.DUMMYFUNCTION("""COMPUTED_VALUE"""),"วิทยาศาสตร์")</f>
        <v>วิทยาศาสตร์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>
        <f>IFERROR(__xludf.DUMMYFUNCTION("""COMPUTED_VALUE"""),1.0)</f>
        <v>1</v>
      </c>
      <c r="B220" s="1">
        <f>IFERROR(__xludf.DUMMYFUNCTION("""COMPUTED_VALUE"""),2.0)</f>
        <v>2</v>
      </c>
      <c r="C220" s="1" t="str">
        <f>IFERROR(__xludf.DUMMYFUNCTION("""COMPUTED_VALUE"""),"ส20225")</f>
        <v>ส20225</v>
      </c>
      <c r="D220" s="1" t="str">
        <f>IFERROR(__xludf.DUMMYFUNCTION("""COMPUTED_VALUE"""),"การป้องกันการทุจริต 3")</f>
        <v>การป้องกันการทุจริต 3</v>
      </c>
      <c r="E220" s="1">
        <f>IFERROR(__xludf.DUMMYFUNCTION("""COMPUTED_VALUE"""),0.5)</f>
        <v>0.5</v>
      </c>
      <c r="F220" s="1">
        <f>IFERROR(__xludf.DUMMYFUNCTION("""COMPUTED_VALUE"""),2569.0)</f>
        <v>2569</v>
      </c>
      <c r="G220" s="1">
        <f>IFERROR(__xludf.DUMMYFUNCTION("""COMPUTED_VALUE"""),1.0)</f>
        <v>1</v>
      </c>
      <c r="H220" s="1">
        <f>IFERROR(__xludf.DUMMYFUNCTION("""COMPUTED_VALUE"""),320.0)</f>
        <v>320</v>
      </c>
      <c r="I220" s="1" t="str">
        <f>IFERROR(__xludf.DUMMYFUNCTION("""COMPUTED_VALUE"""),"นาง")</f>
        <v>นาง</v>
      </c>
      <c r="J220" s="1" t="str">
        <f>IFERROR(__xludf.DUMMYFUNCTION("""COMPUTED_VALUE"""),"รัตณา")</f>
        <v>รัตณา</v>
      </c>
      <c r="K220" s="1" t="str">
        <f>IFERROR(__xludf.DUMMYFUNCTION("""COMPUTED_VALUE"""),"เสาศิริ")</f>
        <v>เสาศิริ</v>
      </c>
      <c r="L220" s="1" t="str">
        <f>IFERROR(__xludf.DUMMYFUNCTION("""COMPUTED_VALUE"""),"ม.2")</f>
        <v>ม.2</v>
      </c>
      <c r="M220" s="1" t="str">
        <f>IFERROR(__xludf.DUMMYFUNCTION("""COMPUTED_VALUE"""),"วิทยาศาสตร์")</f>
        <v>วิทยาศาสตร์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>
        <f>IFERROR(__xludf.DUMMYFUNCTION("""COMPUTED_VALUE"""),2.0)</f>
        <v>2</v>
      </c>
      <c r="B221" s="1">
        <f>IFERROR(__xludf.DUMMYFUNCTION("""COMPUTED_VALUE"""),1.0)</f>
        <v>1</v>
      </c>
      <c r="C221" s="1" t="str">
        <f>IFERROR(__xludf.DUMMYFUNCTION("""COMPUTED_VALUE"""),"ว30102")</f>
        <v>ว30102</v>
      </c>
      <c r="D221" s="1" t="str">
        <f>IFERROR(__xludf.DUMMYFUNCTION("""COMPUTED_VALUE"""),"วิทยาศาสตร์กายภาพเคมี")</f>
        <v>วิทยาศาสตร์กายภาพเคมี</v>
      </c>
      <c r="E221" s="1">
        <f>IFERROR(__xludf.DUMMYFUNCTION("""COMPUTED_VALUE"""),1.5)</f>
        <v>1.5</v>
      </c>
      <c r="F221" s="1">
        <f>IFERROR(__xludf.DUMMYFUNCTION("""COMPUTED_VALUE"""),2569.0)</f>
        <v>2569</v>
      </c>
      <c r="G221" s="1">
        <f>IFERROR(__xludf.DUMMYFUNCTION("""COMPUTED_VALUE"""),1.0)</f>
        <v>1</v>
      </c>
      <c r="H221" s="1">
        <f>IFERROR(__xludf.DUMMYFUNCTION("""COMPUTED_VALUE"""),328.0)</f>
        <v>328</v>
      </c>
      <c r="I221" s="1" t="str">
        <f>IFERROR(__xludf.DUMMYFUNCTION("""COMPUTED_VALUE"""),"นางสาว")</f>
        <v>นางสาว</v>
      </c>
      <c r="J221" s="1" t="str">
        <f>IFERROR(__xludf.DUMMYFUNCTION("""COMPUTED_VALUE"""),"ลัดดา")</f>
        <v>ลัดดา</v>
      </c>
      <c r="K221" s="1" t="str">
        <f>IFERROR(__xludf.DUMMYFUNCTION("""COMPUTED_VALUE"""),"ปริยาปัญจางค์")</f>
        <v>ปริยาปัญจางค์</v>
      </c>
      <c r="L221" s="1" t="str">
        <f>IFERROR(__xludf.DUMMYFUNCTION("""COMPUTED_VALUE"""),"ม.4")</f>
        <v>ม.4</v>
      </c>
      <c r="M221" s="1" t="str">
        <f>IFERROR(__xludf.DUMMYFUNCTION("""COMPUTED_VALUE"""),"วิทยาศาสตร์")</f>
        <v>วิทยาศาสตร์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>
        <f>IFERROR(__xludf.DUMMYFUNCTION("""COMPUTED_VALUE"""),3.0)</f>
        <v>3</v>
      </c>
      <c r="B222" s="1">
        <f>IFERROR(__xludf.DUMMYFUNCTION("""COMPUTED_VALUE"""),1.0)</f>
        <v>1</v>
      </c>
      <c r="C222" s="1" t="str">
        <f>IFERROR(__xludf.DUMMYFUNCTION("""COMPUTED_VALUE"""),"ว30102")</f>
        <v>ว30102</v>
      </c>
      <c r="D222" s="1" t="str">
        <f>IFERROR(__xludf.DUMMYFUNCTION("""COMPUTED_VALUE"""),"วิทยาศาสตร์กายภาพเคมี")</f>
        <v>วิทยาศาสตร์กายภาพเคมี</v>
      </c>
      <c r="E222" s="1">
        <f>IFERROR(__xludf.DUMMYFUNCTION("""COMPUTED_VALUE"""),1.5)</f>
        <v>1.5</v>
      </c>
      <c r="F222" s="1">
        <f>IFERROR(__xludf.DUMMYFUNCTION("""COMPUTED_VALUE"""),2569.0)</f>
        <v>2569</v>
      </c>
      <c r="G222" s="1">
        <f>IFERROR(__xludf.DUMMYFUNCTION("""COMPUTED_VALUE"""),1.0)</f>
        <v>1</v>
      </c>
      <c r="H222" s="1">
        <f>IFERROR(__xludf.DUMMYFUNCTION("""COMPUTED_VALUE"""),328.0)</f>
        <v>328</v>
      </c>
      <c r="I222" s="1" t="str">
        <f>IFERROR(__xludf.DUMMYFUNCTION("""COMPUTED_VALUE"""),"นางสาว")</f>
        <v>นางสาว</v>
      </c>
      <c r="J222" s="1" t="str">
        <f>IFERROR(__xludf.DUMMYFUNCTION("""COMPUTED_VALUE"""),"ลัดดา")</f>
        <v>ลัดดา</v>
      </c>
      <c r="K222" s="1" t="str">
        <f>IFERROR(__xludf.DUMMYFUNCTION("""COMPUTED_VALUE"""),"ปริยาปัญจางค์")</f>
        <v>ปริยาปัญจางค์</v>
      </c>
      <c r="L222" s="1" t="str">
        <f>IFERROR(__xludf.DUMMYFUNCTION("""COMPUTED_VALUE"""),"ม.4")</f>
        <v>ม.4</v>
      </c>
      <c r="M222" s="1" t="str">
        <f>IFERROR(__xludf.DUMMYFUNCTION("""COMPUTED_VALUE"""),"วิทยาศาสตร์")</f>
        <v>วิทยาศาสตร์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>
        <f>IFERROR(__xludf.DUMMYFUNCTION("""COMPUTED_VALUE"""),4.0)</f>
        <v>4</v>
      </c>
      <c r="B223" s="1">
        <f>IFERROR(__xludf.DUMMYFUNCTION("""COMPUTED_VALUE"""),1.0)</f>
        <v>1</v>
      </c>
      <c r="C223" s="1" t="str">
        <f>IFERROR(__xludf.DUMMYFUNCTION("""COMPUTED_VALUE"""),"ว30102")</f>
        <v>ว30102</v>
      </c>
      <c r="D223" s="1" t="str">
        <f>IFERROR(__xludf.DUMMYFUNCTION("""COMPUTED_VALUE"""),"วิทยาศาสตร์กายภาพเคมี")</f>
        <v>วิทยาศาสตร์กายภาพเคมี</v>
      </c>
      <c r="E223" s="1">
        <f>IFERROR(__xludf.DUMMYFUNCTION("""COMPUTED_VALUE"""),1.5)</f>
        <v>1.5</v>
      </c>
      <c r="F223" s="1">
        <f>IFERROR(__xludf.DUMMYFUNCTION("""COMPUTED_VALUE"""),2569.0)</f>
        <v>2569</v>
      </c>
      <c r="G223" s="1">
        <f>IFERROR(__xludf.DUMMYFUNCTION("""COMPUTED_VALUE"""),1.0)</f>
        <v>1</v>
      </c>
      <c r="H223" s="1">
        <f>IFERROR(__xludf.DUMMYFUNCTION("""COMPUTED_VALUE"""),328.0)</f>
        <v>328</v>
      </c>
      <c r="I223" s="1" t="str">
        <f>IFERROR(__xludf.DUMMYFUNCTION("""COMPUTED_VALUE"""),"นางสาว")</f>
        <v>นางสาว</v>
      </c>
      <c r="J223" s="1" t="str">
        <f>IFERROR(__xludf.DUMMYFUNCTION("""COMPUTED_VALUE"""),"ลัดดา")</f>
        <v>ลัดดา</v>
      </c>
      <c r="K223" s="1" t="str">
        <f>IFERROR(__xludf.DUMMYFUNCTION("""COMPUTED_VALUE"""),"ปริยาปัญจางค์")</f>
        <v>ปริยาปัญจางค์</v>
      </c>
      <c r="L223" s="1" t="str">
        <f>IFERROR(__xludf.DUMMYFUNCTION("""COMPUTED_VALUE"""),"ม.4")</f>
        <v>ม.4</v>
      </c>
      <c r="M223" s="1" t="str">
        <f>IFERROR(__xludf.DUMMYFUNCTION("""COMPUTED_VALUE"""),"วิทยาศาสตร์")</f>
        <v>วิทยาศาสตร์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>
        <f>IFERROR(__xludf.DUMMYFUNCTION("""COMPUTED_VALUE"""),5.0)</f>
        <v>5</v>
      </c>
      <c r="B224" s="1">
        <f>IFERROR(__xludf.DUMMYFUNCTION("""COMPUTED_VALUE"""),1.0)</f>
        <v>1</v>
      </c>
      <c r="C224" s="1" t="str">
        <f>IFERROR(__xludf.DUMMYFUNCTION("""COMPUTED_VALUE"""),"ว30102")</f>
        <v>ว30102</v>
      </c>
      <c r="D224" s="1" t="str">
        <f>IFERROR(__xludf.DUMMYFUNCTION("""COMPUTED_VALUE"""),"วิทยาศาสตร์กายภาพเคมี")</f>
        <v>วิทยาศาสตร์กายภาพเคมี</v>
      </c>
      <c r="E224" s="1">
        <f>IFERROR(__xludf.DUMMYFUNCTION("""COMPUTED_VALUE"""),1.5)</f>
        <v>1.5</v>
      </c>
      <c r="F224" s="1">
        <f>IFERROR(__xludf.DUMMYFUNCTION("""COMPUTED_VALUE"""),2569.0)</f>
        <v>2569</v>
      </c>
      <c r="G224" s="1">
        <f>IFERROR(__xludf.DUMMYFUNCTION("""COMPUTED_VALUE"""),1.0)</f>
        <v>1</v>
      </c>
      <c r="H224" s="1">
        <f>IFERROR(__xludf.DUMMYFUNCTION("""COMPUTED_VALUE"""),328.0)</f>
        <v>328</v>
      </c>
      <c r="I224" s="1" t="str">
        <f>IFERROR(__xludf.DUMMYFUNCTION("""COMPUTED_VALUE"""),"นางสาว")</f>
        <v>นางสาว</v>
      </c>
      <c r="J224" s="1" t="str">
        <f>IFERROR(__xludf.DUMMYFUNCTION("""COMPUTED_VALUE"""),"ลัดดา")</f>
        <v>ลัดดา</v>
      </c>
      <c r="K224" s="1" t="str">
        <f>IFERROR(__xludf.DUMMYFUNCTION("""COMPUTED_VALUE"""),"ปริยาปัญจางค์")</f>
        <v>ปริยาปัญจางค์</v>
      </c>
      <c r="L224" s="1" t="str">
        <f>IFERROR(__xludf.DUMMYFUNCTION("""COMPUTED_VALUE"""),"ม.5")</f>
        <v>ม.5</v>
      </c>
      <c r="M224" s="1" t="str">
        <f>IFERROR(__xludf.DUMMYFUNCTION("""COMPUTED_VALUE"""),"วิทยาศาสตร์")</f>
        <v>วิทยาศาสตร์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>
        <f>IFERROR(__xludf.DUMMYFUNCTION("""COMPUTED_VALUE"""),6.0)</f>
        <v>6</v>
      </c>
      <c r="B225" s="1">
        <f>IFERROR(__xludf.DUMMYFUNCTION("""COMPUTED_VALUE"""),1.0)</f>
        <v>1</v>
      </c>
      <c r="C225" s="1" t="str">
        <f>IFERROR(__xludf.DUMMYFUNCTION("""COMPUTED_VALUE"""),"ว30102")</f>
        <v>ว30102</v>
      </c>
      <c r="D225" s="1" t="str">
        <f>IFERROR(__xludf.DUMMYFUNCTION("""COMPUTED_VALUE"""),"วิทยาศาสตร์กายภาพเคมี")</f>
        <v>วิทยาศาสตร์กายภาพเคมี</v>
      </c>
      <c r="E225" s="1">
        <f>IFERROR(__xludf.DUMMYFUNCTION("""COMPUTED_VALUE"""),1.5)</f>
        <v>1.5</v>
      </c>
      <c r="F225" s="1">
        <f>IFERROR(__xludf.DUMMYFUNCTION("""COMPUTED_VALUE"""),2569.0)</f>
        <v>2569</v>
      </c>
      <c r="G225" s="1">
        <f>IFERROR(__xludf.DUMMYFUNCTION("""COMPUTED_VALUE"""),1.0)</f>
        <v>1</v>
      </c>
      <c r="H225" s="1">
        <f>IFERROR(__xludf.DUMMYFUNCTION("""COMPUTED_VALUE"""),328.0)</f>
        <v>328</v>
      </c>
      <c r="I225" s="1" t="str">
        <f>IFERROR(__xludf.DUMMYFUNCTION("""COMPUTED_VALUE"""),"นางสาว")</f>
        <v>นางสาว</v>
      </c>
      <c r="J225" s="1" t="str">
        <f>IFERROR(__xludf.DUMMYFUNCTION("""COMPUTED_VALUE"""),"ลัดดา")</f>
        <v>ลัดดา</v>
      </c>
      <c r="K225" s="1" t="str">
        <f>IFERROR(__xludf.DUMMYFUNCTION("""COMPUTED_VALUE"""),"ปริยาปัญจางค์")</f>
        <v>ปริยาปัญจางค์</v>
      </c>
      <c r="L225" s="1" t="str">
        <f>IFERROR(__xludf.DUMMYFUNCTION("""COMPUTED_VALUE"""),"ม.5")</f>
        <v>ม.5</v>
      </c>
      <c r="M225" s="1" t="str">
        <f>IFERROR(__xludf.DUMMYFUNCTION("""COMPUTED_VALUE"""),"วิทยาศาสตร์")</f>
        <v>วิทยาศาสตร์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>
        <f>IFERROR(__xludf.DUMMYFUNCTION("""COMPUTED_VALUE"""),2.0)</f>
        <v>2</v>
      </c>
      <c r="B226" s="1">
        <f>IFERROR(__xludf.DUMMYFUNCTION("""COMPUTED_VALUE"""),1.0)</f>
        <v>1</v>
      </c>
      <c r="C226" s="1" t="str">
        <f>IFERROR(__xludf.DUMMYFUNCTION("""COMPUTED_VALUE"""),"ว30211")</f>
        <v>ว30211</v>
      </c>
      <c r="D226" s="1" t="str">
        <f>IFERROR(__xludf.DUMMYFUNCTION("""COMPUTED_VALUE"""),"ปฎิบัติการทางวิทยาศาสตร์1")</f>
        <v>ปฎิบัติการทางวิทยาศาสตร์1</v>
      </c>
      <c r="E226" s="1">
        <f>IFERROR(__xludf.DUMMYFUNCTION("""COMPUTED_VALUE"""),1.0)</f>
        <v>1</v>
      </c>
      <c r="F226" s="1">
        <f>IFERROR(__xludf.DUMMYFUNCTION("""COMPUTED_VALUE"""),2569.0)</f>
        <v>2569</v>
      </c>
      <c r="G226" s="1">
        <f>IFERROR(__xludf.DUMMYFUNCTION("""COMPUTED_VALUE"""),1.0)</f>
        <v>1</v>
      </c>
      <c r="H226" s="1">
        <f>IFERROR(__xludf.DUMMYFUNCTION("""COMPUTED_VALUE"""),328.0)</f>
        <v>328</v>
      </c>
      <c r="I226" s="1" t="str">
        <f>IFERROR(__xludf.DUMMYFUNCTION("""COMPUTED_VALUE"""),"นางสาว")</f>
        <v>นางสาว</v>
      </c>
      <c r="J226" s="1" t="str">
        <f>IFERROR(__xludf.DUMMYFUNCTION("""COMPUTED_VALUE"""),"ลัดดา")</f>
        <v>ลัดดา</v>
      </c>
      <c r="K226" s="1" t="str">
        <f>IFERROR(__xludf.DUMMYFUNCTION("""COMPUTED_VALUE"""),"ปริยาปัญจางค์")</f>
        <v>ปริยาปัญจางค์</v>
      </c>
      <c r="L226" s="1" t="str">
        <f>IFERROR(__xludf.DUMMYFUNCTION("""COMPUTED_VALUE"""),"ม.4")</f>
        <v>ม.4</v>
      </c>
      <c r="M226" s="1" t="str">
        <f>IFERROR(__xludf.DUMMYFUNCTION("""COMPUTED_VALUE"""),"วิทยาศาสตร์")</f>
        <v>วิทยาศาสตร์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>
        <f>IFERROR(__xludf.DUMMYFUNCTION("""COMPUTED_VALUE"""),2.0)</f>
        <v>2</v>
      </c>
      <c r="B227" s="1">
        <f>IFERROR(__xludf.DUMMYFUNCTION("""COMPUTED_VALUE"""),2.0)</f>
        <v>2</v>
      </c>
      <c r="C227" s="1" t="str">
        <f>IFERROR(__xludf.DUMMYFUNCTION("""COMPUTED_VALUE"""),"ส30251")</f>
        <v>ส30251</v>
      </c>
      <c r="D227" s="1" t="str">
        <f>IFERROR(__xludf.DUMMYFUNCTION("""COMPUTED_VALUE"""),"การป้องกันการทุจริต 5")</f>
        <v>การป้องกันการทุจริต 5</v>
      </c>
      <c r="E227" s="1">
        <f>IFERROR(__xludf.DUMMYFUNCTION("""COMPUTED_VALUE"""),0.5)</f>
        <v>0.5</v>
      </c>
      <c r="F227" s="1">
        <f>IFERROR(__xludf.DUMMYFUNCTION("""COMPUTED_VALUE"""),2569.0)</f>
        <v>2569</v>
      </c>
      <c r="G227" s="1">
        <f>IFERROR(__xludf.DUMMYFUNCTION("""COMPUTED_VALUE"""),1.0)</f>
        <v>1</v>
      </c>
      <c r="H227" s="1">
        <f>IFERROR(__xludf.DUMMYFUNCTION("""COMPUTED_VALUE"""),328.0)</f>
        <v>328</v>
      </c>
      <c r="I227" s="1" t="str">
        <f>IFERROR(__xludf.DUMMYFUNCTION("""COMPUTED_VALUE"""),"นางสาว")</f>
        <v>นางสาว</v>
      </c>
      <c r="J227" s="1" t="str">
        <f>IFERROR(__xludf.DUMMYFUNCTION("""COMPUTED_VALUE"""),"ลัดดา")</f>
        <v>ลัดดา</v>
      </c>
      <c r="K227" s="1" t="str">
        <f>IFERROR(__xludf.DUMMYFUNCTION("""COMPUTED_VALUE"""),"ปริยาปัญจางค์")</f>
        <v>ปริยาปัญจางค์</v>
      </c>
      <c r="L227" s="1" t="str">
        <f>IFERROR(__xludf.DUMMYFUNCTION("""COMPUTED_VALUE"""),"ม.6")</f>
        <v>ม.6</v>
      </c>
      <c r="M227" s="1" t="str">
        <f>IFERROR(__xludf.DUMMYFUNCTION("""COMPUTED_VALUE"""),"วิทยาศาสตร์")</f>
        <v>วิทยาศาสตร์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>
        <f>IFERROR(__xludf.DUMMYFUNCTION("""COMPUTED_VALUE"""),3.0)</f>
        <v>3</v>
      </c>
      <c r="B228" s="1">
        <f>IFERROR(__xludf.DUMMYFUNCTION("""COMPUTED_VALUE"""),1.0)</f>
        <v>1</v>
      </c>
      <c r="C228" s="1" t="str">
        <f>IFERROR(__xludf.DUMMYFUNCTION("""COMPUTED_VALUE"""),"ว30202")</f>
        <v>ว30202</v>
      </c>
      <c r="D228" s="1" t="str">
        <f>IFERROR(__xludf.DUMMYFUNCTION("""COMPUTED_VALUE"""),"ฟิสิกส์ 2")</f>
        <v>ฟิสิกส์ 2</v>
      </c>
      <c r="E228" s="1">
        <f>IFERROR(__xludf.DUMMYFUNCTION("""COMPUTED_VALUE"""),2.0)</f>
        <v>2</v>
      </c>
      <c r="F228" s="1">
        <f>IFERROR(__xludf.DUMMYFUNCTION("""COMPUTED_VALUE"""),2569.0)</f>
        <v>2569</v>
      </c>
      <c r="G228" s="1">
        <f>IFERROR(__xludf.DUMMYFUNCTION("""COMPUTED_VALUE"""),1.0)</f>
        <v>1</v>
      </c>
      <c r="H228" s="1">
        <f>IFERROR(__xludf.DUMMYFUNCTION("""COMPUTED_VALUE"""),341.0)</f>
        <v>341</v>
      </c>
      <c r="I228" s="1" t="str">
        <f>IFERROR(__xludf.DUMMYFUNCTION("""COMPUTED_VALUE"""),"นาย")</f>
        <v>นาย</v>
      </c>
      <c r="J228" s="1" t="str">
        <f>IFERROR(__xludf.DUMMYFUNCTION("""COMPUTED_VALUE"""),"พงศ์ศานต์")</f>
        <v>พงศ์ศานต์</v>
      </c>
      <c r="K228" s="1" t="str">
        <f>IFERROR(__xludf.DUMMYFUNCTION("""COMPUTED_VALUE"""),"เจริญวารี")</f>
        <v>เจริญวารี</v>
      </c>
      <c r="L228" s="1" t="str">
        <f>IFERROR(__xludf.DUMMYFUNCTION("""COMPUTED_VALUE"""),"ม.5")</f>
        <v>ม.5</v>
      </c>
      <c r="M228" s="1" t="str">
        <f>IFERROR(__xludf.DUMMYFUNCTION("""COMPUTED_VALUE"""),"วิทยาศาสตร์")</f>
        <v>วิทยาศาสตร์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>
        <f>IFERROR(__xludf.DUMMYFUNCTION("""COMPUTED_VALUE"""),4.0)</f>
        <v>4</v>
      </c>
      <c r="B229" s="1">
        <f>IFERROR(__xludf.DUMMYFUNCTION("""COMPUTED_VALUE"""),1.0)</f>
        <v>1</v>
      </c>
      <c r="C229" s="1" t="str">
        <f>IFERROR(__xludf.DUMMYFUNCTION("""COMPUTED_VALUE"""),"ว30202")</f>
        <v>ว30202</v>
      </c>
      <c r="D229" s="1" t="str">
        <f>IFERROR(__xludf.DUMMYFUNCTION("""COMPUTED_VALUE"""),"ฟิสิกส์ 2")</f>
        <v>ฟิสิกส์ 2</v>
      </c>
      <c r="E229" s="1">
        <f>IFERROR(__xludf.DUMMYFUNCTION("""COMPUTED_VALUE"""),2.0)</f>
        <v>2</v>
      </c>
      <c r="F229" s="1">
        <f>IFERROR(__xludf.DUMMYFUNCTION("""COMPUTED_VALUE"""),2569.0)</f>
        <v>2569</v>
      </c>
      <c r="G229" s="1">
        <f>IFERROR(__xludf.DUMMYFUNCTION("""COMPUTED_VALUE"""),1.0)</f>
        <v>1</v>
      </c>
      <c r="H229" s="1">
        <f>IFERROR(__xludf.DUMMYFUNCTION("""COMPUTED_VALUE"""),341.0)</f>
        <v>341</v>
      </c>
      <c r="I229" s="1" t="str">
        <f>IFERROR(__xludf.DUMMYFUNCTION("""COMPUTED_VALUE"""),"นาย")</f>
        <v>นาย</v>
      </c>
      <c r="J229" s="1" t="str">
        <f>IFERROR(__xludf.DUMMYFUNCTION("""COMPUTED_VALUE"""),"พงศ์ศานต์")</f>
        <v>พงศ์ศานต์</v>
      </c>
      <c r="K229" s="1" t="str">
        <f>IFERROR(__xludf.DUMMYFUNCTION("""COMPUTED_VALUE"""),"เจริญวารี")</f>
        <v>เจริญวารี</v>
      </c>
      <c r="L229" s="1" t="str">
        <f>IFERROR(__xludf.DUMMYFUNCTION("""COMPUTED_VALUE"""),"ม.5")</f>
        <v>ม.5</v>
      </c>
      <c r="M229" s="1" t="str">
        <f>IFERROR(__xludf.DUMMYFUNCTION("""COMPUTED_VALUE"""),"วิทยาศาสตร์")</f>
        <v>วิทยาศาสตร์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>
        <f>IFERROR(__xludf.DUMMYFUNCTION("""COMPUTED_VALUE"""),3.0)</f>
        <v>3</v>
      </c>
      <c r="B230" s="1">
        <f>IFERROR(__xludf.DUMMYFUNCTION("""COMPUTED_VALUE"""),1.0)</f>
        <v>1</v>
      </c>
      <c r="C230" s="1" t="str">
        <f>IFERROR(__xludf.DUMMYFUNCTION("""COMPUTED_VALUE"""),"ส30251")</f>
        <v>ส30251</v>
      </c>
      <c r="D230" s="1" t="str">
        <f>IFERROR(__xludf.DUMMYFUNCTION("""COMPUTED_VALUE"""),"การป้องกันการทุจริต 5")</f>
        <v>การป้องกันการทุจริต 5</v>
      </c>
      <c r="E230" s="1">
        <f>IFERROR(__xludf.DUMMYFUNCTION("""COMPUTED_VALUE"""),0.5)</f>
        <v>0.5</v>
      </c>
      <c r="F230" s="1">
        <f>IFERROR(__xludf.DUMMYFUNCTION("""COMPUTED_VALUE"""),2569.0)</f>
        <v>2569</v>
      </c>
      <c r="G230" s="1">
        <f>IFERROR(__xludf.DUMMYFUNCTION("""COMPUTED_VALUE"""),1.0)</f>
        <v>1</v>
      </c>
      <c r="H230" s="1">
        <f>IFERROR(__xludf.DUMMYFUNCTION("""COMPUTED_VALUE"""),341.0)</f>
        <v>341</v>
      </c>
      <c r="I230" s="1" t="str">
        <f>IFERROR(__xludf.DUMMYFUNCTION("""COMPUTED_VALUE"""),"นาย")</f>
        <v>นาย</v>
      </c>
      <c r="J230" s="1" t="str">
        <f>IFERROR(__xludf.DUMMYFUNCTION("""COMPUTED_VALUE"""),"พงศ์ศานต์")</f>
        <v>พงศ์ศานต์</v>
      </c>
      <c r="K230" s="1" t="str">
        <f>IFERROR(__xludf.DUMMYFUNCTION("""COMPUTED_VALUE"""),"เจริญวารี")</f>
        <v>เจริญวารี</v>
      </c>
      <c r="L230" s="1" t="str">
        <f>IFERROR(__xludf.DUMMYFUNCTION("""COMPUTED_VALUE"""),"ม.6")</f>
        <v>ม.6</v>
      </c>
      <c r="M230" s="1" t="str">
        <f>IFERROR(__xludf.DUMMYFUNCTION("""COMPUTED_VALUE"""),"วิทยาศาสตร์")</f>
        <v>วิทยาศาสตร์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>
        <f>IFERROR(__xludf.DUMMYFUNCTION("""COMPUTED_VALUE"""),1.0)</f>
        <v>1</v>
      </c>
      <c r="B231" s="1">
        <f>IFERROR(__xludf.DUMMYFUNCTION("""COMPUTED_VALUE"""),1.0)</f>
        <v>1</v>
      </c>
      <c r="C231" s="1" t="str">
        <f>IFERROR(__xludf.DUMMYFUNCTION("""COMPUTED_VALUE"""),"ว30101")</f>
        <v>ว30101</v>
      </c>
      <c r="D231" s="1" t="str">
        <f>IFERROR(__xludf.DUMMYFUNCTION("""COMPUTED_VALUE"""),"วิทยาศาสตร์ชีวภาพ")</f>
        <v>วิทยาศาสตร์ชีวภาพ</v>
      </c>
      <c r="E231" s="1">
        <f>IFERROR(__xludf.DUMMYFUNCTION("""COMPUTED_VALUE"""),1.5)</f>
        <v>1.5</v>
      </c>
      <c r="F231" s="1">
        <f>IFERROR(__xludf.DUMMYFUNCTION("""COMPUTED_VALUE"""),2569.0)</f>
        <v>2569</v>
      </c>
      <c r="G231" s="1">
        <f>IFERROR(__xludf.DUMMYFUNCTION("""COMPUTED_VALUE"""),1.0)</f>
        <v>1</v>
      </c>
      <c r="H231" s="1">
        <f>IFERROR(__xludf.DUMMYFUNCTION("""COMPUTED_VALUE"""),342.0)</f>
        <v>342</v>
      </c>
      <c r="I231" s="1" t="str">
        <f>IFERROR(__xludf.DUMMYFUNCTION("""COMPUTED_VALUE"""),"นางสาว")</f>
        <v>นางสาว</v>
      </c>
      <c r="J231" s="1" t="str">
        <f>IFERROR(__xludf.DUMMYFUNCTION("""COMPUTED_VALUE"""),"ณรัณทร")</f>
        <v>ณรัณทร</v>
      </c>
      <c r="K231" s="1" t="str">
        <f>IFERROR(__xludf.DUMMYFUNCTION("""COMPUTED_VALUE"""),"กรภัทร์พร")</f>
        <v>กรภัทร์พร</v>
      </c>
      <c r="L231" s="1" t="str">
        <f>IFERROR(__xludf.DUMMYFUNCTION("""COMPUTED_VALUE"""),"ม.4")</f>
        <v>ม.4</v>
      </c>
      <c r="M231" s="1" t="str">
        <f>IFERROR(__xludf.DUMMYFUNCTION("""COMPUTED_VALUE"""),"วิทยาศาสตร์")</f>
        <v>วิทยาศาสตร์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>
        <f>IFERROR(__xludf.DUMMYFUNCTION("""COMPUTED_VALUE"""),2.0)</f>
        <v>2</v>
      </c>
      <c r="B232" s="1">
        <f>IFERROR(__xludf.DUMMYFUNCTION("""COMPUTED_VALUE"""),1.0)</f>
        <v>1</v>
      </c>
      <c r="C232" s="1" t="str">
        <f>IFERROR(__xludf.DUMMYFUNCTION("""COMPUTED_VALUE"""),"ว30101")</f>
        <v>ว30101</v>
      </c>
      <c r="D232" s="1" t="str">
        <f>IFERROR(__xludf.DUMMYFUNCTION("""COMPUTED_VALUE"""),"วิทยาศาสตร์ชีวภาพ")</f>
        <v>วิทยาศาสตร์ชีวภาพ</v>
      </c>
      <c r="E232" s="1">
        <f>IFERROR(__xludf.DUMMYFUNCTION("""COMPUTED_VALUE"""),1.5)</f>
        <v>1.5</v>
      </c>
      <c r="F232" s="1">
        <f>IFERROR(__xludf.DUMMYFUNCTION("""COMPUTED_VALUE"""),2569.0)</f>
        <v>2569</v>
      </c>
      <c r="G232" s="1">
        <f>IFERROR(__xludf.DUMMYFUNCTION("""COMPUTED_VALUE"""),1.0)</f>
        <v>1</v>
      </c>
      <c r="H232" s="1">
        <f>IFERROR(__xludf.DUMMYFUNCTION("""COMPUTED_VALUE"""),342.0)</f>
        <v>342</v>
      </c>
      <c r="I232" s="1" t="str">
        <f>IFERROR(__xludf.DUMMYFUNCTION("""COMPUTED_VALUE"""),"นางสาว")</f>
        <v>นางสาว</v>
      </c>
      <c r="J232" s="1" t="str">
        <f>IFERROR(__xludf.DUMMYFUNCTION("""COMPUTED_VALUE"""),"ณรัณทร")</f>
        <v>ณรัณทร</v>
      </c>
      <c r="K232" s="1" t="str">
        <f>IFERROR(__xludf.DUMMYFUNCTION("""COMPUTED_VALUE"""),"กรภัทร์พร")</f>
        <v>กรภัทร์พร</v>
      </c>
      <c r="L232" s="1" t="str">
        <f>IFERROR(__xludf.DUMMYFUNCTION("""COMPUTED_VALUE"""),"ม.4")</f>
        <v>ม.4</v>
      </c>
      <c r="M232" s="1" t="str">
        <f>IFERROR(__xludf.DUMMYFUNCTION("""COMPUTED_VALUE"""),"วิทยาศาสตร์")</f>
        <v>วิทยาศาสตร์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>
        <f>IFERROR(__xludf.DUMMYFUNCTION("""COMPUTED_VALUE"""),5.0)</f>
        <v>5</v>
      </c>
      <c r="B233" s="1">
        <f>IFERROR(__xludf.DUMMYFUNCTION("""COMPUTED_VALUE"""),1.0)</f>
        <v>1</v>
      </c>
      <c r="C233" s="1" t="str">
        <f>IFERROR(__xludf.DUMMYFUNCTION("""COMPUTED_VALUE"""),"ว30101")</f>
        <v>ว30101</v>
      </c>
      <c r="D233" s="1" t="str">
        <f>IFERROR(__xludf.DUMMYFUNCTION("""COMPUTED_VALUE"""),"วิทยาศาสตร์ชีวภาพ")</f>
        <v>วิทยาศาสตร์ชีวภาพ</v>
      </c>
      <c r="E233" s="1">
        <f>IFERROR(__xludf.DUMMYFUNCTION("""COMPUTED_VALUE"""),1.5)</f>
        <v>1.5</v>
      </c>
      <c r="F233" s="1">
        <f>IFERROR(__xludf.DUMMYFUNCTION("""COMPUTED_VALUE"""),2569.0)</f>
        <v>2569</v>
      </c>
      <c r="G233" s="1">
        <f>IFERROR(__xludf.DUMMYFUNCTION("""COMPUTED_VALUE"""),1.0)</f>
        <v>1</v>
      </c>
      <c r="H233" s="1">
        <f>IFERROR(__xludf.DUMMYFUNCTION("""COMPUTED_VALUE"""),342.0)</f>
        <v>342</v>
      </c>
      <c r="I233" s="1" t="str">
        <f>IFERROR(__xludf.DUMMYFUNCTION("""COMPUTED_VALUE"""),"นางสาว")</f>
        <v>นางสาว</v>
      </c>
      <c r="J233" s="1" t="str">
        <f>IFERROR(__xludf.DUMMYFUNCTION("""COMPUTED_VALUE"""),"ณรัณทร")</f>
        <v>ณรัณทร</v>
      </c>
      <c r="K233" s="1" t="str">
        <f>IFERROR(__xludf.DUMMYFUNCTION("""COMPUTED_VALUE"""),"กรภัทร์พร")</f>
        <v>กรภัทร์พร</v>
      </c>
      <c r="L233" s="1" t="str">
        <f>IFERROR(__xludf.DUMMYFUNCTION("""COMPUTED_VALUE"""),"ม.4")</f>
        <v>ม.4</v>
      </c>
      <c r="M233" s="1" t="str">
        <f>IFERROR(__xludf.DUMMYFUNCTION("""COMPUTED_VALUE"""),"วิทยาศาสตร์")</f>
        <v>วิทยาศาสตร์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>
        <f>IFERROR(__xludf.DUMMYFUNCTION("""COMPUTED_VALUE"""),6.0)</f>
        <v>6</v>
      </c>
      <c r="B234" s="1">
        <f>IFERROR(__xludf.DUMMYFUNCTION("""COMPUTED_VALUE"""),1.0)</f>
        <v>1</v>
      </c>
      <c r="C234" s="1" t="str">
        <f>IFERROR(__xludf.DUMMYFUNCTION("""COMPUTED_VALUE"""),"ว30101")</f>
        <v>ว30101</v>
      </c>
      <c r="D234" s="1" t="str">
        <f>IFERROR(__xludf.DUMMYFUNCTION("""COMPUTED_VALUE"""),"วิทยาศาสตร์ชีวภาพ")</f>
        <v>วิทยาศาสตร์ชีวภาพ</v>
      </c>
      <c r="E234" s="1">
        <f>IFERROR(__xludf.DUMMYFUNCTION("""COMPUTED_VALUE"""),1.5)</f>
        <v>1.5</v>
      </c>
      <c r="F234" s="1">
        <f>IFERROR(__xludf.DUMMYFUNCTION("""COMPUTED_VALUE"""),2569.0)</f>
        <v>2569</v>
      </c>
      <c r="G234" s="1">
        <f>IFERROR(__xludf.DUMMYFUNCTION("""COMPUTED_VALUE"""),1.0)</f>
        <v>1</v>
      </c>
      <c r="H234" s="1">
        <f>IFERROR(__xludf.DUMMYFUNCTION("""COMPUTED_VALUE"""),342.0)</f>
        <v>342</v>
      </c>
      <c r="I234" s="1" t="str">
        <f>IFERROR(__xludf.DUMMYFUNCTION("""COMPUTED_VALUE"""),"นางสาว")</f>
        <v>นางสาว</v>
      </c>
      <c r="J234" s="1" t="str">
        <f>IFERROR(__xludf.DUMMYFUNCTION("""COMPUTED_VALUE"""),"ณรัณทร")</f>
        <v>ณรัณทร</v>
      </c>
      <c r="K234" s="1" t="str">
        <f>IFERROR(__xludf.DUMMYFUNCTION("""COMPUTED_VALUE"""),"กรภัทร์พร")</f>
        <v>กรภัทร์พร</v>
      </c>
      <c r="L234" s="1" t="str">
        <f>IFERROR(__xludf.DUMMYFUNCTION("""COMPUTED_VALUE"""),"ม.4")</f>
        <v>ม.4</v>
      </c>
      <c r="M234" s="1" t="str">
        <f>IFERROR(__xludf.DUMMYFUNCTION("""COMPUTED_VALUE"""),"วิทยาศาสตร์")</f>
        <v>วิทยาศาสตร์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>
        <f>IFERROR(__xludf.DUMMYFUNCTION("""COMPUTED_VALUE"""),7.0)</f>
        <v>7</v>
      </c>
      <c r="B235" s="1">
        <f>IFERROR(__xludf.DUMMYFUNCTION("""COMPUTED_VALUE"""),1.0)</f>
        <v>1</v>
      </c>
      <c r="C235" s="1" t="str">
        <f>IFERROR(__xludf.DUMMYFUNCTION("""COMPUTED_VALUE"""),"ว30101")</f>
        <v>ว30101</v>
      </c>
      <c r="D235" s="1" t="str">
        <f>IFERROR(__xludf.DUMMYFUNCTION("""COMPUTED_VALUE"""),"วิทยาศาสตร์ชีวภาพ")</f>
        <v>วิทยาศาสตร์ชีวภาพ</v>
      </c>
      <c r="E235" s="1">
        <f>IFERROR(__xludf.DUMMYFUNCTION("""COMPUTED_VALUE"""),1.5)</f>
        <v>1.5</v>
      </c>
      <c r="F235" s="1">
        <f>IFERROR(__xludf.DUMMYFUNCTION("""COMPUTED_VALUE"""),2569.0)</f>
        <v>2569</v>
      </c>
      <c r="G235" s="1">
        <f>IFERROR(__xludf.DUMMYFUNCTION("""COMPUTED_VALUE"""),1.0)</f>
        <v>1</v>
      </c>
      <c r="H235" s="1">
        <f>IFERROR(__xludf.DUMMYFUNCTION("""COMPUTED_VALUE"""),342.0)</f>
        <v>342</v>
      </c>
      <c r="I235" s="1" t="str">
        <f>IFERROR(__xludf.DUMMYFUNCTION("""COMPUTED_VALUE"""),"นางสาว")</f>
        <v>นางสาว</v>
      </c>
      <c r="J235" s="1" t="str">
        <f>IFERROR(__xludf.DUMMYFUNCTION("""COMPUTED_VALUE"""),"ณรัณทร")</f>
        <v>ณรัณทร</v>
      </c>
      <c r="K235" s="1" t="str">
        <f>IFERROR(__xludf.DUMMYFUNCTION("""COMPUTED_VALUE"""),"กรภัทร์พร")</f>
        <v>กรภัทร์พร</v>
      </c>
      <c r="L235" s="1" t="str">
        <f>IFERROR(__xludf.DUMMYFUNCTION("""COMPUTED_VALUE"""),"ม.4")</f>
        <v>ม.4</v>
      </c>
      <c r="M235" s="1" t="str">
        <f>IFERROR(__xludf.DUMMYFUNCTION("""COMPUTED_VALUE"""),"วิทยาศาสตร์")</f>
        <v>วิทยาศาสตร์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>
        <f>IFERROR(__xludf.DUMMYFUNCTION("""COMPUTED_VALUE"""),10.0)</f>
        <v>10</v>
      </c>
      <c r="B236" s="1">
        <f>IFERROR(__xludf.DUMMYFUNCTION("""COMPUTED_VALUE"""),1.0)</f>
        <v>1</v>
      </c>
      <c r="C236" s="1" t="str">
        <f>IFERROR(__xludf.DUMMYFUNCTION("""COMPUTED_VALUE"""),"ว30101")</f>
        <v>ว30101</v>
      </c>
      <c r="D236" s="1" t="str">
        <f>IFERROR(__xludf.DUMMYFUNCTION("""COMPUTED_VALUE"""),"วิทยาศาสตร์ชีวภาพ")</f>
        <v>วิทยาศาสตร์ชีวภาพ</v>
      </c>
      <c r="E236" s="1">
        <f>IFERROR(__xludf.DUMMYFUNCTION("""COMPUTED_VALUE"""),1.5)</f>
        <v>1.5</v>
      </c>
      <c r="F236" s="1">
        <f>IFERROR(__xludf.DUMMYFUNCTION("""COMPUTED_VALUE"""),2569.0)</f>
        <v>2569</v>
      </c>
      <c r="G236" s="1">
        <f>IFERROR(__xludf.DUMMYFUNCTION("""COMPUTED_VALUE"""),1.0)</f>
        <v>1</v>
      </c>
      <c r="H236" s="1">
        <f>IFERROR(__xludf.DUMMYFUNCTION("""COMPUTED_VALUE"""),342.0)</f>
        <v>342</v>
      </c>
      <c r="I236" s="1" t="str">
        <f>IFERROR(__xludf.DUMMYFUNCTION("""COMPUTED_VALUE"""),"นางสาว")</f>
        <v>นางสาว</v>
      </c>
      <c r="J236" s="1" t="str">
        <f>IFERROR(__xludf.DUMMYFUNCTION("""COMPUTED_VALUE"""),"ณรัณทร")</f>
        <v>ณรัณทร</v>
      </c>
      <c r="K236" s="1" t="str">
        <f>IFERROR(__xludf.DUMMYFUNCTION("""COMPUTED_VALUE"""),"กรภัทร์พร")</f>
        <v>กรภัทร์พร</v>
      </c>
      <c r="L236" s="1" t="str">
        <f>IFERROR(__xludf.DUMMYFUNCTION("""COMPUTED_VALUE"""),"ม.4")</f>
        <v>ม.4</v>
      </c>
      <c r="M236" s="1" t="str">
        <f>IFERROR(__xludf.DUMMYFUNCTION("""COMPUTED_VALUE"""),"วิทยาศาสตร์")</f>
        <v>วิทยาศาสตร์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>
        <f>IFERROR(__xludf.DUMMYFUNCTION("""COMPUTED_VALUE"""),11.0)</f>
        <v>11</v>
      </c>
      <c r="B237" s="1">
        <f>IFERROR(__xludf.DUMMYFUNCTION("""COMPUTED_VALUE"""),1.0)</f>
        <v>1</v>
      </c>
      <c r="C237" s="1" t="str">
        <f>IFERROR(__xludf.DUMMYFUNCTION("""COMPUTED_VALUE"""),"ว30101")</f>
        <v>ว30101</v>
      </c>
      <c r="D237" s="1" t="str">
        <f>IFERROR(__xludf.DUMMYFUNCTION("""COMPUTED_VALUE"""),"วิทยาศาสตร์ชีวภาพ")</f>
        <v>วิทยาศาสตร์ชีวภาพ</v>
      </c>
      <c r="E237" s="1">
        <f>IFERROR(__xludf.DUMMYFUNCTION("""COMPUTED_VALUE"""),1.5)</f>
        <v>1.5</v>
      </c>
      <c r="F237" s="1">
        <f>IFERROR(__xludf.DUMMYFUNCTION("""COMPUTED_VALUE"""),2569.0)</f>
        <v>2569</v>
      </c>
      <c r="G237" s="1">
        <f>IFERROR(__xludf.DUMMYFUNCTION("""COMPUTED_VALUE"""),1.0)</f>
        <v>1</v>
      </c>
      <c r="H237" s="1">
        <f>IFERROR(__xludf.DUMMYFUNCTION("""COMPUTED_VALUE"""),342.0)</f>
        <v>342</v>
      </c>
      <c r="I237" s="1" t="str">
        <f>IFERROR(__xludf.DUMMYFUNCTION("""COMPUTED_VALUE"""),"นางสาว")</f>
        <v>นางสาว</v>
      </c>
      <c r="J237" s="1" t="str">
        <f>IFERROR(__xludf.DUMMYFUNCTION("""COMPUTED_VALUE"""),"ณรัณทร")</f>
        <v>ณรัณทร</v>
      </c>
      <c r="K237" s="1" t="str">
        <f>IFERROR(__xludf.DUMMYFUNCTION("""COMPUTED_VALUE"""),"กรภัทร์พร")</f>
        <v>กรภัทร์พร</v>
      </c>
      <c r="L237" s="1" t="str">
        <f>IFERROR(__xludf.DUMMYFUNCTION("""COMPUTED_VALUE"""),"ม.4")</f>
        <v>ม.4</v>
      </c>
      <c r="M237" s="1" t="str">
        <f>IFERROR(__xludf.DUMMYFUNCTION("""COMPUTED_VALUE"""),"วิทยาศาสตร์")</f>
        <v>วิทยาศาสตร์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>
        <f>IFERROR(__xludf.DUMMYFUNCTION("""COMPUTED_VALUE"""),1.0)</f>
        <v>1</v>
      </c>
      <c r="B238" s="1">
        <f>IFERROR(__xludf.DUMMYFUNCTION("""COMPUTED_VALUE"""),1.0)</f>
        <v>1</v>
      </c>
      <c r="C238" s="1" t="str">
        <f>IFERROR(__xludf.DUMMYFUNCTION("""COMPUTED_VALUE"""),"ส30247")</f>
        <v>ส30247</v>
      </c>
      <c r="D238" s="1" t="str">
        <f>IFERROR(__xludf.DUMMYFUNCTION("""COMPUTED_VALUE"""),"การป้องกันการทุจริต 1")</f>
        <v>การป้องกันการทุจริต 1</v>
      </c>
      <c r="E238" s="1">
        <f>IFERROR(__xludf.DUMMYFUNCTION("""COMPUTED_VALUE"""),0.5)</f>
        <v>0.5</v>
      </c>
      <c r="F238" s="1">
        <f>IFERROR(__xludf.DUMMYFUNCTION("""COMPUTED_VALUE"""),2569.0)</f>
        <v>2569</v>
      </c>
      <c r="G238" s="1">
        <f>IFERROR(__xludf.DUMMYFUNCTION("""COMPUTED_VALUE"""),1.0)</f>
        <v>1</v>
      </c>
      <c r="H238" s="1">
        <f>IFERROR(__xludf.DUMMYFUNCTION("""COMPUTED_VALUE"""),342.0)</f>
        <v>342</v>
      </c>
      <c r="I238" s="1" t="str">
        <f>IFERROR(__xludf.DUMMYFUNCTION("""COMPUTED_VALUE"""),"นางสาว")</f>
        <v>นางสาว</v>
      </c>
      <c r="J238" s="1" t="str">
        <f>IFERROR(__xludf.DUMMYFUNCTION("""COMPUTED_VALUE"""),"ณรัณทร")</f>
        <v>ณรัณทร</v>
      </c>
      <c r="K238" s="1" t="str">
        <f>IFERROR(__xludf.DUMMYFUNCTION("""COMPUTED_VALUE"""),"กรภัทร์พร")</f>
        <v>กรภัทร์พร</v>
      </c>
      <c r="L238" s="1" t="str">
        <f>IFERROR(__xludf.DUMMYFUNCTION("""COMPUTED_VALUE"""),"ม.4")</f>
        <v>ม.4</v>
      </c>
      <c r="M238" s="1" t="str">
        <f>IFERROR(__xludf.DUMMYFUNCTION("""COMPUTED_VALUE"""),"วิทยาศาสตร์")</f>
        <v>วิทยาศาสตร์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>
        <f>IFERROR(__xludf.DUMMYFUNCTION("""COMPUTED_VALUE"""),4.0)</f>
        <v>4</v>
      </c>
      <c r="B239" s="1">
        <f>IFERROR(__xludf.DUMMYFUNCTION("""COMPUTED_VALUE"""),1.0)</f>
        <v>1</v>
      </c>
      <c r="C239" s="1" t="str">
        <f>IFERROR(__xludf.DUMMYFUNCTION("""COMPUTED_VALUE"""),"ว23101")</f>
        <v>ว23101</v>
      </c>
      <c r="D239" s="1" t="str">
        <f>IFERROR(__xludf.DUMMYFUNCTION("""COMPUTED_VALUE"""),"วิทยาศาสตร์ 5")</f>
        <v>วิทยาศาสตร์ 5</v>
      </c>
      <c r="E239" s="1">
        <f>IFERROR(__xludf.DUMMYFUNCTION("""COMPUTED_VALUE"""),1.5)</f>
        <v>1.5</v>
      </c>
      <c r="F239" s="1">
        <f>IFERROR(__xludf.DUMMYFUNCTION("""COMPUTED_VALUE"""),2569.0)</f>
        <v>2569</v>
      </c>
      <c r="G239" s="1">
        <f>IFERROR(__xludf.DUMMYFUNCTION("""COMPUTED_VALUE"""),1.0)</f>
        <v>1</v>
      </c>
      <c r="H239" s="1">
        <f>IFERROR(__xludf.DUMMYFUNCTION("""COMPUTED_VALUE"""),345.0)</f>
        <v>345</v>
      </c>
      <c r="I239" s="1" t="str">
        <f>IFERROR(__xludf.DUMMYFUNCTION("""COMPUTED_VALUE"""),"นาย")</f>
        <v>นาย</v>
      </c>
      <c r="J239" s="1" t="str">
        <f>IFERROR(__xludf.DUMMYFUNCTION("""COMPUTED_VALUE"""),"ปารเมศ")</f>
        <v>ปารเมศ</v>
      </c>
      <c r="K239" s="1" t="str">
        <f>IFERROR(__xludf.DUMMYFUNCTION("""COMPUTED_VALUE"""),"มหิเมือง")</f>
        <v>มหิเมือง</v>
      </c>
      <c r="L239" s="1" t="str">
        <f>IFERROR(__xludf.DUMMYFUNCTION("""COMPUTED_VALUE"""),"ม.3")</f>
        <v>ม.3</v>
      </c>
      <c r="M239" s="1" t="str">
        <f>IFERROR(__xludf.DUMMYFUNCTION("""COMPUTED_VALUE"""),"วิทยาศาสตร์")</f>
        <v>วิทยาศาสตร์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>
        <f>IFERROR(__xludf.DUMMYFUNCTION("""COMPUTED_VALUE"""),5.0)</f>
        <v>5</v>
      </c>
      <c r="B240" s="1">
        <f>IFERROR(__xludf.DUMMYFUNCTION("""COMPUTED_VALUE"""),1.0)</f>
        <v>1</v>
      </c>
      <c r="C240" s="1" t="str">
        <f>IFERROR(__xludf.DUMMYFUNCTION("""COMPUTED_VALUE"""),"ว30282")</f>
        <v>ว30282</v>
      </c>
      <c r="D240" s="1" t="str">
        <f>IFERROR(__xludf.DUMMYFUNCTION("""COMPUTED_VALUE"""),"โลก ดาราศาสตร์และอวกาศ")</f>
        <v>โลก ดาราศาสตร์และอวกาศ</v>
      </c>
      <c r="E240" s="1">
        <f>IFERROR(__xludf.DUMMYFUNCTION("""COMPUTED_VALUE"""),1.0)</f>
        <v>1</v>
      </c>
      <c r="F240" s="1">
        <f>IFERROR(__xludf.DUMMYFUNCTION("""COMPUTED_VALUE"""),2569.0)</f>
        <v>2569</v>
      </c>
      <c r="G240" s="1">
        <f>IFERROR(__xludf.DUMMYFUNCTION("""COMPUTED_VALUE"""),1.0)</f>
        <v>1</v>
      </c>
      <c r="H240" s="1">
        <f>IFERROR(__xludf.DUMMYFUNCTION("""COMPUTED_VALUE"""),345.0)</f>
        <v>345</v>
      </c>
      <c r="I240" s="1" t="str">
        <f>IFERROR(__xludf.DUMMYFUNCTION("""COMPUTED_VALUE"""),"นาย")</f>
        <v>นาย</v>
      </c>
      <c r="J240" s="1" t="str">
        <f>IFERROR(__xludf.DUMMYFUNCTION("""COMPUTED_VALUE"""),"ปารเมศ")</f>
        <v>ปารเมศ</v>
      </c>
      <c r="K240" s="1" t="str">
        <f>IFERROR(__xludf.DUMMYFUNCTION("""COMPUTED_VALUE"""),"มหิเมือง")</f>
        <v>มหิเมือง</v>
      </c>
      <c r="L240" s="1" t="str">
        <f>IFERROR(__xludf.DUMMYFUNCTION("""COMPUTED_VALUE"""),"ม.6")</f>
        <v>ม.6</v>
      </c>
      <c r="M240" s="1" t="str">
        <f>IFERROR(__xludf.DUMMYFUNCTION("""COMPUTED_VALUE"""),"วิทยาศาสตร์")</f>
        <v>วิทยาศาสตร์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>
        <f>IFERROR(__xludf.DUMMYFUNCTION("""COMPUTED_VALUE"""),7.0)</f>
        <v>7</v>
      </c>
      <c r="B241" s="1">
        <f>IFERROR(__xludf.DUMMYFUNCTION("""COMPUTED_VALUE"""),1.0)</f>
        <v>1</v>
      </c>
      <c r="C241" s="1" t="str">
        <f>IFERROR(__xludf.DUMMYFUNCTION("""COMPUTED_VALUE"""),"ว30282")</f>
        <v>ว30282</v>
      </c>
      <c r="D241" s="1" t="str">
        <f>IFERROR(__xludf.DUMMYFUNCTION("""COMPUTED_VALUE"""),"โลก ดาราศาสตร์และอวกาศ")</f>
        <v>โลก ดาราศาสตร์และอวกาศ</v>
      </c>
      <c r="E241" s="1">
        <f>IFERROR(__xludf.DUMMYFUNCTION("""COMPUTED_VALUE"""),1.0)</f>
        <v>1</v>
      </c>
      <c r="F241" s="1">
        <f>IFERROR(__xludf.DUMMYFUNCTION("""COMPUTED_VALUE"""),2569.0)</f>
        <v>2569</v>
      </c>
      <c r="G241" s="1">
        <f>IFERROR(__xludf.DUMMYFUNCTION("""COMPUTED_VALUE"""),1.0)</f>
        <v>1</v>
      </c>
      <c r="H241" s="1">
        <f>IFERROR(__xludf.DUMMYFUNCTION("""COMPUTED_VALUE"""),345.0)</f>
        <v>345</v>
      </c>
      <c r="I241" s="1" t="str">
        <f>IFERROR(__xludf.DUMMYFUNCTION("""COMPUTED_VALUE"""),"นาย")</f>
        <v>นาย</v>
      </c>
      <c r="J241" s="1" t="str">
        <f>IFERROR(__xludf.DUMMYFUNCTION("""COMPUTED_VALUE"""),"ปารเมศ")</f>
        <v>ปารเมศ</v>
      </c>
      <c r="K241" s="1" t="str">
        <f>IFERROR(__xludf.DUMMYFUNCTION("""COMPUTED_VALUE"""),"มหิเมือง")</f>
        <v>มหิเมือง</v>
      </c>
      <c r="L241" s="1" t="str">
        <f>IFERROR(__xludf.DUMMYFUNCTION("""COMPUTED_VALUE"""),"ม.6")</f>
        <v>ม.6</v>
      </c>
      <c r="M241" s="1" t="str">
        <f>IFERROR(__xludf.DUMMYFUNCTION("""COMPUTED_VALUE"""),"วิทยาศาสตร์")</f>
        <v>วิทยาศาสตร์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>
        <f>IFERROR(__xludf.DUMMYFUNCTION("""COMPUTED_VALUE"""),9.0)</f>
        <v>9</v>
      </c>
      <c r="B242" s="1">
        <f>IFERROR(__xludf.DUMMYFUNCTION("""COMPUTED_VALUE"""),1.0)</f>
        <v>1</v>
      </c>
      <c r="C242" s="1" t="str">
        <f>IFERROR(__xludf.DUMMYFUNCTION("""COMPUTED_VALUE"""),"ว30282")</f>
        <v>ว30282</v>
      </c>
      <c r="D242" s="1" t="str">
        <f>IFERROR(__xludf.DUMMYFUNCTION("""COMPUTED_VALUE"""),"โลก ดาราศาสตร์และอวกาศ")</f>
        <v>โลก ดาราศาสตร์และอวกาศ</v>
      </c>
      <c r="E242" s="1">
        <f>IFERROR(__xludf.DUMMYFUNCTION("""COMPUTED_VALUE"""),1.0)</f>
        <v>1</v>
      </c>
      <c r="F242" s="1">
        <f>IFERROR(__xludf.DUMMYFUNCTION("""COMPUTED_VALUE"""),2569.0)</f>
        <v>2569</v>
      </c>
      <c r="G242" s="1">
        <f>IFERROR(__xludf.DUMMYFUNCTION("""COMPUTED_VALUE"""),1.0)</f>
        <v>1</v>
      </c>
      <c r="H242" s="1">
        <f>IFERROR(__xludf.DUMMYFUNCTION("""COMPUTED_VALUE"""),345.0)</f>
        <v>345</v>
      </c>
      <c r="I242" s="1" t="str">
        <f>IFERROR(__xludf.DUMMYFUNCTION("""COMPUTED_VALUE"""),"นาย")</f>
        <v>นาย</v>
      </c>
      <c r="J242" s="1" t="str">
        <f>IFERROR(__xludf.DUMMYFUNCTION("""COMPUTED_VALUE"""),"ปารเมศ")</f>
        <v>ปารเมศ</v>
      </c>
      <c r="K242" s="1" t="str">
        <f>IFERROR(__xludf.DUMMYFUNCTION("""COMPUTED_VALUE"""),"มหิเมือง")</f>
        <v>มหิเมือง</v>
      </c>
      <c r="L242" s="1" t="str">
        <f>IFERROR(__xludf.DUMMYFUNCTION("""COMPUTED_VALUE"""),"ม.6")</f>
        <v>ม.6</v>
      </c>
      <c r="M242" s="1" t="str">
        <f>IFERROR(__xludf.DUMMYFUNCTION("""COMPUTED_VALUE"""),"วิทยาศาสตร์")</f>
        <v>วิทยาศาสตร์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>
        <f>IFERROR(__xludf.DUMMYFUNCTION("""COMPUTED_VALUE"""),11.0)</f>
        <v>11</v>
      </c>
      <c r="B243" s="1">
        <f>IFERROR(__xludf.DUMMYFUNCTION("""COMPUTED_VALUE"""),1.0)</f>
        <v>1</v>
      </c>
      <c r="C243" s="1" t="str">
        <f>IFERROR(__xludf.DUMMYFUNCTION("""COMPUTED_VALUE"""),"ว30282")</f>
        <v>ว30282</v>
      </c>
      <c r="D243" s="1" t="str">
        <f>IFERROR(__xludf.DUMMYFUNCTION("""COMPUTED_VALUE"""),"โลก ดาราศาสตร์และอวกาศ")</f>
        <v>โลก ดาราศาสตร์และอวกาศ</v>
      </c>
      <c r="E243" s="1">
        <f>IFERROR(__xludf.DUMMYFUNCTION("""COMPUTED_VALUE"""),1.0)</f>
        <v>1</v>
      </c>
      <c r="F243" s="1">
        <f>IFERROR(__xludf.DUMMYFUNCTION("""COMPUTED_VALUE"""),2569.0)</f>
        <v>2569</v>
      </c>
      <c r="G243" s="1">
        <f>IFERROR(__xludf.DUMMYFUNCTION("""COMPUTED_VALUE"""),1.0)</f>
        <v>1</v>
      </c>
      <c r="H243" s="1">
        <f>IFERROR(__xludf.DUMMYFUNCTION("""COMPUTED_VALUE"""),345.0)</f>
        <v>345</v>
      </c>
      <c r="I243" s="1" t="str">
        <f>IFERROR(__xludf.DUMMYFUNCTION("""COMPUTED_VALUE"""),"นาย")</f>
        <v>นาย</v>
      </c>
      <c r="J243" s="1" t="str">
        <f>IFERROR(__xludf.DUMMYFUNCTION("""COMPUTED_VALUE"""),"ปารเมศ")</f>
        <v>ปารเมศ</v>
      </c>
      <c r="K243" s="1" t="str">
        <f>IFERROR(__xludf.DUMMYFUNCTION("""COMPUTED_VALUE"""),"มหิเมือง")</f>
        <v>มหิเมือง</v>
      </c>
      <c r="L243" s="1" t="str">
        <f>IFERROR(__xludf.DUMMYFUNCTION("""COMPUTED_VALUE"""),"ม.6")</f>
        <v>ม.6</v>
      </c>
      <c r="M243" s="1" t="str">
        <f>IFERROR(__xludf.DUMMYFUNCTION("""COMPUTED_VALUE"""),"วิทยาศาสตร์")</f>
        <v>วิทยาศาสตร์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>
        <f>IFERROR(__xludf.DUMMYFUNCTION("""COMPUTED_VALUE"""),3.0)</f>
        <v>3</v>
      </c>
      <c r="B244" s="1">
        <f>IFERROR(__xludf.DUMMYFUNCTION("""COMPUTED_VALUE"""),1.0)</f>
        <v>1</v>
      </c>
      <c r="C244" s="1" t="str">
        <f>IFERROR(__xludf.DUMMYFUNCTION("""COMPUTED_VALUE"""),"ส30247")</f>
        <v>ส30247</v>
      </c>
      <c r="D244" s="1" t="str">
        <f>IFERROR(__xludf.DUMMYFUNCTION("""COMPUTED_VALUE"""),"การป้องกันการทุจริต 1")</f>
        <v>การป้องกันการทุจริต 1</v>
      </c>
      <c r="E244" s="1">
        <f>IFERROR(__xludf.DUMMYFUNCTION("""COMPUTED_VALUE"""),0.5)</f>
        <v>0.5</v>
      </c>
      <c r="F244" s="1">
        <f>IFERROR(__xludf.DUMMYFUNCTION("""COMPUTED_VALUE"""),2569.0)</f>
        <v>2569</v>
      </c>
      <c r="G244" s="1">
        <f>IFERROR(__xludf.DUMMYFUNCTION("""COMPUTED_VALUE"""),1.0)</f>
        <v>1</v>
      </c>
      <c r="H244" s="1">
        <f>IFERROR(__xludf.DUMMYFUNCTION("""COMPUTED_VALUE"""),345.0)</f>
        <v>345</v>
      </c>
      <c r="I244" s="1" t="str">
        <f>IFERROR(__xludf.DUMMYFUNCTION("""COMPUTED_VALUE"""),"นาย")</f>
        <v>นาย</v>
      </c>
      <c r="J244" s="1" t="str">
        <f>IFERROR(__xludf.DUMMYFUNCTION("""COMPUTED_VALUE"""),"ปารเมศ")</f>
        <v>ปารเมศ</v>
      </c>
      <c r="K244" s="1" t="str">
        <f>IFERROR(__xludf.DUMMYFUNCTION("""COMPUTED_VALUE"""),"มหิเมือง")</f>
        <v>มหิเมือง</v>
      </c>
      <c r="L244" s="1" t="str">
        <f>IFERROR(__xludf.DUMMYFUNCTION("""COMPUTED_VALUE"""),"ม.4")</f>
        <v>ม.4</v>
      </c>
      <c r="M244" s="1" t="str">
        <f>IFERROR(__xludf.DUMMYFUNCTION("""COMPUTED_VALUE"""),"วิทยาศาสตร์")</f>
        <v>วิทยาศาสตร์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>
        <f>IFERROR(__xludf.DUMMYFUNCTION("""COMPUTED_VALUE"""),1.0)</f>
        <v>1</v>
      </c>
      <c r="B245" s="1">
        <f>IFERROR(__xludf.DUMMYFUNCTION("""COMPUTED_VALUE"""),1.0)</f>
        <v>1</v>
      </c>
      <c r="C245" s="1" t="str">
        <f>IFERROR(__xludf.DUMMYFUNCTION("""COMPUTED_VALUE"""),"I30201")</f>
        <v>I30201</v>
      </c>
      <c r="D245" s="1" t="str">
        <f>IFERROR(__xludf.DUMMYFUNCTION("""COMPUTED_VALUE"""),"การศึกษาค้นคว้าฯ")</f>
        <v>การศึกษาค้นคว้าฯ</v>
      </c>
      <c r="E245" s="1">
        <f>IFERROR(__xludf.DUMMYFUNCTION("""COMPUTED_VALUE"""),1.0)</f>
        <v>1</v>
      </c>
      <c r="F245" s="1">
        <f>IFERROR(__xludf.DUMMYFUNCTION("""COMPUTED_VALUE"""),2569.0)</f>
        <v>2569</v>
      </c>
      <c r="G245" s="1">
        <f>IFERROR(__xludf.DUMMYFUNCTION("""COMPUTED_VALUE"""),1.0)</f>
        <v>1</v>
      </c>
      <c r="H245" s="1">
        <f>IFERROR(__xludf.DUMMYFUNCTION("""COMPUTED_VALUE"""),345.0)</f>
        <v>345</v>
      </c>
      <c r="I245" s="1" t="str">
        <f>IFERROR(__xludf.DUMMYFUNCTION("""COMPUTED_VALUE"""),"นาย")</f>
        <v>นาย</v>
      </c>
      <c r="J245" s="1" t="str">
        <f>IFERROR(__xludf.DUMMYFUNCTION("""COMPUTED_VALUE"""),"ปารเมศ")</f>
        <v>ปารเมศ</v>
      </c>
      <c r="K245" s="1" t="str">
        <f>IFERROR(__xludf.DUMMYFUNCTION("""COMPUTED_VALUE"""),"มหิเมือง")</f>
        <v>มหิเมือง</v>
      </c>
      <c r="L245" s="1" t="str">
        <f>IFERROR(__xludf.DUMMYFUNCTION("""COMPUTED_VALUE"""),"ม.4")</f>
        <v>ม.4</v>
      </c>
      <c r="M245" s="1" t="str">
        <f>IFERROR(__xludf.DUMMYFUNCTION("""COMPUTED_VALUE"""),"วิทยาศาสตร์")</f>
        <v>วิทยาศาสตร์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>
        <f>IFERROR(__xludf.DUMMYFUNCTION("""COMPUTED_VALUE"""),3.0)</f>
        <v>3</v>
      </c>
      <c r="B246" s="1">
        <f>IFERROR(__xludf.DUMMYFUNCTION("""COMPUTED_VALUE"""),1.0)</f>
        <v>1</v>
      </c>
      <c r="C246" s="1" t="str">
        <f>IFERROR(__xludf.DUMMYFUNCTION("""COMPUTED_VALUE"""),"I30201")</f>
        <v>I30201</v>
      </c>
      <c r="D246" s="1" t="str">
        <f>IFERROR(__xludf.DUMMYFUNCTION("""COMPUTED_VALUE"""),"การศึกษาค้นคว้าฯ")</f>
        <v>การศึกษาค้นคว้าฯ</v>
      </c>
      <c r="E246" s="1">
        <f>IFERROR(__xludf.DUMMYFUNCTION("""COMPUTED_VALUE"""),1.0)</f>
        <v>1</v>
      </c>
      <c r="F246" s="1">
        <f>IFERROR(__xludf.DUMMYFUNCTION("""COMPUTED_VALUE"""),2569.0)</f>
        <v>2569</v>
      </c>
      <c r="G246" s="1">
        <f>IFERROR(__xludf.DUMMYFUNCTION("""COMPUTED_VALUE"""),1.0)</f>
        <v>1</v>
      </c>
      <c r="H246" s="1">
        <f>IFERROR(__xludf.DUMMYFUNCTION("""COMPUTED_VALUE"""),345.0)</f>
        <v>345</v>
      </c>
      <c r="I246" s="1" t="str">
        <f>IFERROR(__xludf.DUMMYFUNCTION("""COMPUTED_VALUE"""),"นาย")</f>
        <v>นาย</v>
      </c>
      <c r="J246" s="1" t="str">
        <f>IFERROR(__xludf.DUMMYFUNCTION("""COMPUTED_VALUE"""),"ปารเมศ")</f>
        <v>ปารเมศ</v>
      </c>
      <c r="K246" s="1" t="str">
        <f>IFERROR(__xludf.DUMMYFUNCTION("""COMPUTED_VALUE"""),"มหิเมือง")</f>
        <v>มหิเมือง</v>
      </c>
      <c r="L246" s="1" t="str">
        <f>IFERROR(__xludf.DUMMYFUNCTION("""COMPUTED_VALUE"""),"ม.5")</f>
        <v>ม.5</v>
      </c>
      <c r="M246" s="1" t="str">
        <f>IFERROR(__xludf.DUMMYFUNCTION("""COMPUTED_VALUE"""),"วิทยาศาสตร์")</f>
        <v>วิทยาศาสตร์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>
        <f>IFERROR(__xludf.DUMMYFUNCTION("""COMPUTED_VALUE"""),1.0)</f>
        <v>1</v>
      </c>
      <c r="B247" s="1">
        <f>IFERROR(__xludf.DUMMYFUNCTION("""COMPUTED_VALUE"""),1.0)</f>
        <v>1</v>
      </c>
      <c r="C247" s="1" t="str">
        <f>IFERROR(__xludf.DUMMYFUNCTION("""COMPUTED_VALUE"""),"ว21101")</f>
        <v>ว21101</v>
      </c>
      <c r="D247" s="1" t="str">
        <f>IFERROR(__xludf.DUMMYFUNCTION("""COMPUTED_VALUE"""),"วิทยาศาสตร์ 1")</f>
        <v>วิทยาศาสตร์ 1</v>
      </c>
      <c r="E247" s="1">
        <f>IFERROR(__xludf.DUMMYFUNCTION("""COMPUTED_VALUE"""),1.5)</f>
        <v>1.5</v>
      </c>
      <c r="F247" s="1">
        <f>IFERROR(__xludf.DUMMYFUNCTION("""COMPUTED_VALUE"""),2569.0)</f>
        <v>2569</v>
      </c>
      <c r="G247" s="1">
        <f>IFERROR(__xludf.DUMMYFUNCTION("""COMPUTED_VALUE"""),1.0)</f>
        <v>1</v>
      </c>
      <c r="H247" s="1">
        <f>IFERROR(__xludf.DUMMYFUNCTION("""COMPUTED_VALUE"""),346.0)</f>
        <v>346</v>
      </c>
      <c r="I247" s="1" t="str">
        <f>IFERROR(__xludf.DUMMYFUNCTION("""COMPUTED_VALUE"""),"นางสาว")</f>
        <v>นางสาว</v>
      </c>
      <c r="J247" s="1" t="str">
        <f>IFERROR(__xludf.DUMMYFUNCTION("""COMPUTED_VALUE"""),"ธัญดา")</f>
        <v>ธัญดา</v>
      </c>
      <c r="K247" s="1" t="str">
        <f>IFERROR(__xludf.DUMMYFUNCTION("""COMPUTED_VALUE"""),"สายคำเลิศ")</f>
        <v>สายคำเลิศ</v>
      </c>
      <c r="L247" s="1" t="str">
        <f>IFERROR(__xludf.DUMMYFUNCTION("""COMPUTED_VALUE"""),"ม.1")</f>
        <v>ม.1</v>
      </c>
      <c r="M247" s="1" t="str">
        <f>IFERROR(__xludf.DUMMYFUNCTION("""COMPUTED_VALUE"""),"วิทยาศาสตร์")</f>
        <v>วิทยาศาสตร์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>
        <f>IFERROR(__xludf.DUMMYFUNCTION("""COMPUTED_VALUE"""),2.0)</f>
        <v>2</v>
      </c>
      <c r="B248" s="1">
        <f>IFERROR(__xludf.DUMMYFUNCTION("""COMPUTED_VALUE"""),1.0)</f>
        <v>1</v>
      </c>
      <c r="C248" s="1" t="str">
        <f>IFERROR(__xludf.DUMMYFUNCTION("""COMPUTED_VALUE"""),"ว21101")</f>
        <v>ว21101</v>
      </c>
      <c r="D248" s="1" t="str">
        <f>IFERROR(__xludf.DUMMYFUNCTION("""COMPUTED_VALUE"""),"วิทยาศาสตร์ 1")</f>
        <v>วิทยาศาสตร์ 1</v>
      </c>
      <c r="E248" s="1">
        <f>IFERROR(__xludf.DUMMYFUNCTION("""COMPUTED_VALUE"""),1.5)</f>
        <v>1.5</v>
      </c>
      <c r="F248" s="1">
        <f>IFERROR(__xludf.DUMMYFUNCTION("""COMPUTED_VALUE"""),2569.0)</f>
        <v>2569</v>
      </c>
      <c r="G248" s="1">
        <f>IFERROR(__xludf.DUMMYFUNCTION("""COMPUTED_VALUE"""),1.0)</f>
        <v>1</v>
      </c>
      <c r="H248" s="1">
        <f>IFERROR(__xludf.DUMMYFUNCTION("""COMPUTED_VALUE"""),346.0)</f>
        <v>346</v>
      </c>
      <c r="I248" s="1" t="str">
        <f>IFERROR(__xludf.DUMMYFUNCTION("""COMPUTED_VALUE"""),"นางสาว")</f>
        <v>นางสาว</v>
      </c>
      <c r="J248" s="1" t="str">
        <f>IFERROR(__xludf.DUMMYFUNCTION("""COMPUTED_VALUE"""),"ธัญดา")</f>
        <v>ธัญดา</v>
      </c>
      <c r="K248" s="1" t="str">
        <f>IFERROR(__xludf.DUMMYFUNCTION("""COMPUTED_VALUE"""),"สายคำเลิศ")</f>
        <v>สายคำเลิศ</v>
      </c>
      <c r="L248" s="1" t="str">
        <f>IFERROR(__xludf.DUMMYFUNCTION("""COMPUTED_VALUE"""),"ม.1")</f>
        <v>ม.1</v>
      </c>
      <c r="M248" s="1" t="str">
        <f>IFERROR(__xludf.DUMMYFUNCTION("""COMPUTED_VALUE"""),"วิทยาศาสตร์")</f>
        <v>วิทยาศาสตร์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>
        <f>IFERROR(__xludf.DUMMYFUNCTION("""COMPUTED_VALUE"""),1.0)</f>
        <v>1</v>
      </c>
      <c r="B249" s="1">
        <f>IFERROR(__xludf.DUMMYFUNCTION("""COMPUTED_VALUE"""),1.0)</f>
        <v>1</v>
      </c>
      <c r="C249" s="1" t="str">
        <f>IFERROR(__xludf.DUMMYFUNCTION("""COMPUTED_VALUE"""),"ว22203")</f>
        <v>ว22203</v>
      </c>
      <c r="D249" s="1" t="str">
        <f>IFERROR(__xludf.DUMMYFUNCTION("""COMPUTED_VALUE"""),"วิทยาศาสตร์โลกทั้งระบบ 1")</f>
        <v>วิทยาศาสตร์โลกทั้งระบบ 1</v>
      </c>
      <c r="E249" s="1">
        <f>IFERROR(__xludf.DUMMYFUNCTION("""COMPUTED_VALUE"""),1.0)</f>
        <v>1</v>
      </c>
      <c r="F249" s="1">
        <f>IFERROR(__xludf.DUMMYFUNCTION("""COMPUTED_VALUE"""),2569.0)</f>
        <v>2569</v>
      </c>
      <c r="G249" s="1">
        <f>IFERROR(__xludf.DUMMYFUNCTION("""COMPUTED_VALUE"""),1.0)</f>
        <v>1</v>
      </c>
      <c r="H249" s="1">
        <f>IFERROR(__xludf.DUMMYFUNCTION("""COMPUTED_VALUE"""),346.0)</f>
        <v>346</v>
      </c>
      <c r="I249" s="1" t="str">
        <f>IFERROR(__xludf.DUMMYFUNCTION("""COMPUTED_VALUE"""),"นางสาว")</f>
        <v>นางสาว</v>
      </c>
      <c r="J249" s="1" t="str">
        <f>IFERROR(__xludf.DUMMYFUNCTION("""COMPUTED_VALUE"""),"ธัญดา")</f>
        <v>ธัญดา</v>
      </c>
      <c r="K249" s="1" t="str">
        <f>IFERROR(__xludf.DUMMYFUNCTION("""COMPUTED_VALUE"""),"สายคำเลิศ")</f>
        <v>สายคำเลิศ</v>
      </c>
      <c r="L249" s="1" t="str">
        <f>IFERROR(__xludf.DUMMYFUNCTION("""COMPUTED_VALUE"""),"ม.2")</f>
        <v>ม.2</v>
      </c>
      <c r="M249" s="1" t="str">
        <f>IFERROR(__xludf.DUMMYFUNCTION("""COMPUTED_VALUE"""),"วิทยาศาสตร์")</f>
        <v>วิทยาศาสตร์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>
        <f>IFERROR(__xludf.DUMMYFUNCTION("""COMPUTED_VALUE"""),9.0)</f>
        <v>9</v>
      </c>
      <c r="B250" s="1">
        <f>IFERROR(__xludf.DUMMYFUNCTION("""COMPUTED_VALUE"""),1.0)</f>
        <v>1</v>
      </c>
      <c r="C250" s="1" t="str">
        <f>IFERROR(__xludf.DUMMYFUNCTION("""COMPUTED_VALUE"""),"ว30102")</f>
        <v>ว30102</v>
      </c>
      <c r="D250" s="1" t="str">
        <f>IFERROR(__xludf.DUMMYFUNCTION("""COMPUTED_VALUE"""),"วิทยาศาสตร์กายภาพเคมี")</f>
        <v>วิทยาศาสตร์กายภาพเคมี</v>
      </c>
      <c r="E250" s="1">
        <f>IFERROR(__xludf.DUMMYFUNCTION("""COMPUTED_VALUE"""),1.5)</f>
        <v>1.5</v>
      </c>
      <c r="F250" s="1">
        <f>IFERROR(__xludf.DUMMYFUNCTION("""COMPUTED_VALUE"""),2569.0)</f>
        <v>2569</v>
      </c>
      <c r="G250" s="1">
        <f>IFERROR(__xludf.DUMMYFUNCTION("""COMPUTED_VALUE"""),1.0)</f>
        <v>1</v>
      </c>
      <c r="H250" s="1">
        <f>IFERROR(__xludf.DUMMYFUNCTION("""COMPUTED_VALUE"""),346.0)</f>
        <v>346</v>
      </c>
      <c r="I250" s="1" t="str">
        <f>IFERROR(__xludf.DUMMYFUNCTION("""COMPUTED_VALUE"""),"นางสาว")</f>
        <v>นางสาว</v>
      </c>
      <c r="J250" s="1" t="str">
        <f>IFERROR(__xludf.DUMMYFUNCTION("""COMPUTED_VALUE"""),"ธัญดา")</f>
        <v>ธัญดา</v>
      </c>
      <c r="K250" s="1" t="str">
        <f>IFERROR(__xludf.DUMMYFUNCTION("""COMPUTED_VALUE"""),"สายคำเลิศ")</f>
        <v>สายคำเลิศ</v>
      </c>
      <c r="L250" s="1" t="str">
        <f>IFERROR(__xludf.DUMMYFUNCTION("""COMPUTED_VALUE"""),"ม.5")</f>
        <v>ม.5</v>
      </c>
      <c r="M250" s="1" t="str">
        <f>IFERROR(__xludf.DUMMYFUNCTION("""COMPUTED_VALUE"""),"วิทยาศาสตร์")</f>
        <v>วิทยาศาสตร์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>
        <f>IFERROR(__xludf.DUMMYFUNCTION("""COMPUTED_VALUE"""),11.0)</f>
        <v>11</v>
      </c>
      <c r="B251" s="1">
        <f>IFERROR(__xludf.DUMMYFUNCTION("""COMPUTED_VALUE"""),1.0)</f>
        <v>1</v>
      </c>
      <c r="C251" s="1" t="str">
        <f>IFERROR(__xludf.DUMMYFUNCTION("""COMPUTED_VALUE"""),"ว30102")</f>
        <v>ว30102</v>
      </c>
      <c r="D251" s="1" t="str">
        <f>IFERROR(__xludf.DUMMYFUNCTION("""COMPUTED_VALUE"""),"วิทยาศาสตร์กายภาพเคมี")</f>
        <v>วิทยาศาสตร์กายภาพเคมี</v>
      </c>
      <c r="E251" s="1">
        <f>IFERROR(__xludf.DUMMYFUNCTION("""COMPUTED_VALUE"""),1.5)</f>
        <v>1.5</v>
      </c>
      <c r="F251" s="1">
        <f>IFERROR(__xludf.DUMMYFUNCTION("""COMPUTED_VALUE"""),2569.0)</f>
        <v>2569</v>
      </c>
      <c r="G251" s="1">
        <f>IFERROR(__xludf.DUMMYFUNCTION("""COMPUTED_VALUE"""),1.0)</f>
        <v>1</v>
      </c>
      <c r="H251" s="1">
        <f>IFERROR(__xludf.DUMMYFUNCTION("""COMPUTED_VALUE"""),346.0)</f>
        <v>346</v>
      </c>
      <c r="I251" s="1" t="str">
        <f>IFERROR(__xludf.DUMMYFUNCTION("""COMPUTED_VALUE"""),"นางสาว")</f>
        <v>นางสาว</v>
      </c>
      <c r="J251" s="1" t="str">
        <f>IFERROR(__xludf.DUMMYFUNCTION("""COMPUTED_VALUE"""),"ธัญดา")</f>
        <v>ธัญดา</v>
      </c>
      <c r="K251" s="1" t="str">
        <f>IFERROR(__xludf.DUMMYFUNCTION("""COMPUTED_VALUE"""),"สายคำเลิศ")</f>
        <v>สายคำเลิศ</v>
      </c>
      <c r="L251" s="1" t="str">
        <f>IFERROR(__xludf.DUMMYFUNCTION("""COMPUTED_VALUE"""),"ม.5")</f>
        <v>ม.5</v>
      </c>
      <c r="M251" s="1" t="str">
        <f>IFERROR(__xludf.DUMMYFUNCTION("""COMPUTED_VALUE"""),"วิทยาศาสตร์")</f>
        <v>วิทยาศาสตร์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>
        <f>IFERROR(__xludf.DUMMYFUNCTION("""COMPUTED_VALUE"""),2.0)</f>
        <v>2</v>
      </c>
      <c r="B252" s="1">
        <f>IFERROR(__xludf.DUMMYFUNCTION("""COMPUTED_VALUE"""),1.0)</f>
        <v>1</v>
      </c>
      <c r="C252" s="1" t="str">
        <f>IFERROR(__xludf.DUMMYFUNCTION("""COMPUTED_VALUE"""),"ส20223")</f>
        <v>ส20223</v>
      </c>
      <c r="D252" s="1" t="str">
        <f>IFERROR(__xludf.DUMMYFUNCTION("""COMPUTED_VALUE"""),"การป้องกันการทุจริต 1")</f>
        <v>การป้องกันการทุจริต 1</v>
      </c>
      <c r="E252" s="1">
        <f>IFERROR(__xludf.DUMMYFUNCTION("""COMPUTED_VALUE"""),0.5)</f>
        <v>0.5</v>
      </c>
      <c r="F252" s="1">
        <f>IFERROR(__xludf.DUMMYFUNCTION("""COMPUTED_VALUE"""),2569.0)</f>
        <v>2569</v>
      </c>
      <c r="G252" s="1">
        <f>IFERROR(__xludf.DUMMYFUNCTION("""COMPUTED_VALUE"""),1.0)</f>
        <v>1</v>
      </c>
      <c r="H252" s="1">
        <f>IFERROR(__xludf.DUMMYFUNCTION("""COMPUTED_VALUE"""),346.0)</f>
        <v>346</v>
      </c>
      <c r="I252" s="1" t="str">
        <f>IFERROR(__xludf.DUMMYFUNCTION("""COMPUTED_VALUE"""),"นางสาว")</f>
        <v>นางสาว</v>
      </c>
      <c r="J252" s="1" t="str">
        <f>IFERROR(__xludf.DUMMYFUNCTION("""COMPUTED_VALUE"""),"ธัญดา")</f>
        <v>ธัญดา</v>
      </c>
      <c r="K252" s="1" t="str">
        <f>IFERROR(__xludf.DUMMYFUNCTION("""COMPUTED_VALUE"""),"สายคำเลิศ")</f>
        <v>สายคำเลิศ</v>
      </c>
      <c r="L252" s="1" t="str">
        <f>IFERROR(__xludf.DUMMYFUNCTION("""COMPUTED_VALUE"""),"ม.1")</f>
        <v>ม.1</v>
      </c>
      <c r="M252" s="1" t="str">
        <f>IFERROR(__xludf.DUMMYFUNCTION("""COMPUTED_VALUE"""),"วิทยาศาสตร์")</f>
        <v>วิทยาศาสตร์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>
        <f>IFERROR(__xludf.DUMMYFUNCTION("""COMPUTED_VALUE"""),2.0)</f>
        <v>2</v>
      </c>
      <c r="B253" s="1">
        <f>IFERROR(__xludf.DUMMYFUNCTION("""COMPUTED_VALUE"""),1.0)</f>
        <v>1</v>
      </c>
      <c r="C253" s="1" t="str">
        <f>IFERROR(__xludf.DUMMYFUNCTION("""COMPUTED_VALUE"""),"ว21207")</f>
        <v>ว21207</v>
      </c>
      <c r="D253" s="1" t="str">
        <f>IFERROR(__xludf.DUMMYFUNCTION("""COMPUTED_VALUE"""),"วิทยาศาสตร์เพื่อพัฒนาสิ่งประดิษฐ์")</f>
        <v>วิทยาศาสตร์เพื่อพัฒนาสิ่งประดิษฐ์</v>
      </c>
      <c r="E253" s="1">
        <f>IFERROR(__xludf.DUMMYFUNCTION("""COMPUTED_VALUE"""),1.0)</f>
        <v>1</v>
      </c>
      <c r="F253" s="1">
        <f>IFERROR(__xludf.DUMMYFUNCTION("""COMPUTED_VALUE"""),2569.0)</f>
        <v>2569</v>
      </c>
      <c r="G253" s="1">
        <f>IFERROR(__xludf.DUMMYFUNCTION("""COMPUTED_VALUE"""),1.0)</f>
        <v>1</v>
      </c>
      <c r="H253" s="1">
        <f>IFERROR(__xludf.DUMMYFUNCTION("""COMPUTED_VALUE"""),347.0)</f>
        <v>347</v>
      </c>
      <c r="I253" s="1" t="str">
        <f>IFERROR(__xludf.DUMMYFUNCTION("""COMPUTED_VALUE"""),"นาง")</f>
        <v>นาง</v>
      </c>
      <c r="J253" s="1" t="str">
        <f>IFERROR(__xludf.DUMMYFUNCTION("""COMPUTED_VALUE"""),"เยาวลักษณ์")</f>
        <v>เยาวลักษณ์</v>
      </c>
      <c r="K253" s="1" t="str">
        <f>IFERROR(__xludf.DUMMYFUNCTION("""COMPUTED_VALUE"""),"กองศิลป์")</f>
        <v>กองศิลป์</v>
      </c>
      <c r="L253" s="1" t="str">
        <f>IFERROR(__xludf.DUMMYFUNCTION("""COMPUTED_VALUE"""),"ม.1")</f>
        <v>ม.1</v>
      </c>
      <c r="M253" s="1" t="str">
        <f>IFERROR(__xludf.DUMMYFUNCTION("""COMPUTED_VALUE"""),"วิทยาศาสตร์")</f>
        <v>วิทยาศาสตร์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>
        <f>IFERROR(__xludf.DUMMYFUNCTION("""COMPUTED_VALUE"""),1.0)</f>
        <v>1</v>
      </c>
      <c r="B254" s="1">
        <f>IFERROR(__xludf.DUMMYFUNCTION("""COMPUTED_VALUE"""),1.0)</f>
        <v>1</v>
      </c>
      <c r="C254" s="1" t="str">
        <f>IFERROR(__xludf.DUMMYFUNCTION("""COMPUTED_VALUE"""),"ว23101")</f>
        <v>ว23101</v>
      </c>
      <c r="D254" s="1" t="str">
        <f>IFERROR(__xludf.DUMMYFUNCTION("""COMPUTED_VALUE"""),"วิทยาศาสตร์ 5")</f>
        <v>วิทยาศาสตร์ 5</v>
      </c>
      <c r="E254" s="1">
        <f>IFERROR(__xludf.DUMMYFUNCTION("""COMPUTED_VALUE"""),1.5)</f>
        <v>1.5</v>
      </c>
      <c r="F254" s="1">
        <f>IFERROR(__xludf.DUMMYFUNCTION("""COMPUTED_VALUE"""),2569.0)</f>
        <v>2569</v>
      </c>
      <c r="G254" s="1">
        <f>IFERROR(__xludf.DUMMYFUNCTION("""COMPUTED_VALUE"""),1.0)</f>
        <v>1</v>
      </c>
      <c r="H254" s="1">
        <f>IFERROR(__xludf.DUMMYFUNCTION("""COMPUTED_VALUE"""),347.0)</f>
        <v>347</v>
      </c>
      <c r="I254" s="1" t="str">
        <f>IFERROR(__xludf.DUMMYFUNCTION("""COMPUTED_VALUE"""),"นาง")</f>
        <v>นาง</v>
      </c>
      <c r="J254" s="1" t="str">
        <f>IFERROR(__xludf.DUMMYFUNCTION("""COMPUTED_VALUE"""),"เยาวลักษณ์")</f>
        <v>เยาวลักษณ์</v>
      </c>
      <c r="K254" s="1" t="str">
        <f>IFERROR(__xludf.DUMMYFUNCTION("""COMPUTED_VALUE"""),"กองศิลป์")</f>
        <v>กองศิลป์</v>
      </c>
      <c r="L254" s="1" t="str">
        <f>IFERROR(__xludf.DUMMYFUNCTION("""COMPUTED_VALUE"""),"ม.3")</f>
        <v>ม.3</v>
      </c>
      <c r="M254" s="1" t="str">
        <f>IFERROR(__xludf.DUMMYFUNCTION("""COMPUTED_VALUE"""),"วิทยาศาสตร์")</f>
        <v>วิทยาศาสตร์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>
        <f>IFERROR(__xludf.DUMMYFUNCTION("""COMPUTED_VALUE"""),2.0)</f>
        <v>2</v>
      </c>
      <c r="B255" s="1">
        <f>IFERROR(__xludf.DUMMYFUNCTION("""COMPUTED_VALUE"""),1.0)</f>
        <v>1</v>
      </c>
      <c r="C255" s="1" t="str">
        <f>IFERROR(__xludf.DUMMYFUNCTION("""COMPUTED_VALUE"""),"ว23101")</f>
        <v>ว23101</v>
      </c>
      <c r="D255" s="1" t="str">
        <f>IFERROR(__xludf.DUMMYFUNCTION("""COMPUTED_VALUE"""),"วิทยาศาสตร์ 5")</f>
        <v>วิทยาศาสตร์ 5</v>
      </c>
      <c r="E255" s="1">
        <f>IFERROR(__xludf.DUMMYFUNCTION("""COMPUTED_VALUE"""),1.5)</f>
        <v>1.5</v>
      </c>
      <c r="F255" s="1">
        <f>IFERROR(__xludf.DUMMYFUNCTION("""COMPUTED_VALUE"""),2569.0)</f>
        <v>2569</v>
      </c>
      <c r="G255" s="1">
        <f>IFERROR(__xludf.DUMMYFUNCTION("""COMPUTED_VALUE"""),1.0)</f>
        <v>1</v>
      </c>
      <c r="H255" s="1">
        <f>IFERROR(__xludf.DUMMYFUNCTION("""COMPUTED_VALUE"""),347.0)</f>
        <v>347</v>
      </c>
      <c r="I255" s="1" t="str">
        <f>IFERROR(__xludf.DUMMYFUNCTION("""COMPUTED_VALUE"""),"นาง")</f>
        <v>นาง</v>
      </c>
      <c r="J255" s="1" t="str">
        <f>IFERROR(__xludf.DUMMYFUNCTION("""COMPUTED_VALUE"""),"เยาวลักษณ์")</f>
        <v>เยาวลักษณ์</v>
      </c>
      <c r="K255" s="1" t="str">
        <f>IFERROR(__xludf.DUMMYFUNCTION("""COMPUTED_VALUE"""),"กองศิลป์")</f>
        <v>กองศิลป์</v>
      </c>
      <c r="L255" s="1" t="str">
        <f>IFERROR(__xludf.DUMMYFUNCTION("""COMPUTED_VALUE"""),"ม.3")</f>
        <v>ม.3</v>
      </c>
      <c r="M255" s="1" t="str">
        <f>IFERROR(__xludf.DUMMYFUNCTION("""COMPUTED_VALUE"""),"วิทยาศาสตร์")</f>
        <v>วิทยาศาสตร์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>
        <f>IFERROR(__xludf.DUMMYFUNCTION("""COMPUTED_VALUE"""),5.0)</f>
        <v>5</v>
      </c>
      <c r="B256" s="1">
        <f>IFERROR(__xludf.DUMMYFUNCTION("""COMPUTED_VALUE"""),1.0)</f>
        <v>1</v>
      </c>
      <c r="C256" s="1" t="str">
        <f>IFERROR(__xludf.DUMMYFUNCTION("""COMPUTED_VALUE"""),"ว23101")</f>
        <v>ว23101</v>
      </c>
      <c r="D256" s="1" t="str">
        <f>IFERROR(__xludf.DUMMYFUNCTION("""COMPUTED_VALUE"""),"วิทยาศาสตร์ 5")</f>
        <v>วิทยาศาสตร์ 5</v>
      </c>
      <c r="E256" s="1">
        <f>IFERROR(__xludf.DUMMYFUNCTION("""COMPUTED_VALUE"""),1.5)</f>
        <v>1.5</v>
      </c>
      <c r="F256" s="1">
        <f>IFERROR(__xludf.DUMMYFUNCTION("""COMPUTED_VALUE"""),2569.0)</f>
        <v>2569</v>
      </c>
      <c r="G256" s="1">
        <f>IFERROR(__xludf.DUMMYFUNCTION("""COMPUTED_VALUE"""),1.0)</f>
        <v>1</v>
      </c>
      <c r="H256" s="1">
        <f>IFERROR(__xludf.DUMMYFUNCTION("""COMPUTED_VALUE"""),347.0)</f>
        <v>347</v>
      </c>
      <c r="I256" s="1" t="str">
        <f>IFERROR(__xludf.DUMMYFUNCTION("""COMPUTED_VALUE"""),"นาง")</f>
        <v>นาง</v>
      </c>
      <c r="J256" s="1" t="str">
        <f>IFERROR(__xludf.DUMMYFUNCTION("""COMPUTED_VALUE"""),"เยาวลักษณ์")</f>
        <v>เยาวลักษณ์</v>
      </c>
      <c r="K256" s="1" t="str">
        <f>IFERROR(__xludf.DUMMYFUNCTION("""COMPUTED_VALUE"""),"กองศิลป์")</f>
        <v>กองศิลป์</v>
      </c>
      <c r="L256" s="1" t="str">
        <f>IFERROR(__xludf.DUMMYFUNCTION("""COMPUTED_VALUE"""),"ม.3")</f>
        <v>ม.3</v>
      </c>
      <c r="M256" s="1" t="str">
        <f>IFERROR(__xludf.DUMMYFUNCTION("""COMPUTED_VALUE"""),"วิทยาศาสตร์")</f>
        <v>วิทยาศาสตร์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>
        <f>IFERROR(__xludf.DUMMYFUNCTION("""COMPUTED_VALUE"""),8.0)</f>
        <v>8</v>
      </c>
      <c r="B257" s="1">
        <f>IFERROR(__xludf.DUMMYFUNCTION("""COMPUTED_VALUE"""),1.0)</f>
        <v>1</v>
      </c>
      <c r="C257" s="1" t="str">
        <f>IFERROR(__xludf.DUMMYFUNCTION("""COMPUTED_VALUE"""),"ว23101")</f>
        <v>ว23101</v>
      </c>
      <c r="D257" s="1" t="str">
        <f>IFERROR(__xludf.DUMMYFUNCTION("""COMPUTED_VALUE"""),"วิทยาศาสตร์ 5")</f>
        <v>วิทยาศาสตร์ 5</v>
      </c>
      <c r="E257" s="1">
        <f>IFERROR(__xludf.DUMMYFUNCTION("""COMPUTED_VALUE"""),1.5)</f>
        <v>1.5</v>
      </c>
      <c r="F257" s="1">
        <f>IFERROR(__xludf.DUMMYFUNCTION("""COMPUTED_VALUE"""),2569.0)</f>
        <v>2569</v>
      </c>
      <c r="G257" s="1">
        <f>IFERROR(__xludf.DUMMYFUNCTION("""COMPUTED_VALUE"""),1.0)</f>
        <v>1</v>
      </c>
      <c r="H257" s="1">
        <f>IFERROR(__xludf.DUMMYFUNCTION("""COMPUTED_VALUE"""),347.0)</f>
        <v>347</v>
      </c>
      <c r="I257" s="1" t="str">
        <f>IFERROR(__xludf.DUMMYFUNCTION("""COMPUTED_VALUE"""),"นาง")</f>
        <v>นาง</v>
      </c>
      <c r="J257" s="1" t="str">
        <f>IFERROR(__xludf.DUMMYFUNCTION("""COMPUTED_VALUE"""),"เยาวลักษณ์")</f>
        <v>เยาวลักษณ์</v>
      </c>
      <c r="K257" s="1" t="str">
        <f>IFERROR(__xludf.DUMMYFUNCTION("""COMPUTED_VALUE"""),"กองศิลป์")</f>
        <v>กองศิลป์</v>
      </c>
      <c r="L257" s="1" t="str">
        <f>IFERROR(__xludf.DUMMYFUNCTION("""COMPUTED_VALUE"""),"ม.3")</f>
        <v>ม.3</v>
      </c>
      <c r="M257" s="1" t="str">
        <f>IFERROR(__xludf.DUMMYFUNCTION("""COMPUTED_VALUE"""),"วิทยาศาสตร์")</f>
        <v>วิทยาศาสตร์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>
        <f>IFERROR(__xludf.DUMMYFUNCTION("""COMPUTED_VALUE"""),2.0)</f>
        <v>2</v>
      </c>
      <c r="B258" s="1">
        <f>IFERROR(__xludf.DUMMYFUNCTION("""COMPUTED_VALUE"""),1.0)</f>
        <v>1</v>
      </c>
      <c r="C258" s="1" t="str">
        <f>IFERROR(__xludf.DUMMYFUNCTION("""COMPUTED_VALUE"""),"ว23205")</f>
        <v>ว23205</v>
      </c>
      <c r="D258" s="1" t="str">
        <f>IFERROR(__xludf.DUMMYFUNCTION("""COMPUTED_VALUE"""),"วิทยาศาสตร์พลังสิบ 5")</f>
        <v>วิทยาศาสตร์พลังสิบ 5</v>
      </c>
      <c r="E258" s="1">
        <f>IFERROR(__xludf.DUMMYFUNCTION("""COMPUTED_VALUE"""),1.0)</f>
        <v>1</v>
      </c>
      <c r="F258" s="1">
        <f>IFERROR(__xludf.DUMMYFUNCTION("""COMPUTED_VALUE"""),2569.0)</f>
        <v>2569</v>
      </c>
      <c r="G258" s="1">
        <f>IFERROR(__xludf.DUMMYFUNCTION("""COMPUTED_VALUE"""),1.0)</f>
        <v>1</v>
      </c>
      <c r="H258" s="1">
        <f>IFERROR(__xludf.DUMMYFUNCTION("""COMPUTED_VALUE"""),347.0)</f>
        <v>347</v>
      </c>
      <c r="I258" s="1" t="str">
        <f>IFERROR(__xludf.DUMMYFUNCTION("""COMPUTED_VALUE"""),"นาง")</f>
        <v>นาง</v>
      </c>
      <c r="J258" s="1" t="str">
        <f>IFERROR(__xludf.DUMMYFUNCTION("""COMPUTED_VALUE"""),"เยาวลักษณ์")</f>
        <v>เยาวลักษณ์</v>
      </c>
      <c r="K258" s="1" t="str">
        <f>IFERROR(__xludf.DUMMYFUNCTION("""COMPUTED_VALUE"""),"กองศิลป์")</f>
        <v>กองศิลป์</v>
      </c>
      <c r="L258" s="1" t="str">
        <f>IFERROR(__xludf.DUMMYFUNCTION("""COMPUTED_VALUE"""),"ม.3")</f>
        <v>ม.3</v>
      </c>
      <c r="M258" s="1" t="str">
        <f>IFERROR(__xludf.DUMMYFUNCTION("""COMPUTED_VALUE"""),"วิทยาศาสตร์")</f>
        <v>วิทยาศาสตร์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>
        <f>IFERROR(__xludf.DUMMYFUNCTION("""COMPUTED_VALUE"""),2.0)</f>
        <v>2</v>
      </c>
      <c r="B259" s="1">
        <f>IFERROR(__xludf.DUMMYFUNCTION("""COMPUTED_VALUE"""),1.0)</f>
        <v>1</v>
      </c>
      <c r="C259" s="1" t="str">
        <f>IFERROR(__xludf.DUMMYFUNCTION("""COMPUTED_VALUE"""),"ส20227")</f>
        <v>ส20227</v>
      </c>
      <c r="D259" s="1" t="str">
        <f>IFERROR(__xludf.DUMMYFUNCTION("""COMPUTED_VALUE"""),"การป้องกันการทุจริต 5")</f>
        <v>การป้องกันการทุจริต 5</v>
      </c>
      <c r="E259" s="1">
        <f>IFERROR(__xludf.DUMMYFUNCTION("""COMPUTED_VALUE"""),0.5)</f>
        <v>0.5</v>
      </c>
      <c r="F259" s="1">
        <f>IFERROR(__xludf.DUMMYFUNCTION("""COMPUTED_VALUE"""),2569.0)</f>
        <v>2569</v>
      </c>
      <c r="G259" s="1">
        <f>IFERROR(__xludf.DUMMYFUNCTION("""COMPUTED_VALUE"""),1.0)</f>
        <v>1</v>
      </c>
      <c r="H259" s="1">
        <f>IFERROR(__xludf.DUMMYFUNCTION("""COMPUTED_VALUE"""),347.0)</f>
        <v>347</v>
      </c>
      <c r="I259" s="1" t="str">
        <f>IFERROR(__xludf.DUMMYFUNCTION("""COMPUTED_VALUE"""),"นาง")</f>
        <v>นาง</v>
      </c>
      <c r="J259" s="1" t="str">
        <f>IFERROR(__xludf.DUMMYFUNCTION("""COMPUTED_VALUE"""),"เยาวลักษณ์")</f>
        <v>เยาวลักษณ์</v>
      </c>
      <c r="K259" s="1" t="str">
        <f>IFERROR(__xludf.DUMMYFUNCTION("""COMPUTED_VALUE"""),"กองศิลป์")</f>
        <v>กองศิลป์</v>
      </c>
      <c r="L259" s="1" t="str">
        <f>IFERROR(__xludf.DUMMYFUNCTION("""COMPUTED_VALUE"""),"ม.3")</f>
        <v>ม.3</v>
      </c>
      <c r="M259" s="1" t="str">
        <f>IFERROR(__xludf.DUMMYFUNCTION("""COMPUTED_VALUE"""),"วิทยาศาสตร์")</f>
        <v>วิทยาศาสตร์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>
        <f>IFERROR(__xludf.DUMMYFUNCTION("""COMPUTED_VALUE"""),3.0)</f>
        <v>3</v>
      </c>
      <c r="B260" s="1">
        <f>IFERROR(__xludf.DUMMYFUNCTION("""COMPUTED_VALUE"""),1.0)</f>
        <v>1</v>
      </c>
      <c r="C260" s="1" t="str">
        <f>IFERROR(__xludf.DUMMYFUNCTION("""COMPUTED_VALUE"""),"ว21101")</f>
        <v>ว21101</v>
      </c>
      <c r="D260" s="1" t="str">
        <f>IFERROR(__xludf.DUMMYFUNCTION("""COMPUTED_VALUE"""),"วิทยาศาสตร์ 1")</f>
        <v>วิทยาศาสตร์ 1</v>
      </c>
      <c r="E260" s="1">
        <f>IFERROR(__xludf.DUMMYFUNCTION("""COMPUTED_VALUE"""),1.5)</f>
        <v>1.5</v>
      </c>
      <c r="F260" s="1">
        <f>IFERROR(__xludf.DUMMYFUNCTION("""COMPUTED_VALUE"""),2569.0)</f>
        <v>2569</v>
      </c>
      <c r="G260" s="1">
        <f>IFERROR(__xludf.DUMMYFUNCTION("""COMPUTED_VALUE"""),1.0)</f>
        <v>1</v>
      </c>
      <c r="H260" s="1">
        <f>IFERROR(__xludf.DUMMYFUNCTION("""COMPUTED_VALUE"""),348.0)</f>
        <v>348</v>
      </c>
      <c r="I260" s="1" t="str">
        <f>IFERROR(__xludf.DUMMYFUNCTION("""COMPUTED_VALUE"""),"นางสาว")</f>
        <v>นางสาว</v>
      </c>
      <c r="J260" s="1" t="str">
        <f>IFERROR(__xludf.DUMMYFUNCTION("""COMPUTED_VALUE"""),"ปรียาภรณ์")</f>
        <v>ปรียาภรณ์</v>
      </c>
      <c r="K260" s="1" t="str">
        <f>IFERROR(__xludf.DUMMYFUNCTION("""COMPUTED_VALUE"""),"ผังคี")</f>
        <v>ผังคี</v>
      </c>
      <c r="L260" s="1" t="str">
        <f>IFERROR(__xludf.DUMMYFUNCTION("""COMPUTED_VALUE"""),"ม.1")</f>
        <v>ม.1</v>
      </c>
      <c r="M260" s="1" t="str">
        <f>IFERROR(__xludf.DUMMYFUNCTION("""COMPUTED_VALUE"""),"วิทยาศาสตร์")</f>
        <v>วิทยาศาสตร์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>
        <f>IFERROR(__xludf.DUMMYFUNCTION("""COMPUTED_VALUE"""),4.0)</f>
        <v>4</v>
      </c>
      <c r="B261" s="1">
        <f>IFERROR(__xludf.DUMMYFUNCTION("""COMPUTED_VALUE"""),1.0)</f>
        <v>1</v>
      </c>
      <c r="C261" s="1" t="str">
        <f>IFERROR(__xludf.DUMMYFUNCTION("""COMPUTED_VALUE"""),"ว21101")</f>
        <v>ว21101</v>
      </c>
      <c r="D261" s="1" t="str">
        <f>IFERROR(__xludf.DUMMYFUNCTION("""COMPUTED_VALUE"""),"วิทยาศาสตร์ 1")</f>
        <v>วิทยาศาสตร์ 1</v>
      </c>
      <c r="E261" s="1">
        <f>IFERROR(__xludf.DUMMYFUNCTION("""COMPUTED_VALUE"""),1.5)</f>
        <v>1.5</v>
      </c>
      <c r="F261" s="1">
        <f>IFERROR(__xludf.DUMMYFUNCTION("""COMPUTED_VALUE"""),2569.0)</f>
        <v>2569</v>
      </c>
      <c r="G261" s="1">
        <f>IFERROR(__xludf.DUMMYFUNCTION("""COMPUTED_VALUE"""),1.0)</f>
        <v>1</v>
      </c>
      <c r="H261" s="1">
        <f>IFERROR(__xludf.DUMMYFUNCTION("""COMPUTED_VALUE"""),348.0)</f>
        <v>348</v>
      </c>
      <c r="I261" s="1" t="str">
        <f>IFERROR(__xludf.DUMMYFUNCTION("""COMPUTED_VALUE"""),"นางสาว")</f>
        <v>นางสาว</v>
      </c>
      <c r="J261" s="1" t="str">
        <f>IFERROR(__xludf.DUMMYFUNCTION("""COMPUTED_VALUE"""),"ปรียาภรณ์")</f>
        <v>ปรียาภรณ์</v>
      </c>
      <c r="K261" s="1" t="str">
        <f>IFERROR(__xludf.DUMMYFUNCTION("""COMPUTED_VALUE"""),"ผังคี")</f>
        <v>ผังคี</v>
      </c>
      <c r="L261" s="1" t="str">
        <f>IFERROR(__xludf.DUMMYFUNCTION("""COMPUTED_VALUE"""),"ม.1")</f>
        <v>ม.1</v>
      </c>
      <c r="M261" s="1" t="str">
        <f>IFERROR(__xludf.DUMMYFUNCTION("""COMPUTED_VALUE"""),"วิทยาศาสตร์")</f>
        <v>วิทยาศาสตร์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>
        <f>IFERROR(__xludf.DUMMYFUNCTION("""COMPUTED_VALUE"""),2.0)</f>
        <v>2</v>
      </c>
      <c r="B262" s="1">
        <f>IFERROR(__xludf.DUMMYFUNCTION("""COMPUTED_VALUE"""),1.0)</f>
        <v>1</v>
      </c>
      <c r="C262" s="1" t="str">
        <f>IFERROR(__xludf.DUMMYFUNCTION("""COMPUTED_VALUE"""),"ว22101")</f>
        <v>ว22101</v>
      </c>
      <c r="D262" s="1" t="str">
        <f>IFERROR(__xludf.DUMMYFUNCTION("""COMPUTED_VALUE"""),"วิทยาศาสตร์ 3")</f>
        <v>วิทยาศาสตร์ 3</v>
      </c>
      <c r="E262" s="1">
        <f>IFERROR(__xludf.DUMMYFUNCTION("""COMPUTED_VALUE"""),1.5)</f>
        <v>1.5</v>
      </c>
      <c r="F262" s="1">
        <f>IFERROR(__xludf.DUMMYFUNCTION("""COMPUTED_VALUE"""),2569.0)</f>
        <v>2569</v>
      </c>
      <c r="G262" s="1">
        <f>IFERROR(__xludf.DUMMYFUNCTION("""COMPUTED_VALUE"""),1.0)</f>
        <v>1</v>
      </c>
      <c r="H262" s="1">
        <f>IFERROR(__xludf.DUMMYFUNCTION("""COMPUTED_VALUE"""),348.0)</f>
        <v>348</v>
      </c>
      <c r="I262" s="1" t="str">
        <f>IFERROR(__xludf.DUMMYFUNCTION("""COMPUTED_VALUE"""),"นางสาว")</f>
        <v>นางสาว</v>
      </c>
      <c r="J262" s="1" t="str">
        <f>IFERROR(__xludf.DUMMYFUNCTION("""COMPUTED_VALUE"""),"ปรียาภรณ์")</f>
        <v>ปรียาภรณ์</v>
      </c>
      <c r="K262" s="1" t="str">
        <f>IFERROR(__xludf.DUMMYFUNCTION("""COMPUTED_VALUE"""),"ผังคี")</f>
        <v>ผังคี</v>
      </c>
      <c r="L262" s="1" t="str">
        <f>IFERROR(__xludf.DUMMYFUNCTION("""COMPUTED_VALUE"""),"ม.2")</f>
        <v>ม.2</v>
      </c>
      <c r="M262" s="1" t="str">
        <f>IFERROR(__xludf.DUMMYFUNCTION("""COMPUTED_VALUE"""),"วิทยาศาสตร์")</f>
        <v>วิทยาศาสตร์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>
        <f>IFERROR(__xludf.DUMMYFUNCTION("""COMPUTED_VALUE"""),4.0)</f>
        <v>4</v>
      </c>
      <c r="B263" s="1">
        <f>IFERROR(__xludf.DUMMYFUNCTION("""COMPUTED_VALUE"""),1.0)</f>
        <v>1</v>
      </c>
      <c r="C263" s="1" t="str">
        <f>IFERROR(__xludf.DUMMYFUNCTION("""COMPUTED_VALUE"""),"ว22101")</f>
        <v>ว22101</v>
      </c>
      <c r="D263" s="1" t="str">
        <f>IFERROR(__xludf.DUMMYFUNCTION("""COMPUTED_VALUE"""),"วิทยาศาสตร์ 3")</f>
        <v>วิทยาศาสตร์ 3</v>
      </c>
      <c r="E263" s="1">
        <f>IFERROR(__xludf.DUMMYFUNCTION("""COMPUTED_VALUE"""),1.5)</f>
        <v>1.5</v>
      </c>
      <c r="F263" s="1">
        <f>IFERROR(__xludf.DUMMYFUNCTION("""COMPUTED_VALUE"""),2569.0)</f>
        <v>2569</v>
      </c>
      <c r="G263" s="1">
        <f>IFERROR(__xludf.DUMMYFUNCTION("""COMPUTED_VALUE"""),1.0)</f>
        <v>1</v>
      </c>
      <c r="H263" s="1">
        <f>IFERROR(__xludf.DUMMYFUNCTION("""COMPUTED_VALUE"""),348.0)</f>
        <v>348</v>
      </c>
      <c r="I263" s="1" t="str">
        <f>IFERROR(__xludf.DUMMYFUNCTION("""COMPUTED_VALUE"""),"นางสาว")</f>
        <v>นางสาว</v>
      </c>
      <c r="J263" s="1" t="str">
        <f>IFERROR(__xludf.DUMMYFUNCTION("""COMPUTED_VALUE"""),"ปรียาภรณ์")</f>
        <v>ปรียาภรณ์</v>
      </c>
      <c r="K263" s="1" t="str">
        <f>IFERROR(__xludf.DUMMYFUNCTION("""COMPUTED_VALUE"""),"ผังคี")</f>
        <v>ผังคี</v>
      </c>
      <c r="L263" s="1" t="str">
        <f>IFERROR(__xludf.DUMMYFUNCTION("""COMPUTED_VALUE"""),"ม.2")</f>
        <v>ม.2</v>
      </c>
      <c r="M263" s="1" t="str">
        <f>IFERROR(__xludf.DUMMYFUNCTION("""COMPUTED_VALUE"""),"วิทยาศาสตร์")</f>
        <v>วิทยาศาสตร์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>
        <f>IFERROR(__xludf.DUMMYFUNCTION("""COMPUTED_VALUE"""),2.0)</f>
        <v>2</v>
      </c>
      <c r="B264" s="1">
        <f>IFERROR(__xludf.DUMMYFUNCTION("""COMPUTED_VALUE"""),1.0)</f>
        <v>1</v>
      </c>
      <c r="C264" s="1" t="str">
        <f>IFERROR(__xludf.DUMMYFUNCTION("""COMPUTED_VALUE"""),"ว22205")</f>
        <v>ว22205</v>
      </c>
      <c r="D264" s="1" t="str">
        <f>IFERROR(__xludf.DUMMYFUNCTION("""COMPUTED_VALUE"""),"วิทยาศาสตร์พลังสิบ")</f>
        <v>วิทยาศาสตร์พลังสิบ</v>
      </c>
      <c r="E264" s="1">
        <f>IFERROR(__xludf.DUMMYFUNCTION("""COMPUTED_VALUE"""),1.0)</f>
        <v>1</v>
      </c>
      <c r="F264" s="1">
        <f>IFERROR(__xludf.DUMMYFUNCTION("""COMPUTED_VALUE"""),2569.0)</f>
        <v>2569</v>
      </c>
      <c r="G264" s="1">
        <f>IFERROR(__xludf.DUMMYFUNCTION("""COMPUTED_VALUE"""),1.0)</f>
        <v>1</v>
      </c>
      <c r="H264" s="1">
        <f>IFERROR(__xludf.DUMMYFUNCTION("""COMPUTED_VALUE"""),348.0)</f>
        <v>348</v>
      </c>
      <c r="I264" s="1" t="str">
        <f>IFERROR(__xludf.DUMMYFUNCTION("""COMPUTED_VALUE"""),"นางสาว")</f>
        <v>นางสาว</v>
      </c>
      <c r="J264" s="1" t="str">
        <f>IFERROR(__xludf.DUMMYFUNCTION("""COMPUTED_VALUE"""),"ปรียาภรณ์")</f>
        <v>ปรียาภรณ์</v>
      </c>
      <c r="K264" s="1" t="str">
        <f>IFERROR(__xludf.DUMMYFUNCTION("""COMPUTED_VALUE"""),"ผังคี")</f>
        <v>ผังคี</v>
      </c>
      <c r="L264" s="1" t="str">
        <f>IFERROR(__xludf.DUMMYFUNCTION("""COMPUTED_VALUE"""),"ม.2")</f>
        <v>ม.2</v>
      </c>
      <c r="M264" s="1" t="str">
        <f>IFERROR(__xludf.DUMMYFUNCTION("""COMPUTED_VALUE"""),"วิทยาศาสตร์")</f>
        <v>วิทยาศาสตร์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>
        <f>IFERROR(__xludf.DUMMYFUNCTION("""COMPUTED_VALUE"""),3.0)</f>
        <v>3</v>
      </c>
      <c r="B265" s="1">
        <f>IFERROR(__xludf.DUMMYFUNCTION("""COMPUTED_VALUE"""),1.0)</f>
        <v>1</v>
      </c>
      <c r="C265" s="1" t="str">
        <f>IFERROR(__xludf.DUMMYFUNCTION("""COMPUTED_VALUE"""),"ว23202")</f>
        <v>ว23202</v>
      </c>
      <c r="D265" s="1" t="str">
        <f>IFERROR(__xludf.DUMMYFUNCTION("""COMPUTED_VALUE"""),"พลังงานกับการดำรงชีวิต")</f>
        <v>พลังงานกับการดำรงชีวิต</v>
      </c>
      <c r="E265" s="1">
        <f>IFERROR(__xludf.DUMMYFUNCTION("""COMPUTED_VALUE"""),1.0)</f>
        <v>1</v>
      </c>
      <c r="F265" s="1">
        <f>IFERROR(__xludf.DUMMYFUNCTION("""COMPUTED_VALUE"""),2569.0)</f>
        <v>2569</v>
      </c>
      <c r="G265" s="1">
        <f>IFERROR(__xludf.DUMMYFUNCTION("""COMPUTED_VALUE"""),1.0)</f>
        <v>1</v>
      </c>
      <c r="H265" s="1">
        <f>IFERROR(__xludf.DUMMYFUNCTION("""COMPUTED_VALUE"""),348.0)</f>
        <v>348</v>
      </c>
      <c r="I265" s="1" t="str">
        <f>IFERROR(__xludf.DUMMYFUNCTION("""COMPUTED_VALUE"""),"นางสาว")</f>
        <v>นางสาว</v>
      </c>
      <c r="J265" s="1" t="str">
        <f>IFERROR(__xludf.DUMMYFUNCTION("""COMPUTED_VALUE"""),"ปรียาภรณ์")</f>
        <v>ปรียาภรณ์</v>
      </c>
      <c r="K265" s="1" t="str">
        <f>IFERROR(__xludf.DUMMYFUNCTION("""COMPUTED_VALUE"""),"ผังคี")</f>
        <v>ผังคี</v>
      </c>
      <c r="L265" s="1" t="str">
        <f>IFERROR(__xludf.DUMMYFUNCTION("""COMPUTED_VALUE"""),"ม.3")</f>
        <v>ม.3</v>
      </c>
      <c r="M265" s="1" t="str">
        <f>IFERROR(__xludf.DUMMYFUNCTION("""COMPUTED_VALUE"""),"วิทยาศาสตร์")</f>
        <v>วิทยาศาสตร์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>
        <f>IFERROR(__xludf.DUMMYFUNCTION("""COMPUTED_VALUE"""),3.0)</f>
        <v>3</v>
      </c>
      <c r="B266" s="1">
        <f>IFERROR(__xludf.DUMMYFUNCTION("""COMPUTED_VALUE"""),1.0)</f>
        <v>1</v>
      </c>
      <c r="C266" s="1" t="str">
        <f>IFERROR(__xludf.DUMMYFUNCTION("""COMPUTED_VALUE"""),"ส20227")</f>
        <v>ส20227</v>
      </c>
      <c r="D266" s="1" t="str">
        <f>IFERROR(__xludf.DUMMYFUNCTION("""COMPUTED_VALUE"""),"การป้องกันการทุจริต 5")</f>
        <v>การป้องกันการทุจริต 5</v>
      </c>
      <c r="E266" s="1">
        <f>IFERROR(__xludf.DUMMYFUNCTION("""COMPUTED_VALUE"""),0.5)</f>
        <v>0.5</v>
      </c>
      <c r="F266" s="1">
        <f>IFERROR(__xludf.DUMMYFUNCTION("""COMPUTED_VALUE"""),2569.0)</f>
        <v>2569</v>
      </c>
      <c r="G266" s="1">
        <f>IFERROR(__xludf.DUMMYFUNCTION("""COMPUTED_VALUE"""),1.0)</f>
        <v>1</v>
      </c>
      <c r="H266" s="1">
        <f>IFERROR(__xludf.DUMMYFUNCTION("""COMPUTED_VALUE"""),348.0)</f>
        <v>348</v>
      </c>
      <c r="I266" s="1" t="str">
        <f>IFERROR(__xludf.DUMMYFUNCTION("""COMPUTED_VALUE"""),"นางสาว")</f>
        <v>นางสาว</v>
      </c>
      <c r="J266" s="1" t="str">
        <f>IFERROR(__xludf.DUMMYFUNCTION("""COMPUTED_VALUE"""),"ปรียาภรณ์")</f>
        <v>ปรียาภรณ์</v>
      </c>
      <c r="K266" s="1" t="str">
        <f>IFERROR(__xludf.DUMMYFUNCTION("""COMPUTED_VALUE"""),"ผังคี")</f>
        <v>ผังคี</v>
      </c>
      <c r="L266" s="1" t="str">
        <f>IFERROR(__xludf.DUMMYFUNCTION("""COMPUTED_VALUE"""),"ม.3")</f>
        <v>ม.3</v>
      </c>
      <c r="M266" s="1" t="str">
        <f>IFERROR(__xludf.DUMMYFUNCTION("""COMPUTED_VALUE"""),"วิทยาศาสตร์")</f>
        <v>วิทยาศาสตร์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>
        <f>IFERROR(__xludf.DUMMYFUNCTION("""COMPUTED_VALUE"""),1.0)</f>
        <v>1</v>
      </c>
      <c r="B267" s="1">
        <f>IFERROR(__xludf.DUMMYFUNCTION("""COMPUTED_VALUE"""),1.0)</f>
        <v>1</v>
      </c>
      <c r="C267" s="1" t="str">
        <f>IFERROR(__xludf.DUMMYFUNCTION("""COMPUTED_VALUE"""),"ว21103")</f>
        <v>ว21103</v>
      </c>
      <c r="D267" s="1" t="str">
        <f>IFERROR(__xludf.DUMMYFUNCTION("""COMPUTED_VALUE"""),"การออกแบบและเทคโนโลยี 1")</f>
        <v>การออกแบบและเทคโนโลยี 1</v>
      </c>
      <c r="E267" s="1">
        <f>IFERROR(__xludf.DUMMYFUNCTION("""COMPUTED_VALUE"""),0.5)</f>
        <v>0.5</v>
      </c>
      <c r="F267" s="1">
        <f>IFERROR(__xludf.DUMMYFUNCTION("""COMPUTED_VALUE"""),2569.0)</f>
        <v>2569</v>
      </c>
      <c r="G267" s="1">
        <f>IFERROR(__xludf.DUMMYFUNCTION("""COMPUTED_VALUE"""),1.0)</f>
        <v>1</v>
      </c>
      <c r="H267" s="1">
        <f>IFERROR(__xludf.DUMMYFUNCTION("""COMPUTED_VALUE"""),351.0)</f>
        <v>351</v>
      </c>
      <c r="I267" s="1" t="str">
        <f>IFERROR(__xludf.DUMMYFUNCTION("""COMPUTED_VALUE"""),"นาง")</f>
        <v>นาง</v>
      </c>
      <c r="J267" s="1" t="str">
        <f>IFERROR(__xludf.DUMMYFUNCTION("""COMPUTED_VALUE"""),"อรทัย")</f>
        <v>อรทัย</v>
      </c>
      <c r="K267" s="1" t="str">
        <f>IFERROR(__xludf.DUMMYFUNCTION("""COMPUTED_VALUE"""),"กองปัญญา")</f>
        <v>กองปัญญา</v>
      </c>
      <c r="L267" s="1" t="str">
        <f>IFERROR(__xludf.DUMMYFUNCTION("""COMPUTED_VALUE"""),"ม.1")</f>
        <v>ม.1</v>
      </c>
      <c r="M267" s="1" t="str">
        <f>IFERROR(__xludf.DUMMYFUNCTION("""COMPUTED_VALUE"""),"วิทยาศาสตร์(เทคโนโลยี)")</f>
        <v>วิทยาศาสตร์(เทคโนโลยี)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>
        <f>IFERROR(__xludf.DUMMYFUNCTION("""COMPUTED_VALUE"""),2.0)</f>
        <v>2</v>
      </c>
      <c r="B268" s="1">
        <f>IFERROR(__xludf.DUMMYFUNCTION("""COMPUTED_VALUE"""),1.0)</f>
        <v>1</v>
      </c>
      <c r="C268" s="1" t="str">
        <f>IFERROR(__xludf.DUMMYFUNCTION("""COMPUTED_VALUE"""),"ว21103")</f>
        <v>ว21103</v>
      </c>
      <c r="D268" s="1" t="str">
        <f>IFERROR(__xludf.DUMMYFUNCTION("""COMPUTED_VALUE"""),"การออกแบบและเทคโนโลยี 1")</f>
        <v>การออกแบบและเทคโนโลยี 1</v>
      </c>
      <c r="E268" s="1">
        <f>IFERROR(__xludf.DUMMYFUNCTION("""COMPUTED_VALUE"""),0.5)</f>
        <v>0.5</v>
      </c>
      <c r="F268" s="1">
        <f>IFERROR(__xludf.DUMMYFUNCTION("""COMPUTED_VALUE"""),2569.0)</f>
        <v>2569</v>
      </c>
      <c r="G268" s="1">
        <f>IFERROR(__xludf.DUMMYFUNCTION("""COMPUTED_VALUE"""),1.0)</f>
        <v>1</v>
      </c>
      <c r="H268" s="1">
        <f>IFERROR(__xludf.DUMMYFUNCTION("""COMPUTED_VALUE"""),351.0)</f>
        <v>351</v>
      </c>
      <c r="I268" s="1" t="str">
        <f>IFERROR(__xludf.DUMMYFUNCTION("""COMPUTED_VALUE"""),"นาง")</f>
        <v>นาง</v>
      </c>
      <c r="J268" s="1" t="str">
        <f>IFERROR(__xludf.DUMMYFUNCTION("""COMPUTED_VALUE"""),"อรทัย")</f>
        <v>อรทัย</v>
      </c>
      <c r="K268" s="1" t="str">
        <f>IFERROR(__xludf.DUMMYFUNCTION("""COMPUTED_VALUE"""),"กองปัญญา")</f>
        <v>กองปัญญา</v>
      </c>
      <c r="L268" s="1" t="str">
        <f>IFERROR(__xludf.DUMMYFUNCTION("""COMPUTED_VALUE"""),"ม.1")</f>
        <v>ม.1</v>
      </c>
      <c r="M268" s="1" t="str">
        <f>IFERROR(__xludf.DUMMYFUNCTION("""COMPUTED_VALUE"""),"วิทยาศาสตร์(เทคโนโลยี)")</f>
        <v>วิทยาศาสตร์(เทคโนโลยี)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>
        <f>IFERROR(__xludf.DUMMYFUNCTION("""COMPUTED_VALUE"""),3.0)</f>
        <v>3</v>
      </c>
      <c r="B269" s="1">
        <f>IFERROR(__xludf.DUMMYFUNCTION("""COMPUTED_VALUE"""),1.0)</f>
        <v>1</v>
      </c>
      <c r="C269" s="1" t="str">
        <f>IFERROR(__xludf.DUMMYFUNCTION("""COMPUTED_VALUE"""),"ว21103")</f>
        <v>ว21103</v>
      </c>
      <c r="D269" s="1" t="str">
        <f>IFERROR(__xludf.DUMMYFUNCTION("""COMPUTED_VALUE"""),"การออกแบบและเทคโนโลยี 1")</f>
        <v>การออกแบบและเทคโนโลยี 1</v>
      </c>
      <c r="E269" s="1">
        <f>IFERROR(__xludf.DUMMYFUNCTION("""COMPUTED_VALUE"""),0.5)</f>
        <v>0.5</v>
      </c>
      <c r="F269" s="1">
        <f>IFERROR(__xludf.DUMMYFUNCTION("""COMPUTED_VALUE"""),2569.0)</f>
        <v>2569</v>
      </c>
      <c r="G269" s="1">
        <f>IFERROR(__xludf.DUMMYFUNCTION("""COMPUTED_VALUE"""),1.0)</f>
        <v>1</v>
      </c>
      <c r="H269" s="1">
        <f>IFERROR(__xludf.DUMMYFUNCTION("""COMPUTED_VALUE"""),351.0)</f>
        <v>351</v>
      </c>
      <c r="I269" s="1" t="str">
        <f>IFERROR(__xludf.DUMMYFUNCTION("""COMPUTED_VALUE"""),"นาง")</f>
        <v>นาง</v>
      </c>
      <c r="J269" s="1" t="str">
        <f>IFERROR(__xludf.DUMMYFUNCTION("""COMPUTED_VALUE"""),"อรทัย")</f>
        <v>อรทัย</v>
      </c>
      <c r="K269" s="1" t="str">
        <f>IFERROR(__xludf.DUMMYFUNCTION("""COMPUTED_VALUE"""),"กองปัญญา")</f>
        <v>กองปัญญา</v>
      </c>
      <c r="L269" s="1" t="str">
        <f>IFERROR(__xludf.DUMMYFUNCTION("""COMPUTED_VALUE"""),"ม.1")</f>
        <v>ม.1</v>
      </c>
      <c r="M269" s="1" t="str">
        <f>IFERROR(__xludf.DUMMYFUNCTION("""COMPUTED_VALUE"""),"วิทยาศาสตร์(เทคโนโลยี)")</f>
        <v>วิทยาศาสตร์(เทคโนโลยี)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>
        <f>IFERROR(__xludf.DUMMYFUNCTION("""COMPUTED_VALUE"""),4.0)</f>
        <v>4</v>
      </c>
      <c r="B270" s="1">
        <f>IFERROR(__xludf.DUMMYFUNCTION("""COMPUTED_VALUE"""),1.0)</f>
        <v>1</v>
      </c>
      <c r="C270" s="1" t="str">
        <f>IFERROR(__xludf.DUMMYFUNCTION("""COMPUTED_VALUE"""),"ว21103")</f>
        <v>ว21103</v>
      </c>
      <c r="D270" s="1" t="str">
        <f>IFERROR(__xludf.DUMMYFUNCTION("""COMPUTED_VALUE"""),"การออกแบบและเทคโนโลยี 1")</f>
        <v>การออกแบบและเทคโนโลยี 1</v>
      </c>
      <c r="E270" s="1">
        <f>IFERROR(__xludf.DUMMYFUNCTION("""COMPUTED_VALUE"""),0.5)</f>
        <v>0.5</v>
      </c>
      <c r="F270" s="1">
        <f>IFERROR(__xludf.DUMMYFUNCTION("""COMPUTED_VALUE"""),2569.0)</f>
        <v>2569</v>
      </c>
      <c r="G270" s="1">
        <f>IFERROR(__xludf.DUMMYFUNCTION("""COMPUTED_VALUE"""),1.0)</f>
        <v>1</v>
      </c>
      <c r="H270" s="1">
        <f>IFERROR(__xludf.DUMMYFUNCTION("""COMPUTED_VALUE"""),351.0)</f>
        <v>351</v>
      </c>
      <c r="I270" s="1" t="str">
        <f>IFERROR(__xludf.DUMMYFUNCTION("""COMPUTED_VALUE"""),"นาง")</f>
        <v>นาง</v>
      </c>
      <c r="J270" s="1" t="str">
        <f>IFERROR(__xludf.DUMMYFUNCTION("""COMPUTED_VALUE"""),"อรทัย")</f>
        <v>อรทัย</v>
      </c>
      <c r="K270" s="1" t="str">
        <f>IFERROR(__xludf.DUMMYFUNCTION("""COMPUTED_VALUE"""),"กองปัญญา")</f>
        <v>กองปัญญา</v>
      </c>
      <c r="L270" s="1" t="str">
        <f>IFERROR(__xludf.DUMMYFUNCTION("""COMPUTED_VALUE"""),"ม.1")</f>
        <v>ม.1</v>
      </c>
      <c r="M270" s="1" t="str">
        <f>IFERROR(__xludf.DUMMYFUNCTION("""COMPUTED_VALUE"""),"วิทยาศาสตร์(เทคโนโลยี)")</f>
        <v>วิทยาศาสตร์(เทคโนโลยี)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>
        <f>IFERROR(__xludf.DUMMYFUNCTION("""COMPUTED_VALUE"""),5.0)</f>
        <v>5</v>
      </c>
      <c r="B271" s="1">
        <f>IFERROR(__xludf.DUMMYFUNCTION("""COMPUTED_VALUE"""),1.0)</f>
        <v>1</v>
      </c>
      <c r="C271" s="1" t="str">
        <f>IFERROR(__xludf.DUMMYFUNCTION("""COMPUTED_VALUE"""),"ว21103")</f>
        <v>ว21103</v>
      </c>
      <c r="D271" s="1" t="str">
        <f>IFERROR(__xludf.DUMMYFUNCTION("""COMPUTED_VALUE"""),"การออกแบบและเทคโนโลยี 1")</f>
        <v>การออกแบบและเทคโนโลยี 1</v>
      </c>
      <c r="E271" s="1">
        <f>IFERROR(__xludf.DUMMYFUNCTION("""COMPUTED_VALUE"""),0.5)</f>
        <v>0.5</v>
      </c>
      <c r="F271" s="1">
        <f>IFERROR(__xludf.DUMMYFUNCTION("""COMPUTED_VALUE"""),2569.0)</f>
        <v>2569</v>
      </c>
      <c r="G271" s="1">
        <f>IFERROR(__xludf.DUMMYFUNCTION("""COMPUTED_VALUE"""),1.0)</f>
        <v>1</v>
      </c>
      <c r="H271" s="1">
        <f>IFERROR(__xludf.DUMMYFUNCTION("""COMPUTED_VALUE"""),351.0)</f>
        <v>351</v>
      </c>
      <c r="I271" s="1" t="str">
        <f>IFERROR(__xludf.DUMMYFUNCTION("""COMPUTED_VALUE"""),"นาง")</f>
        <v>นาง</v>
      </c>
      <c r="J271" s="1" t="str">
        <f>IFERROR(__xludf.DUMMYFUNCTION("""COMPUTED_VALUE"""),"อรทัย")</f>
        <v>อรทัย</v>
      </c>
      <c r="K271" s="1" t="str">
        <f>IFERROR(__xludf.DUMMYFUNCTION("""COMPUTED_VALUE"""),"กองปัญญา")</f>
        <v>กองปัญญา</v>
      </c>
      <c r="L271" s="1" t="str">
        <f>IFERROR(__xludf.DUMMYFUNCTION("""COMPUTED_VALUE"""),"ม.1")</f>
        <v>ม.1</v>
      </c>
      <c r="M271" s="1" t="str">
        <f>IFERROR(__xludf.DUMMYFUNCTION("""COMPUTED_VALUE"""),"วิทยาศาสตร์(เทคโนโลยี)")</f>
        <v>วิทยาศาสตร์(เทคโนโลยี)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>
        <f>IFERROR(__xludf.DUMMYFUNCTION("""COMPUTED_VALUE"""),6.0)</f>
        <v>6</v>
      </c>
      <c r="B272" s="1">
        <f>IFERROR(__xludf.DUMMYFUNCTION("""COMPUTED_VALUE"""),1.0)</f>
        <v>1</v>
      </c>
      <c r="C272" s="1" t="str">
        <f>IFERROR(__xludf.DUMMYFUNCTION("""COMPUTED_VALUE"""),"ว21103")</f>
        <v>ว21103</v>
      </c>
      <c r="D272" s="1" t="str">
        <f>IFERROR(__xludf.DUMMYFUNCTION("""COMPUTED_VALUE"""),"การออกแบบและเทคโนโลยี 1")</f>
        <v>การออกแบบและเทคโนโลยี 1</v>
      </c>
      <c r="E272" s="1">
        <f>IFERROR(__xludf.DUMMYFUNCTION("""COMPUTED_VALUE"""),0.5)</f>
        <v>0.5</v>
      </c>
      <c r="F272" s="1">
        <f>IFERROR(__xludf.DUMMYFUNCTION("""COMPUTED_VALUE"""),2569.0)</f>
        <v>2569</v>
      </c>
      <c r="G272" s="1">
        <f>IFERROR(__xludf.DUMMYFUNCTION("""COMPUTED_VALUE"""),1.0)</f>
        <v>1</v>
      </c>
      <c r="H272" s="1">
        <f>IFERROR(__xludf.DUMMYFUNCTION("""COMPUTED_VALUE"""),351.0)</f>
        <v>351</v>
      </c>
      <c r="I272" s="1" t="str">
        <f>IFERROR(__xludf.DUMMYFUNCTION("""COMPUTED_VALUE"""),"นาง")</f>
        <v>นาง</v>
      </c>
      <c r="J272" s="1" t="str">
        <f>IFERROR(__xludf.DUMMYFUNCTION("""COMPUTED_VALUE"""),"อรทัย")</f>
        <v>อรทัย</v>
      </c>
      <c r="K272" s="1" t="str">
        <f>IFERROR(__xludf.DUMMYFUNCTION("""COMPUTED_VALUE"""),"กองปัญญา")</f>
        <v>กองปัญญา</v>
      </c>
      <c r="L272" s="1" t="str">
        <f>IFERROR(__xludf.DUMMYFUNCTION("""COMPUTED_VALUE"""),"ม.1")</f>
        <v>ม.1</v>
      </c>
      <c r="M272" s="1" t="str">
        <f>IFERROR(__xludf.DUMMYFUNCTION("""COMPUTED_VALUE"""),"วิทยาศาสตร์(เทคโนโลยี)")</f>
        <v>วิทยาศาสตร์(เทคโนโลยี)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>
        <f>IFERROR(__xludf.DUMMYFUNCTION("""COMPUTED_VALUE"""),7.0)</f>
        <v>7</v>
      </c>
      <c r="B273" s="1">
        <f>IFERROR(__xludf.DUMMYFUNCTION("""COMPUTED_VALUE"""),1.0)</f>
        <v>1</v>
      </c>
      <c r="C273" s="1" t="str">
        <f>IFERROR(__xludf.DUMMYFUNCTION("""COMPUTED_VALUE"""),"ว21103")</f>
        <v>ว21103</v>
      </c>
      <c r="D273" s="1" t="str">
        <f>IFERROR(__xludf.DUMMYFUNCTION("""COMPUTED_VALUE"""),"การออกแบบและเทคโนโลยี 1")</f>
        <v>การออกแบบและเทคโนโลยี 1</v>
      </c>
      <c r="E273" s="1">
        <f>IFERROR(__xludf.DUMMYFUNCTION("""COMPUTED_VALUE"""),0.5)</f>
        <v>0.5</v>
      </c>
      <c r="F273" s="1">
        <f>IFERROR(__xludf.DUMMYFUNCTION("""COMPUTED_VALUE"""),2569.0)</f>
        <v>2569</v>
      </c>
      <c r="G273" s="1">
        <f>IFERROR(__xludf.DUMMYFUNCTION("""COMPUTED_VALUE"""),1.0)</f>
        <v>1</v>
      </c>
      <c r="H273" s="1">
        <f>IFERROR(__xludf.DUMMYFUNCTION("""COMPUTED_VALUE"""),351.0)</f>
        <v>351</v>
      </c>
      <c r="I273" s="1" t="str">
        <f>IFERROR(__xludf.DUMMYFUNCTION("""COMPUTED_VALUE"""),"นาง")</f>
        <v>นาง</v>
      </c>
      <c r="J273" s="1" t="str">
        <f>IFERROR(__xludf.DUMMYFUNCTION("""COMPUTED_VALUE"""),"อรทัย")</f>
        <v>อรทัย</v>
      </c>
      <c r="K273" s="1" t="str">
        <f>IFERROR(__xludf.DUMMYFUNCTION("""COMPUTED_VALUE"""),"กองปัญญา")</f>
        <v>กองปัญญา</v>
      </c>
      <c r="L273" s="1" t="str">
        <f>IFERROR(__xludf.DUMMYFUNCTION("""COMPUTED_VALUE"""),"ม.1")</f>
        <v>ม.1</v>
      </c>
      <c r="M273" s="1" t="str">
        <f>IFERROR(__xludf.DUMMYFUNCTION("""COMPUTED_VALUE"""),"วิทยาศาสตร์(เทคโนโลยี)")</f>
        <v>วิทยาศาสตร์(เทคโนโลยี)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>
        <f>IFERROR(__xludf.DUMMYFUNCTION("""COMPUTED_VALUE"""),9.0)</f>
        <v>9</v>
      </c>
      <c r="B274" s="1">
        <f>IFERROR(__xludf.DUMMYFUNCTION("""COMPUTED_VALUE"""),1.0)</f>
        <v>1</v>
      </c>
      <c r="C274" s="1" t="str">
        <f>IFERROR(__xludf.DUMMYFUNCTION("""COMPUTED_VALUE"""),"ว30269")</f>
        <v>ว30269</v>
      </c>
      <c r="D274" s="1" t="str">
        <f>IFERROR(__xludf.DUMMYFUNCTION("""COMPUTED_VALUE"""),"เทคโนโลยีเพื่อความปลอดภัย")</f>
        <v>เทคโนโลยีเพื่อความปลอดภัย</v>
      </c>
      <c r="E274" s="1">
        <f>IFERROR(__xludf.DUMMYFUNCTION("""COMPUTED_VALUE"""),1.0)</f>
        <v>1</v>
      </c>
      <c r="F274" s="1">
        <f>IFERROR(__xludf.DUMMYFUNCTION("""COMPUTED_VALUE"""),2569.0)</f>
        <v>2569</v>
      </c>
      <c r="G274" s="1">
        <f>IFERROR(__xludf.DUMMYFUNCTION("""COMPUTED_VALUE"""),1.0)</f>
        <v>1</v>
      </c>
      <c r="H274" s="1">
        <f>IFERROR(__xludf.DUMMYFUNCTION("""COMPUTED_VALUE"""),351.0)</f>
        <v>351</v>
      </c>
      <c r="I274" s="1" t="str">
        <f>IFERROR(__xludf.DUMMYFUNCTION("""COMPUTED_VALUE"""),"นาง")</f>
        <v>นาง</v>
      </c>
      <c r="J274" s="1" t="str">
        <f>IFERROR(__xludf.DUMMYFUNCTION("""COMPUTED_VALUE"""),"อรทัย")</f>
        <v>อรทัย</v>
      </c>
      <c r="K274" s="1" t="str">
        <f>IFERROR(__xludf.DUMMYFUNCTION("""COMPUTED_VALUE"""),"กองปัญญา")</f>
        <v>กองปัญญา</v>
      </c>
      <c r="L274" s="1" t="str">
        <f>IFERROR(__xludf.DUMMYFUNCTION("""COMPUTED_VALUE"""),"ม.4")</f>
        <v>ม.4</v>
      </c>
      <c r="M274" s="1" t="str">
        <f>IFERROR(__xludf.DUMMYFUNCTION("""COMPUTED_VALUE"""),"วิทยาศาสตร์(เทคโนโลยี)")</f>
        <v>วิทยาศาสตร์(เทคโนโลยี)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>
        <f>IFERROR(__xludf.DUMMYFUNCTION("""COMPUTED_VALUE"""),4.0)</f>
        <v>4</v>
      </c>
      <c r="B275" s="1">
        <f>IFERROR(__xludf.DUMMYFUNCTION("""COMPUTED_VALUE"""),1.0)</f>
        <v>1</v>
      </c>
      <c r="C275" s="1" t="str">
        <f>IFERROR(__xludf.DUMMYFUNCTION("""COMPUTED_VALUE"""),"ว30287")</f>
        <v>ว30287</v>
      </c>
      <c r="D275" s="1" t="str">
        <f>IFERROR(__xludf.DUMMYFUNCTION("""COMPUTED_VALUE"""),"คอมพิวเตอร์กราฟิก 1")</f>
        <v>คอมพิวเตอร์กราฟิก 1</v>
      </c>
      <c r="E275" s="1">
        <f>IFERROR(__xludf.DUMMYFUNCTION("""COMPUTED_VALUE"""),1.0)</f>
        <v>1</v>
      </c>
      <c r="F275" s="1">
        <f>IFERROR(__xludf.DUMMYFUNCTION("""COMPUTED_VALUE"""),2569.0)</f>
        <v>2569</v>
      </c>
      <c r="G275" s="1">
        <f>IFERROR(__xludf.DUMMYFUNCTION("""COMPUTED_VALUE"""),1.0)</f>
        <v>1</v>
      </c>
      <c r="H275" s="1">
        <f>IFERROR(__xludf.DUMMYFUNCTION("""COMPUTED_VALUE"""),351.0)</f>
        <v>351</v>
      </c>
      <c r="I275" s="1" t="str">
        <f>IFERROR(__xludf.DUMMYFUNCTION("""COMPUTED_VALUE"""),"นาง")</f>
        <v>นาง</v>
      </c>
      <c r="J275" s="1" t="str">
        <f>IFERROR(__xludf.DUMMYFUNCTION("""COMPUTED_VALUE"""),"อรทัย")</f>
        <v>อรทัย</v>
      </c>
      <c r="K275" s="1" t="str">
        <f>IFERROR(__xludf.DUMMYFUNCTION("""COMPUTED_VALUE"""),"กองปัญญา")</f>
        <v>กองปัญญา</v>
      </c>
      <c r="L275" s="1" t="str">
        <f>IFERROR(__xludf.DUMMYFUNCTION("""COMPUTED_VALUE"""),"ม.5")</f>
        <v>ม.5</v>
      </c>
      <c r="M275" s="1" t="str">
        <f>IFERROR(__xludf.DUMMYFUNCTION("""COMPUTED_VALUE"""),"วิทยาศาสตร์(เทคโนโลยี)")</f>
        <v>วิทยาศาสตร์(เทคโนโลยี)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>
        <f>IFERROR(__xludf.DUMMYFUNCTION("""COMPUTED_VALUE"""),6.0)</f>
        <v>6</v>
      </c>
      <c r="B276" s="1">
        <f>IFERROR(__xludf.DUMMYFUNCTION("""COMPUTED_VALUE"""),1.0)</f>
        <v>1</v>
      </c>
      <c r="C276" s="1" t="str">
        <f>IFERROR(__xludf.DUMMYFUNCTION("""COMPUTED_VALUE"""),"ว30287")</f>
        <v>ว30287</v>
      </c>
      <c r="D276" s="1" t="str">
        <f>IFERROR(__xludf.DUMMYFUNCTION("""COMPUTED_VALUE"""),"คอมพิวเตอร์กราฟิก 1")</f>
        <v>คอมพิวเตอร์กราฟิก 1</v>
      </c>
      <c r="E276" s="1">
        <f>IFERROR(__xludf.DUMMYFUNCTION("""COMPUTED_VALUE"""),1.0)</f>
        <v>1</v>
      </c>
      <c r="F276" s="1">
        <f>IFERROR(__xludf.DUMMYFUNCTION("""COMPUTED_VALUE"""),2569.0)</f>
        <v>2569</v>
      </c>
      <c r="G276" s="1">
        <f>IFERROR(__xludf.DUMMYFUNCTION("""COMPUTED_VALUE"""),1.0)</f>
        <v>1</v>
      </c>
      <c r="H276" s="1">
        <f>IFERROR(__xludf.DUMMYFUNCTION("""COMPUTED_VALUE"""),351.0)</f>
        <v>351</v>
      </c>
      <c r="I276" s="1" t="str">
        <f>IFERROR(__xludf.DUMMYFUNCTION("""COMPUTED_VALUE"""),"นาง")</f>
        <v>นาง</v>
      </c>
      <c r="J276" s="1" t="str">
        <f>IFERROR(__xludf.DUMMYFUNCTION("""COMPUTED_VALUE"""),"อรทัย")</f>
        <v>อรทัย</v>
      </c>
      <c r="K276" s="1" t="str">
        <f>IFERROR(__xludf.DUMMYFUNCTION("""COMPUTED_VALUE"""),"กองปัญญา")</f>
        <v>กองปัญญา</v>
      </c>
      <c r="L276" s="1" t="str">
        <f>IFERROR(__xludf.DUMMYFUNCTION("""COMPUTED_VALUE"""),"ม.5")</f>
        <v>ม.5</v>
      </c>
      <c r="M276" s="1" t="str">
        <f>IFERROR(__xludf.DUMMYFUNCTION("""COMPUTED_VALUE"""),"วิทยาศาสตร์(เทคโนโลยี)")</f>
        <v>วิทยาศาสตร์(เทคโนโลยี)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>
        <f>IFERROR(__xludf.DUMMYFUNCTION("""COMPUTED_VALUE"""),8.0)</f>
        <v>8</v>
      </c>
      <c r="B277" s="1">
        <f>IFERROR(__xludf.DUMMYFUNCTION("""COMPUTED_VALUE"""),1.0)</f>
        <v>1</v>
      </c>
      <c r="C277" s="1" t="str">
        <f>IFERROR(__xludf.DUMMYFUNCTION("""COMPUTED_VALUE"""),"ว30287")</f>
        <v>ว30287</v>
      </c>
      <c r="D277" s="1" t="str">
        <f>IFERROR(__xludf.DUMMYFUNCTION("""COMPUTED_VALUE"""),"คอมพิวเตอร์กราฟิก 1")</f>
        <v>คอมพิวเตอร์กราฟิก 1</v>
      </c>
      <c r="E277" s="1">
        <f>IFERROR(__xludf.DUMMYFUNCTION("""COMPUTED_VALUE"""),1.0)</f>
        <v>1</v>
      </c>
      <c r="F277" s="1">
        <f>IFERROR(__xludf.DUMMYFUNCTION("""COMPUTED_VALUE"""),2569.0)</f>
        <v>2569</v>
      </c>
      <c r="G277" s="1">
        <f>IFERROR(__xludf.DUMMYFUNCTION("""COMPUTED_VALUE"""),1.0)</f>
        <v>1</v>
      </c>
      <c r="H277" s="1">
        <f>IFERROR(__xludf.DUMMYFUNCTION("""COMPUTED_VALUE"""),351.0)</f>
        <v>351</v>
      </c>
      <c r="I277" s="1" t="str">
        <f>IFERROR(__xludf.DUMMYFUNCTION("""COMPUTED_VALUE"""),"นาง")</f>
        <v>นาง</v>
      </c>
      <c r="J277" s="1" t="str">
        <f>IFERROR(__xludf.DUMMYFUNCTION("""COMPUTED_VALUE"""),"อรทัย")</f>
        <v>อรทัย</v>
      </c>
      <c r="K277" s="1" t="str">
        <f>IFERROR(__xludf.DUMMYFUNCTION("""COMPUTED_VALUE"""),"กองปัญญา")</f>
        <v>กองปัญญา</v>
      </c>
      <c r="L277" s="1" t="str">
        <f>IFERROR(__xludf.DUMMYFUNCTION("""COMPUTED_VALUE"""),"ม.5")</f>
        <v>ม.5</v>
      </c>
      <c r="M277" s="1" t="str">
        <f>IFERROR(__xludf.DUMMYFUNCTION("""COMPUTED_VALUE"""),"วิทยาศาสตร์(เทคโนโลยี)")</f>
        <v>วิทยาศาสตร์(เทคโนโลยี)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>
        <f>IFERROR(__xludf.DUMMYFUNCTION("""COMPUTED_VALUE"""),10.0)</f>
        <v>10</v>
      </c>
      <c r="B278" s="1">
        <f>IFERROR(__xludf.DUMMYFUNCTION("""COMPUTED_VALUE"""),1.0)</f>
        <v>1</v>
      </c>
      <c r="C278" s="1" t="str">
        <f>IFERROR(__xludf.DUMMYFUNCTION("""COMPUTED_VALUE"""),"ว30287")</f>
        <v>ว30287</v>
      </c>
      <c r="D278" s="1" t="str">
        <f>IFERROR(__xludf.DUMMYFUNCTION("""COMPUTED_VALUE"""),"คอมพิวเตอร์กราฟิก 1")</f>
        <v>คอมพิวเตอร์กราฟิก 1</v>
      </c>
      <c r="E278" s="1">
        <f>IFERROR(__xludf.DUMMYFUNCTION("""COMPUTED_VALUE"""),1.0)</f>
        <v>1</v>
      </c>
      <c r="F278" s="1">
        <f>IFERROR(__xludf.DUMMYFUNCTION("""COMPUTED_VALUE"""),2569.0)</f>
        <v>2569</v>
      </c>
      <c r="G278" s="1">
        <f>IFERROR(__xludf.DUMMYFUNCTION("""COMPUTED_VALUE"""),1.0)</f>
        <v>1</v>
      </c>
      <c r="H278" s="1">
        <f>IFERROR(__xludf.DUMMYFUNCTION("""COMPUTED_VALUE"""),351.0)</f>
        <v>351</v>
      </c>
      <c r="I278" s="1" t="str">
        <f>IFERROR(__xludf.DUMMYFUNCTION("""COMPUTED_VALUE"""),"นาง")</f>
        <v>นาง</v>
      </c>
      <c r="J278" s="1" t="str">
        <f>IFERROR(__xludf.DUMMYFUNCTION("""COMPUTED_VALUE"""),"อรทัย")</f>
        <v>อรทัย</v>
      </c>
      <c r="K278" s="1" t="str">
        <f>IFERROR(__xludf.DUMMYFUNCTION("""COMPUTED_VALUE"""),"กองปัญญา")</f>
        <v>กองปัญญา</v>
      </c>
      <c r="L278" s="1" t="str">
        <f>IFERROR(__xludf.DUMMYFUNCTION("""COMPUTED_VALUE"""),"ม.5")</f>
        <v>ม.5</v>
      </c>
      <c r="M278" s="1" t="str">
        <f>IFERROR(__xludf.DUMMYFUNCTION("""COMPUTED_VALUE"""),"วิทยาศาสตร์(เทคโนโลยี)")</f>
        <v>วิทยาศาสตร์(เทคโนโลยี)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>
        <f>IFERROR(__xludf.DUMMYFUNCTION("""COMPUTED_VALUE"""),4.0)</f>
        <v>4</v>
      </c>
      <c r="B279" s="1">
        <f>IFERROR(__xludf.DUMMYFUNCTION("""COMPUTED_VALUE"""),1.0)</f>
        <v>1</v>
      </c>
      <c r="C279" s="1" t="str">
        <f>IFERROR(__xludf.DUMMYFUNCTION("""COMPUTED_VALUE"""),"ส30247")</f>
        <v>ส30247</v>
      </c>
      <c r="D279" s="1" t="str">
        <f>IFERROR(__xludf.DUMMYFUNCTION("""COMPUTED_VALUE"""),"การป้องกันการทุจริต 1")</f>
        <v>การป้องกันการทุจริต 1</v>
      </c>
      <c r="E279" s="1">
        <f>IFERROR(__xludf.DUMMYFUNCTION("""COMPUTED_VALUE"""),0.5)</f>
        <v>0.5</v>
      </c>
      <c r="F279" s="1">
        <f>IFERROR(__xludf.DUMMYFUNCTION("""COMPUTED_VALUE"""),2569.0)</f>
        <v>2569</v>
      </c>
      <c r="G279" s="1">
        <f>IFERROR(__xludf.DUMMYFUNCTION("""COMPUTED_VALUE"""),1.0)</f>
        <v>1</v>
      </c>
      <c r="H279" s="1">
        <f>IFERROR(__xludf.DUMMYFUNCTION("""COMPUTED_VALUE"""),351.0)</f>
        <v>351</v>
      </c>
      <c r="I279" s="1" t="str">
        <f>IFERROR(__xludf.DUMMYFUNCTION("""COMPUTED_VALUE"""),"นาง")</f>
        <v>นาง</v>
      </c>
      <c r="J279" s="1" t="str">
        <f>IFERROR(__xludf.DUMMYFUNCTION("""COMPUTED_VALUE"""),"อรทัย")</f>
        <v>อรทัย</v>
      </c>
      <c r="K279" s="1" t="str">
        <f>IFERROR(__xludf.DUMMYFUNCTION("""COMPUTED_VALUE"""),"กองปัญญา")</f>
        <v>กองปัญญา</v>
      </c>
      <c r="L279" s="1" t="str">
        <f>IFERROR(__xludf.DUMMYFUNCTION("""COMPUTED_VALUE"""),"ม.4")</f>
        <v>ม.4</v>
      </c>
      <c r="M279" s="1" t="str">
        <f>IFERROR(__xludf.DUMMYFUNCTION("""COMPUTED_VALUE"""),"วิทยาศาสตร์(เทคโนโลยี)")</f>
        <v>วิทยาศาสตร์(เทคโนโลยี)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>
        <f>IFERROR(__xludf.DUMMYFUNCTION("""COMPUTED_VALUE"""),2.0)</f>
        <v>2</v>
      </c>
      <c r="B280" s="1">
        <f>IFERROR(__xludf.DUMMYFUNCTION("""COMPUTED_VALUE"""),1.0)</f>
        <v>1</v>
      </c>
      <c r="C280" s="1" t="str">
        <f>IFERROR(__xludf.DUMMYFUNCTION("""COMPUTED_VALUE"""),"ว22103")</f>
        <v>ว22103</v>
      </c>
      <c r="D280" s="1" t="str">
        <f>IFERROR(__xludf.DUMMYFUNCTION("""COMPUTED_VALUE"""),"การออกแบบและเทคโนโลยี2")</f>
        <v>การออกแบบและเทคโนโลยี2</v>
      </c>
      <c r="E280" s="1">
        <f>IFERROR(__xludf.DUMMYFUNCTION("""COMPUTED_VALUE"""),0.5)</f>
        <v>0.5</v>
      </c>
      <c r="F280" s="1">
        <f>IFERROR(__xludf.DUMMYFUNCTION("""COMPUTED_VALUE"""),2569.0)</f>
        <v>2569</v>
      </c>
      <c r="G280" s="1">
        <f>IFERROR(__xludf.DUMMYFUNCTION("""COMPUTED_VALUE"""),1.0)</f>
        <v>1</v>
      </c>
      <c r="H280" s="1">
        <f>IFERROR(__xludf.DUMMYFUNCTION("""COMPUTED_VALUE"""),352.0)</f>
        <v>352</v>
      </c>
      <c r="I280" s="1" t="str">
        <f>IFERROR(__xludf.DUMMYFUNCTION("""COMPUTED_VALUE"""),"นาย")</f>
        <v>นาย</v>
      </c>
      <c r="J280" s="1" t="str">
        <f>IFERROR(__xludf.DUMMYFUNCTION("""COMPUTED_VALUE"""),"สุพล")</f>
        <v>สุพล</v>
      </c>
      <c r="K280" s="1" t="str">
        <f>IFERROR(__xludf.DUMMYFUNCTION("""COMPUTED_VALUE"""),"ปานสุวรรณ")</f>
        <v>ปานสุวรรณ</v>
      </c>
      <c r="L280" s="1" t="str">
        <f>IFERROR(__xludf.DUMMYFUNCTION("""COMPUTED_VALUE"""),"ม.2")</f>
        <v>ม.2</v>
      </c>
      <c r="M280" s="1" t="str">
        <f>IFERROR(__xludf.DUMMYFUNCTION("""COMPUTED_VALUE"""),"วิทยาศาสตร์(เทคโนโลยี)")</f>
        <v>วิทยาศาสตร์(เทคโนโลยี)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>
        <f>IFERROR(__xludf.DUMMYFUNCTION("""COMPUTED_VALUE"""),4.0)</f>
        <v>4</v>
      </c>
      <c r="B281" s="1">
        <f>IFERROR(__xludf.DUMMYFUNCTION("""COMPUTED_VALUE"""),1.0)</f>
        <v>1</v>
      </c>
      <c r="C281" s="1" t="str">
        <f>IFERROR(__xludf.DUMMYFUNCTION("""COMPUTED_VALUE"""),"ว22103")</f>
        <v>ว22103</v>
      </c>
      <c r="D281" s="1" t="str">
        <f>IFERROR(__xludf.DUMMYFUNCTION("""COMPUTED_VALUE"""),"การออกแบบและเทคโนโลยี2")</f>
        <v>การออกแบบและเทคโนโลยี2</v>
      </c>
      <c r="E281" s="1">
        <f>IFERROR(__xludf.DUMMYFUNCTION("""COMPUTED_VALUE"""),0.5)</f>
        <v>0.5</v>
      </c>
      <c r="F281" s="1">
        <f>IFERROR(__xludf.DUMMYFUNCTION("""COMPUTED_VALUE"""),2569.0)</f>
        <v>2569</v>
      </c>
      <c r="G281" s="1">
        <f>IFERROR(__xludf.DUMMYFUNCTION("""COMPUTED_VALUE"""),1.0)</f>
        <v>1</v>
      </c>
      <c r="H281" s="1">
        <f>IFERROR(__xludf.DUMMYFUNCTION("""COMPUTED_VALUE"""),352.0)</f>
        <v>352</v>
      </c>
      <c r="I281" s="1" t="str">
        <f>IFERROR(__xludf.DUMMYFUNCTION("""COMPUTED_VALUE"""),"นาย")</f>
        <v>นาย</v>
      </c>
      <c r="J281" s="1" t="str">
        <f>IFERROR(__xludf.DUMMYFUNCTION("""COMPUTED_VALUE"""),"สุพล")</f>
        <v>สุพล</v>
      </c>
      <c r="K281" s="1" t="str">
        <f>IFERROR(__xludf.DUMMYFUNCTION("""COMPUTED_VALUE"""),"ปานสุวรรณ")</f>
        <v>ปานสุวรรณ</v>
      </c>
      <c r="L281" s="1" t="str">
        <f>IFERROR(__xludf.DUMMYFUNCTION("""COMPUTED_VALUE"""),"ม.2")</f>
        <v>ม.2</v>
      </c>
      <c r="M281" s="1" t="str">
        <f>IFERROR(__xludf.DUMMYFUNCTION("""COMPUTED_VALUE"""),"วิทยาศาสตร์(เทคโนโลยี)")</f>
        <v>วิทยาศาสตร์(เทคโนโลยี)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>
        <f>IFERROR(__xludf.DUMMYFUNCTION("""COMPUTED_VALUE"""),6.0)</f>
        <v>6</v>
      </c>
      <c r="B282" s="1">
        <f>IFERROR(__xludf.DUMMYFUNCTION("""COMPUTED_VALUE"""),1.0)</f>
        <v>1</v>
      </c>
      <c r="C282" s="1" t="str">
        <f>IFERROR(__xludf.DUMMYFUNCTION("""COMPUTED_VALUE"""),"ว22103")</f>
        <v>ว22103</v>
      </c>
      <c r="D282" s="1" t="str">
        <f>IFERROR(__xludf.DUMMYFUNCTION("""COMPUTED_VALUE"""),"การออกแบบและเทคโนโลยี2")</f>
        <v>การออกแบบและเทคโนโลยี2</v>
      </c>
      <c r="E282" s="1">
        <f>IFERROR(__xludf.DUMMYFUNCTION("""COMPUTED_VALUE"""),0.5)</f>
        <v>0.5</v>
      </c>
      <c r="F282" s="1">
        <f>IFERROR(__xludf.DUMMYFUNCTION("""COMPUTED_VALUE"""),2569.0)</f>
        <v>2569</v>
      </c>
      <c r="G282" s="1">
        <f>IFERROR(__xludf.DUMMYFUNCTION("""COMPUTED_VALUE"""),1.0)</f>
        <v>1</v>
      </c>
      <c r="H282" s="1">
        <f>IFERROR(__xludf.DUMMYFUNCTION("""COMPUTED_VALUE"""),352.0)</f>
        <v>352</v>
      </c>
      <c r="I282" s="1" t="str">
        <f>IFERROR(__xludf.DUMMYFUNCTION("""COMPUTED_VALUE"""),"นาย")</f>
        <v>นาย</v>
      </c>
      <c r="J282" s="1" t="str">
        <f>IFERROR(__xludf.DUMMYFUNCTION("""COMPUTED_VALUE"""),"สุพล")</f>
        <v>สุพล</v>
      </c>
      <c r="K282" s="1" t="str">
        <f>IFERROR(__xludf.DUMMYFUNCTION("""COMPUTED_VALUE"""),"ปานสุวรรณ")</f>
        <v>ปานสุวรรณ</v>
      </c>
      <c r="L282" s="1" t="str">
        <f>IFERROR(__xludf.DUMMYFUNCTION("""COMPUTED_VALUE"""),"ม.2")</f>
        <v>ม.2</v>
      </c>
      <c r="M282" s="1" t="str">
        <f>IFERROR(__xludf.DUMMYFUNCTION("""COMPUTED_VALUE"""),"วิทยาศาสตร์(เทคโนโลยี)")</f>
        <v>วิทยาศาสตร์(เทคโนโลยี)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>
        <f>IFERROR(__xludf.DUMMYFUNCTION("""COMPUTED_VALUE"""),2.0)</f>
        <v>2</v>
      </c>
      <c r="B283" s="1">
        <f>IFERROR(__xludf.DUMMYFUNCTION("""COMPUTED_VALUE"""),1.0)</f>
        <v>1</v>
      </c>
      <c r="C283" s="1" t="str">
        <f>IFERROR(__xludf.DUMMYFUNCTION("""COMPUTED_VALUE"""),"ว30289")</f>
        <v>ว30289</v>
      </c>
      <c r="D283" s="1" t="str">
        <f>IFERROR(__xludf.DUMMYFUNCTION("""COMPUTED_VALUE"""),"การเขียนโปรแกรมเบื้องต้น 1")</f>
        <v>การเขียนโปรแกรมเบื้องต้น 1</v>
      </c>
      <c r="E283" s="1">
        <f>IFERROR(__xludf.DUMMYFUNCTION("""COMPUTED_VALUE"""),1.0)</f>
        <v>1</v>
      </c>
      <c r="F283" s="1">
        <f>IFERROR(__xludf.DUMMYFUNCTION("""COMPUTED_VALUE"""),2569.0)</f>
        <v>2569</v>
      </c>
      <c r="G283" s="1">
        <f>IFERROR(__xludf.DUMMYFUNCTION("""COMPUTED_VALUE"""),1.0)</f>
        <v>1</v>
      </c>
      <c r="H283" s="1">
        <f>IFERROR(__xludf.DUMMYFUNCTION("""COMPUTED_VALUE"""),352.0)</f>
        <v>352</v>
      </c>
      <c r="I283" s="1" t="str">
        <f>IFERROR(__xludf.DUMMYFUNCTION("""COMPUTED_VALUE"""),"นาย")</f>
        <v>นาย</v>
      </c>
      <c r="J283" s="1" t="str">
        <f>IFERROR(__xludf.DUMMYFUNCTION("""COMPUTED_VALUE"""),"สุพล")</f>
        <v>สุพล</v>
      </c>
      <c r="K283" s="1" t="str">
        <f>IFERROR(__xludf.DUMMYFUNCTION("""COMPUTED_VALUE"""),"ปานสุวรรณ")</f>
        <v>ปานสุวรรณ</v>
      </c>
      <c r="L283" s="1" t="str">
        <f>IFERROR(__xludf.DUMMYFUNCTION("""COMPUTED_VALUE"""),"ม.6")</f>
        <v>ม.6</v>
      </c>
      <c r="M283" s="1" t="str">
        <f>IFERROR(__xludf.DUMMYFUNCTION("""COMPUTED_VALUE"""),"วิทยาศาสตร์(เทคโนโลยี)")</f>
        <v>วิทยาศาสตร์(เทคโนโลยี)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>
        <f>IFERROR(__xludf.DUMMYFUNCTION("""COMPUTED_VALUE"""),4.0)</f>
        <v>4</v>
      </c>
      <c r="B284" s="1">
        <f>IFERROR(__xludf.DUMMYFUNCTION("""COMPUTED_VALUE"""),1.0)</f>
        <v>1</v>
      </c>
      <c r="C284" s="1" t="str">
        <f>IFERROR(__xludf.DUMMYFUNCTION("""COMPUTED_VALUE"""),"ว30289")</f>
        <v>ว30289</v>
      </c>
      <c r="D284" s="1" t="str">
        <f>IFERROR(__xludf.DUMMYFUNCTION("""COMPUTED_VALUE"""),"การเขียนโปรแกรมเบื้องต้น 1")</f>
        <v>การเขียนโปรแกรมเบื้องต้น 1</v>
      </c>
      <c r="E284" s="1">
        <f>IFERROR(__xludf.DUMMYFUNCTION("""COMPUTED_VALUE"""),1.0)</f>
        <v>1</v>
      </c>
      <c r="F284" s="1">
        <f>IFERROR(__xludf.DUMMYFUNCTION("""COMPUTED_VALUE"""),2569.0)</f>
        <v>2569</v>
      </c>
      <c r="G284" s="1">
        <f>IFERROR(__xludf.DUMMYFUNCTION("""COMPUTED_VALUE"""),1.0)</f>
        <v>1</v>
      </c>
      <c r="H284" s="1">
        <f>IFERROR(__xludf.DUMMYFUNCTION("""COMPUTED_VALUE"""),352.0)</f>
        <v>352</v>
      </c>
      <c r="I284" s="1" t="str">
        <f>IFERROR(__xludf.DUMMYFUNCTION("""COMPUTED_VALUE"""),"นาย")</f>
        <v>นาย</v>
      </c>
      <c r="J284" s="1" t="str">
        <f>IFERROR(__xludf.DUMMYFUNCTION("""COMPUTED_VALUE"""),"สุพล")</f>
        <v>สุพล</v>
      </c>
      <c r="K284" s="1" t="str">
        <f>IFERROR(__xludf.DUMMYFUNCTION("""COMPUTED_VALUE"""),"ปานสุวรรณ")</f>
        <v>ปานสุวรรณ</v>
      </c>
      <c r="L284" s="1" t="str">
        <f>IFERROR(__xludf.DUMMYFUNCTION("""COMPUTED_VALUE"""),"ม.6")</f>
        <v>ม.6</v>
      </c>
      <c r="M284" s="1" t="str">
        <f>IFERROR(__xludf.DUMMYFUNCTION("""COMPUTED_VALUE"""),"วิทยาศาสตร์(เทคโนโลยี)")</f>
        <v>วิทยาศาสตร์(เทคโนโลยี)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>
        <f>IFERROR(__xludf.DUMMYFUNCTION("""COMPUTED_VALUE"""),6.0)</f>
        <v>6</v>
      </c>
      <c r="B285" s="1">
        <f>IFERROR(__xludf.DUMMYFUNCTION("""COMPUTED_VALUE"""),1.0)</f>
        <v>1</v>
      </c>
      <c r="C285" s="1" t="str">
        <f>IFERROR(__xludf.DUMMYFUNCTION("""COMPUTED_VALUE"""),"ว30289")</f>
        <v>ว30289</v>
      </c>
      <c r="D285" s="1" t="str">
        <f>IFERROR(__xludf.DUMMYFUNCTION("""COMPUTED_VALUE"""),"การเขียนโปรแกรมเบื้องต้น 1")</f>
        <v>การเขียนโปรแกรมเบื้องต้น 1</v>
      </c>
      <c r="E285" s="1">
        <f>IFERROR(__xludf.DUMMYFUNCTION("""COMPUTED_VALUE"""),1.0)</f>
        <v>1</v>
      </c>
      <c r="F285" s="1">
        <f>IFERROR(__xludf.DUMMYFUNCTION("""COMPUTED_VALUE"""),2569.0)</f>
        <v>2569</v>
      </c>
      <c r="G285" s="1">
        <f>IFERROR(__xludf.DUMMYFUNCTION("""COMPUTED_VALUE"""),1.0)</f>
        <v>1</v>
      </c>
      <c r="H285" s="1">
        <f>IFERROR(__xludf.DUMMYFUNCTION("""COMPUTED_VALUE"""),352.0)</f>
        <v>352</v>
      </c>
      <c r="I285" s="1" t="str">
        <f>IFERROR(__xludf.DUMMYFUNCTION("""COMPUTED_VALUE"""),"นาย")</f>
        <v>นาย</v>
      </c>
      <c r="J285" s="1" t="str">
        <f>IFERROR(__xludf.DUMMYFUNCTION("""COMPUTED_VALUE"""),"สุพล")</f>
        <v>สุพล</v>
      </c>
      <c r="K285" s="1" t="str">
        <f>IFERROR(__xludf.DUMMYFUNCTION("""COMPUTED_VALUE"""),"ปานสุวรรณ")</f>
        <v>ปานสุวรรณ</v>
      </c>
      <c r="L285" s="1" t="str">
        <f>IFERROR(__xludf.DUMMYFUNCTION("""COMPUTED_VALUE"""),"ม.6")</f>
        <v>ม.6</v>
      </c>
      <c r="M285" s="1" t="str">
        <f>IFERROR(__xludf.DUMMYFUNCTION("""COMPUTED_VALUE"""),"วิทยาศาสตร์(เทคโนโลยี)")</f>
        <v>วิทยาศาสตร์(เทคโนโลยี)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>
        <f>IFERROR(__xludf.DUMMYFUNCTION("""COMPUTED_VALUE"""),8.0)</f>
        <v>8</v>
      </c>
      <c r="B286" s="1">
        <f>IFERROR(__xludf.DUMMYFUNCTION("""COMPUTED_VALUE"""),1.0)</f>
        <v>1</v>
      </c>
      <c r="C286" s="1" t="str">
        <f>IFERROR(__xludf.DUMMYFUNCTION("""COMPUTED_VALUE"""),"ว30289")</f>
        <v>ว30289</v>
      </c>
      <c r="D286" s="1" t="str">
        <f>IFERROR(__xludf.DUMMYFUNCTION("""COMPUTED_VALUE"""),"การเขียนโปรแกรมเบื้องต้น 1")</f>
        <v>การเขียนโปรแกรมเบื้องต้น 1</v>
      </c>
      <c r="E286" s="1">
        <f>IFERROR(__xludf.DUMMYFUNCTION("""COMPUTED_VALUE"""),1.0)</f>
        <v>1</v>
      </c>
      <c r="F286" s="1">
        <f>IFERROR(__xludf.DUMMYFUNCTION("""COMPUTED_VALUE"""),2569.0)</f>
        <v>2569</v>
      </c>
      <c r="G286" s="1">
        <f>IFERROR(__xludf.DUMMYFUNCTION("""COMPUTED_VALUE"""),1.0)</f>
        <v>1</v>
      </c>
      <c r="H286" s="1">
        <f>IFERROR(__xludf.DUMMYFUNCTION("""COMPUTED_VALUE"""),352.0)</f>
        <v>352</v>
      </c>
      <c r="I286" s="1" t="str">
        <f>IFERROR(__xludf.DUMMYFUNCTION("""COMPUTED_VALUE"""),"นาย")</f>
        <v>นาย</v>
      </c>
      <c r="J286" s="1" t="str">
        <f>IFERROR(__xludf.DUMMYFUNCTION("""COMPUTED_VALUE"""),"สุพล")</f>
        <v>สุพล</v>
      </c>
      <c r="K286" s="1" t="str">
        <f>IFERROR(__xludf.DUMMYFUNCTION("""COMPUTED_VALUE"""),"ปานสุวรรณ")</f>
        <v>ปานสุวรรณ</v>
      </c>
      <c r="L286" s="1" t="str">
        <f>IFERROR(__xludf.DUMMYFUNCTION("""COMPUTED_VALUE"""),"ม.6")</f>
        <v>ม.6</v>
      </c>
      <c r="M286" s="1" t="str">
        <f>IFERROR(__xludf.DUMMYFUNCTION("""COMPUTED_VALUE"""),"วิทยาศาสตร์(เทคโนโลยี)")</f>
        <v>วิทยาศาสตร์(เทคโนโลยี)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>
        <f>IFERROR(__xludf.DUMMYFUNCTION("""COMPUTED_VALUE"""),9.0)</f>
        <v>9</v>
      </c>
      <c r="B287" s="1">
        <f>IFERROR(__xludf.DUMMYFUNCTION("""COMPUTED_VALUE"""),1.0)</f>
        <v>1</v>
      </c>
      <c r="C287" s="1" t="str">
        <f>IFERROR(__xludf.DUMMYFUNCTION("""COMPUTED_VALUE"""),"ว30289")</f>
        <v>ว30289</v>
      </c>
      <c r="D287" s="1" t="str">
        <f>IFERROR(__xludf.DUMMYFUNCTION("""COMPUTED_VALUE"""),"การเขียนโปรแกรมเบื้องต้น 1")</f>
        <v>การเขียนโปรแกรมเบื้องต้น 1</v>
      </c>
      <c r="E287" s="1">
        <f>IFERROR(__xludf.DUMMYFUNCTION("""COMPUTED_VALUE"""),1.0)</f>
        <v>1</v>
      </c>
      <c r="F287" s="1">
        <f>IFERROR(__xludf.DUMMYFUNCTION("""COMPUTED_VALUE"""),2569.0)</f>
        <v>2569</v>
      </c>
      <c r="G287" s="1">
        <f>IFERROR(__xludf.DUMMYFUNCTION("""COMPUTED_VALUE"""),1.0)</f>
        <v>1</v>
      </c>
      <c r="H287" s="1">
        <f>IFERROR(__xludf.DUMMYFUNCTION("""COMPUTED_VALUE"""),352.0)</f>
        <v>352</v>
      </c>
      <c r="I287" s="1" t="str">
        <f>IFERROR(__xludf.DUMMYFUNCTION("""COMPUTED_VALUE"""),"นาย")</f>
        <v>นาย</v>
      </c>
      <c r="J287" s="1" t="str">
        <f>IFERROR(__xludf.DUMMYFUNCTION("""COMPUTED_VALUE"""),"สุพล")</f>
        <v>สุพล</v>
      </c>
      <c r="K287" s="1" t="str">
        <f>IFERROR(__xludf.DUMMYFUNCTION("""COMPUTED_VALUE"""),"ปานสุวรรณ")</f>
        <v>ปานสุวรรณ</v>
      </c>
      <c r="L287" s="1" t="str">
        <f>IFERROR(__xludf.DUMMYFUNCTION("""COMPUTED_VALUE"""),"ม.6")</f>
        <v>ม.6</v>
      </c>
      <c r="M287" s="1" t="str">
        <f>IFERROR(__xludf.DUMMYFUNCTION("""COMPUTED_VALUE"""),"วิทยาศาสตร์(เทคโนโลยี)")</f>
        <v>วิทยาศาสตร์(เทคโนโลยี)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>
        <f>IFERROR(__xludf.DUMMYFUNCTION("""COMPUTED_VALUE"""),10.0)</f>
        <v>10</v>
      </c>
      <c r="B288" s="1">
        <f>IFERROR(__xludf.DUMMYFUNCTION("""COMPUTED_VALUE"""),1.0)</f>
        <v>1</v>
      </c>
      <c r="C288" s="1" t="str">
        <f>IFERROR(__xludf.DUMMYFUNCTION("""COMPUTED_VALUE"""),"ว30289")</f>
        <v>ว30289</v>
      </c>
      <c r="D288" s="1" t="str">
        <f>IFERROR(__xludf.DUMMYFUNCTION("""COMPUTED_VALUE"""),"การเขียนโปรแกรมเบื้องต้น 1")</f>
        <v>การเขียนโปรแกรมเบื้องต้น 1</v>
      </c>
      <c r="E288" s="1">
        <f>IFERROR(__xludf.DUMMYFUNCTION("""COMPUTED_VALUE"""),1.0)</f>
        <v>1</v>
      </c>
      <c r="F288" s="1">
        <f>IFERROR(__xludf.DUMMYFUNCTION("""COMPUTED_VALUE"""),2569.0)</f>
        <v>2569</v>
      </c>
      <c r="G288" s="1">
        <f>IFERROR(__xludf.DUMMYFUNCTION("""COMPUTED_VALUE"""),1.0)</f>
        <v>1</v>
      </c>
      <c r="H288" s="1">
        <f>IFERROR(__xludf.DUMMYFUNCTION("""COMPUTED_VALUE"""),352.0)</f>
        <v>352</v>
      </c>
      <c r="I288" s="1" t="str">
        <f>IFERROR(__xludf.DUMMYFUNCTION("""COMPUTED_VALUE"""),"นาย")</f>
        <v>นาย</v>
      </c>
      <c r="J288" s="1" t="str">
        <f>IFERROR(__xludf.DUMMYFUNCTION("""COMPUTED_VALUE"""),"สุพล")</f>
        <v>สุพล</v>
      </c>
      <c r="K288" s="1" t="str">
        <f>IFERROR(__xludf.DUMMYFUNCTION("""COMPUTED_VALUE"""),"ปานสุวรรณ")</f>
        <v>ปานสุวรรณ</v>
      </c>
      <c r="L288" s="1" t="str">
        <f>IFERROR(__xludf.DUMMYFUNCTION("""COMPUTED_VALUE"""),"ม.6")</f>
        <v>ม.6</v>
      </c>
      <c r="M288" s="1" t="str">
        <f>IFERROR(__xludf.DUMMYFUNCTION("""COMPUTED_VALUE"""),"วิทยาศาสตร์(เทคโนโลยี)")</f>
        <v>วิทยาศาสตร์(เทคโนโลยี)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>
        <f>IFERROR(__xludf.DUMMYFUNCTION("""COMPUTED_VALUE"""),11.0)</f>
        <v>11</v>
      </c>
      <c r="B289" s="1">
        <f>IFERROR(__xludf.DUMMYFUNCTION("""COMPUTED_VALUE"""),1.0)</f>
        <v>1</v>
      </c>
      <c r="C289" s="1" t="str">
        <f>IFERROR(__xludf.DUMMYFUNCTION("""COMPUTED_VALUE"""),"ว30289")</f>
        <v>ว30289</v>
      </c>
      <c r="D289" s="1" t="str">
        <f>IFERROR(__xludf.DUMMYFUNCTION("""COMPUTED_VALUE"""),"การเขียนโปรแกรมเบื้องต้น 1")</f>
        <v>การเขียนโปรแกรมเบื้องต้น 1</v>
      </c>
      <c r="E289" s="1">
        <f>IFERROR(__xludf.DUMMYFUNCTION("""COMPUTED_VALUE"""),1.0)</f>
        <v>1</v>
      </c>
      <c r="F289" s="1">
        <f>IFERROR(__xludf.DUMMYFUNCTION("""COMPUTED_VALUE"""),2569.0)</f>
        <v>2569</v>
      </c>
      <c r="G289" s="1">
        <f>IFERROR(__xludf.DUMMYFUNCTION("""COMPUTED_VALUE"""),1.0)</f>
        <v>1</v>
      </c>
      <c r="H289" s="1">
        <f>IFERROR(__xludf.DUMMYFUNCTION("""COMPUTED_VALUE"""),352.0)</f>
        <v>352</v>
      </c>
      <c r="I289" s="1" t="str">
        <f>IFERROR(__xludf.DUMMYFUNCTION("""COMPUTED_VALUE"""),"นาย")</f>
        <v>นาย</v>
      </c>
      <c r="J289" s="1" t="str">
        <f>IFERROR(__xludf.DUMMYFUNCTION("""COMPUTED_VALUE"""),"สุพล")</f>
        <v>สุพล</v>
      </c>
      <c r="K289" s="1" t="str">
        <f>IFERROR(__xludf.DUMMYFUNCTION("""COMPUTED_VALUE"""),"ปานสุวรรณ")</f>
        <v>ปานสุวรรณ</v>
      </c>
      <c r="L289" s="1" t="str">
        <f>IFERROR(__xludf.DUMMYFUNCTION("""COMPUTED_VALUE"""),"ม.6")</f>
        <v>ม.6</v>
      </c>
      <c r="M289" s="1" t="str">
        <f>IFERROR(__xludf.DUMMYFUNCTION("""COMPUTED_VALUE"""),"วิทยาศาสตร์(เทคโนโลยี)")</f>
        <v>วิทยาศาสตร์(เทคโนโลยี)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>
        <f>IFERROR(__xludf.DUMMYFUNCTION("""COMPUTED_VALUE"""),3.0)</f>
        <v>3</v>
      </c>
      <c r="B290" s="1">
        <f>IFERROR(__xludf.DUMMYFUNCTION("""COMPUTED_VALUE"""),2.0)</f>
        <v>2</v>
      </c>
      <c r="C290" s="1" t="str">
        <f>IFERROR(__xludf.DUMMYFUNCTION("""COMPUTED_VALUE"""),"ส20223")</f>
        <v>ส20223</v>
      </c>
      <c r="D290" s="1" t="str">
        <f>IFERROR(__xludf.DUMMYFUNCTION("""COMPUTED_VALUE"""),"การป้องกันการทุจริต 1")</f>
        <v>การป้องกันการทุจริต 1</v>
      </c>
      <c r="E290" s="1">
        <f>IFERROR(__xludf.DUMMYFUNCTION("""COMPUTED_VALUE"""),0.5)</f>
        <v>0.5</v>
      </c>
      <c r="F290" s="1">
        <f>IFERROR(__xludf.DUMMYFUNCTION("""COMPUTED_VALUE"""),2569.0)</f>
        <v>2569</v>
      </c>
      <c r="G290" s="1">
        <f>IFERROR(__xludf.DUMMYFUNCTION("""COMPUTED_VALUE"""),1.0)</f>
        <v>1</v>
      </c>
      <c r="H290" s="1">
        <f>IFERROR(__xludf.DUMMYFUNCTION("""COMPUTED_VALUE"""),352.0)</f>
        <v>352</v>
      </c>
      <c r="I290" s="1" t="str">
        <f>IFERROR(__xludf.DUMMYFUNCTION("""COMPUTED_VALUE"""),"นาย")</f>
        <v>นาย</v>
      </c>
      <c r="J290" s="1" t="str">
        <f>IFERROR(__xludf.DUMMYFUNCTION("""COMPUTED_VALUE"""),"สุพล")</f>
        <v>สุพล</v>
      </c>
      <c r="K290" s="1" t="str">
        <f>IFERROR(__xludf.DUMMYFUNCTION("""COMPUTED_VALUE"""),"ปานสุวรรณ")</f>
        <v>ปานสุวรรณ</v>
      </c>
      <c r="L290" s="1" t="str">
        <f>IFERROR(__xludf.DUMMYFUNCTION("""COMPUTED_VALUE"""),"ม.1")</f>
        <v>ม.1</v>
      </c>
      <c r="M290" s="1" t="str">
        <f>IFERROR(__xludf.DUMMYFUNCTION("""COMPUTED_VALUE"""),"วิทยาศาสตร์(เทคโนโลยี)")</f>
        <v>วิทยาศาสตร์(เทคโนโลยี)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>
        <f>IFERROR(__xludf.DUMMYFUNCTION("""COMPUTED_VALUE"""),1.0)</f>
        <v>1</v>
      </c>
      <c r="B291" s="1">
        <f>IFERROR(__xludf.DUMMYFUNCTION("""COMPUTED_VALUE"""),1.0)</f>
        <v>1</v>
      </c>
      <c r="C291" s="1" t="str">
        <f>IFERROR(__xludf.DUMMYFUNCTION("""COMPUTED_VALUE"""),"ว30106")</f>
        <v>ว30106</v>
      </c>
      <c r="D291" s="1" t="str">
        <f>IFERROR(__xludf.DUMMYFUNCTION("""COMPUTED_VALUE"""),"วิทยาการคำนวณ")</f>
        <v>วิทยาการคำนวณ</v>
      </c>
      <c r="E291" s="1">
        <f>IFERROR(__xludf.DUMMYFUNCTION("""COMPUTED_VALUE"""),0.5)</f>
        <v>0.5</v>
      </c>
      <c r="F291" s="1">
        <f>IFERROR(__xludf.DUMMYFUNCTION("""COMPUTED_VALUE"""),2569.0)</f>
        <v>2569</v>
      </c>
      <c r="G291" s="1">
        <f>IFERROR(__xludf.DUMMYFUNCTION("""COMPUTED_VALUE"""),1.0)</f>
        <v>1</v>
      </c>
      <c r="H291" s="1">
        <f>IFERROR(__xludf.DUMMYFUNCTION("""COMPUTED_VALUE"""),353.0)</f>
        <v>353</v>
      </c>
      <c r="I291" s="1" t="str">
        <f>IFERROR(__xludf.DUMMYFUNCTION("""COMPUTED_VALUE"""),"นางสาว")</f>
        <v>นางสาว</v>
      </c>
      <c r="J291" s="1" t="str">
        <f>IFERROR(__xludf.DUMMYFUNCTION("""COMPUTED_VALUE"""),"ศิริพรรณ")</f>
        <v>ศิริพรรณ</v>
      </c>
      <c r="K291" s="1" t="str">
        <f>IFERROR(__xludf.DUMMYFUNCTION("""COMPUTED_VALUE"""),"วิทยวราวัฒน์")</f>
        <v>วิทยวราวัฒน์</v>
      </c>
      <c r="L291" s="1" t="str">
        <f>IFERROR(__xludf.DUMMYFUNCTION("""COMPUTED_VALUE"""),"ม.4")</f>
        <v>ม.4</v>
      </c>
      <c r="M291" s="1" t="str">
        <f>IFERROR(__xludf.DUMMYFUNCTION("""COMPUTED_VALUE"""),"วิทยาศาสตร์(เทคโนโลยี)")</f>
        <v>วิทยาศาสตร์(เทคโนโลยี)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>
        <f>IFERROR(__xludf.DUMMYFUNCTION("""COMPUTED_VALUE"""),3.0)</f>
        <v>3</v>
      </c>
      <c r="B292" s="1">
        <f>IFERROR(__xludf.DUMMYFUNCTION("""COMPUTED_VALUE"""),1.0)</f>
        <v>1</v>
      </c>
      <c r="C292" s="1" t="str">
        <f>IFERROR(__xludf.DUMMYFUNCTION("""COMPUTED_VALUE"""),"ว30106")</f>
        <v>ว30106</v>
      </c>
      <c r="D292" s="1" t="str">
        <f>IFERROR(__xludf.DUMMYFUNCTION("""COMPUTED_VALUE"""),"วิทยาการคำนวณ")</f>
        <v>วิทยาการคำนวณ</v>
      </c>
      <c r="E292" s="1">
        <f>IFERROR(__xludf.DUMMYFUNCTION("""COMPUTED_VALUE"""),0.5)</f>
        <v>0.5</v>
      </c>
      <c r="F292" s="1">
        <f>IFERROR(__xludf.DUMMYFUNCTION("""COMPUTED_VALUE"""),2569.0)</f>
        <v>2569</v>
      </c>
      <c r="G292" s="1">
        <f>IFERROR(__xludf.DUMMYFUNCTION("""COMPUTED_VALUE"""),1.0)</f>
        <v>1</v>
      </c>
      <c r="H292" s="1">
        <f>IFERROR(__xludf.DUMMYFUNCTION("""COMPUTED_VALUE"""),353.0)</f>
        <v>353</v>
      </c>
      <c r="I292" s="1" t="str">
        <f>IFERROR(__xludf.DUMMYFUNCTION("""COMPUTED_VALUE"""),"นางสาว")</f>
        <v>นางสาว</v>
      </c>
      <c r="J292" s="1" t="str">
        <f>IFERROR(__xludf.DUMMYFUNCTION("""COMPUTED_VALUE"""),"ศิริพรรณ")</f>
        <v>ศิริพรรณ</v>
      </c>
      <c r="K292" s="1" t="str">
        <f>IFERROR(__xludf.DUMMYFUNCTION("""COMPUTED_VALUE"""),"วิทยวราวัฒน์")</f>
        <v>วิทยวราวัฒน์</v>
      </c>
      <c r="L292" s="1" t="str">
        <f>IFERROR(__xludf.DUMMYFUNCTION("""COMPUTED_VALUE"""),"ม.4")</f>
        <v>ม.4</v>
      </c>
      <c r="M292" s="1" t="str">
        <f>IFERROR(__xludf.DUMMYFUNCTION("""COMPUTED_VALUE"""),"วิทยาศาสตร์(เทคโนโลยี)")</f>
        <v>วิทยาศาสตร์(เทคโนโลยี)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>
        <f>IFERROR(__xludf.DUMMYFUNCTION("""COMPUTED_VALUE"""),5.0)</f>
        <v>5</v>
      </c>
      <c r="B293" s="1">
        <f>IFERROR(__xludf.DUMMYFUNCTION("""COMPUTED_VALUE"""),1.0)</f>
        <v>1</v>
      </c>
      <c r="C293" s="1" t="str">
        <f>IFERROR(__xludf.DUMMYFUNCTION("""COMPUTED_VALUE"""),"ว30106")</f>
        <v>ว30106</v>
      </c>
      <c r="D293" s="1" t="str">
        <f>IFERROR(__xludf.DUMMYFUNCTION("""COMPUTED_VALUE"""),"วิทยาการคำนวณ")</f>
        <v>วิทยาการคำนวณ</v>
      </c>
      <c r="E293" s="1">
        <f>IFERROR(__xludf.DUMMYFUNCTION("""COMPUTED_VALUE"""),0.5)</f>
        <v>0.5</v>
      </c>
      <c r="F293" s="1">
        <f>IFERROR(__xludf.DUMMYFUNCTION("""COMPUTED_VALUE"""),2569.0)</f>
        <v>2569</v>
      </c>
      <c r="G293" s="1">
        <f>IFERROR(__xludf.DUMMYFUNCTION("""COMPUTED_VALUE"""),1.0)</f>
        <v>1</v>
      </c>
      <c r="H293" s="1">
        <f>IFERROR(__xludf.DUMMYFUNCTION("""COMPUTED_VALUE"""),353.0)</f>
        <v>353</v>
      </c>
      <c r="I293" s="1" t="str">
        <f>IFERROR(__xludf.DUMMYFUNCTION("""COMPUTED_VALUE"""),"นางสาว")</f>
        <v>นางสาว</v>
      </c>
      <c r="J293" s="1" t="str">
        <f>IFERROR(__xludf.DUMMYFUNCTION("""COMPUTED_VALUE"""),"ศิริพรรณ")</f>
        <v>ศิริพรรณ</v>
      </c>
      <c r="K293" s="1" t="str">
        <f>IFERROR(__xludf.DUMMYFUNCTION("""COMPUTED_VALUE"""),"วิทยวราวัฒน์")</f>
        <v>วิทยวราวัฒน์</v>
      </c>
      <c r="L293" s="1" t="str">
        <f>IFERROR(__xludf.DUMMYFUNCTION("""COMPUTED_VALUE"""),"ม.4")</f>
        <v>ม.4</v>
      </c>
      <c r="M293" s="1" t="str">
        <f>IFERROR(__xludf.DUMMYFUNCTION("""COMPUTED_VALUE"""),"วิทยาศาสตร์(เทคโนโลยี)")</f>
        <v>วิทยาศาสตร์(เทคโนโลยี)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>
        <f>IFERROR(__xludf.DUMMYFUNCTION("""COMPUTED_VALUE"""),7.0)</f>
        <v>7</v>
      </c>
      <c r="B294" s="1">
        <f>IFERROR(__xludf.DUMMYFUNCTION("""COMPUTED_VALUE"""),1.0)</f>
        <v>1</v>
      </c>
      <c r="C294" s="1" t="str">
        <f>IFERROR(__xludf.DUMMYFUNCTION("""COMPUTED_VALUE"""),"ว30106")</f>
        <v>ว30106</v>
      </c>
      <c r="D294" s="1" t="str">
        <f>IFERROR(__xludf.DUMMYFUNCTION("""COMPUTED_VALUE"""),"วิทยาการคำนวณ")</f>
        <v>วิทยาการคำนวณ</v>
      </c>
      <c r="E294" s="1">
        <f>IFERROR(__xludf.DUMMYFUNCTION("""COMPUTED_VALUE"""),0.5)</f>
        <v>0.5</v>
      </c>
      <c r="F294" s="1">
        <f>IFERROR(__xludf.DUMMYFUNCTION("""COMPUTED_VALUE"""),2569.0)</f>
        <v>2569</v>
      </c>
      <c r="G294" s="1">
        <f>IFERROR(__xludf.DUMMYFUNCTION("""COMPUTED_VALUE"""),1.0)</f>
        <v>1</v>
      </c>
      <c r="H294" s="1">
        <f>IFERROR(__xludf.DUMMYFUNCTION("""COMPUTED_VALUE"""),353.0)</f>
        <v>353</v>
      </c>
      <c r="I294" s="1" t="str">
        <f>IFERROR(__xludf.DUMMYFUNCTION("""COMPUTED_VALUE"""),"นางสาว")</f>
        <v>นางสาว</v>
      </c>
      <c r="J294" s="1" t="str">
        <f>IFERROR(__xludf.DUMMYFUNCTION("""COMPUTED_VALUE"""),"ศิริพรรณ")</f>
        <v>ศิริพรรณ</v>
      </c>
      <c r="K294" s="1" t="str">
        <f>IFERROR(__xludf.DUMMYFUNCTION("""COMPUTED_VALUE"""),"วิทยวราวัฒน์")</f>
        <v>วิทยวราวัฒน์</v>
      </c>
      <c r="L294" s="1" t="str">
        <f>IFERROR(__xludf.DUMMYFUNCTION("""COMPUTED_VALUE"""),"ม.4")</f>
        <v>ม.4</v>
      </c>
      <c r="M294" s="1" t="str">
        <f>IFERROR(__xludf.DUMMYFUNCTION("""COMPUTED_VALUE"""),"วิทยาศาสตร์(เทคโนโลยี)")</f>
        <v>วิทยาศาสตร์(เทคโนโลยี)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>
        <f>IFERROR(__xludf.DUMMYFUNCTION("""COMPUTED_VALUE"""),9.0)</f>
        <v>9</v>
      </c>
      <c r="B295" s="1">
        <f>IFERROR(__xludf.DUMMYFUNCTION("""COMPUTED_VALUE"""),1.0)</f>
        <v>1</v>
      </c>
      <c r="C295" s="1" t="str">
        <f>IFERROR(__xludf.DUMMYFUNCTION("""COMPUTED_VALUE"""),"ว30106")</f>
        <v>ว30106</v>
      </c>
      <c r="D295" s="1" t="str">
        <f>IFERROR(__xludf.DUMMYFUNCTION("""COMPUTED_VALUE"""),"วิทยาการคำนวณ")</f>
        <v>วิทยาการคำนวณ</v>
      </c>
      <c r="E295" s="1">
        <f>IFERROR(__xludf.DUMMYFUNCTION("""COMPUTED_VALUE"""),0.5)</f>
        <v>0.5</v>
      </c>
      <c r="F295" s="1">
        <f>IFERROR(__xludf.DUMMYFUNCTION("""COMPUTED_VALUE"""),2569.0)</f>
        <v>2569</v>
      </c>
      <c r="G295" s="1">
        <f>IFERROR(__xludf.DUMMYFUNCTION("""COMPUTED_VALUE"""),1.0)</f>
        <v>1</v>
      </c>
      <c r="H295" s="1">
        <f>IFERROR(__xludf.DUMMYFUNCTION("""COMPUTED_VALUE"""),353.0)</f>
        <v>353</v>
      </c>
      <c r="I295" s="1" t="str">
        <f>IFERROR(__xludf.DUMMYFUNCTION("""COMPUTED_VALUE"""),"นางสาว")</f>
        <v>นางสาว</v>
      </c>
      <c r="J295" s="1" t="str">
        <f>IFERROR(__xludf.DUMMYFUNCTION("""COMPUTED_VALUE"""),"ศิริพรรณ")</f>
        <v>ศิริพรรณ</v>
      </c>
      <c r="K295" s="1" t="str">
        <f>IFERROR(__xludf.DUMMYFUNCTION("""COMPUTED_VALUE"""),"วิทยวราวัฒน์")</f>
        <v>วิทยวราวัฒน์</v>
      </c>
      <c r="L295" s="1" t="str">
        <f>IFERROR(__xludf.DUMMYFUNCTION("""COMPUTED_VALUE"""),"ม.4")</f>
        <v>ม.4</v>
      </c>
      <c r="M295" s="1" t="str">
        <f>IFERROR(__xludf.DUMMYFUNCTION("""COMPUTED_VALUE"""),"วิทยาศาสตร์(เทคโนโลยี)")</f>
        <v>วิทยาศาสตร์(เทคโนโลยี)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>
        <f>IFERROR(__xludf.DUMMYFUNCTION("""COMPUTED_VALUE"""),11.0)</f>
        <v>11</v>
      </c>
      <c r="B296" s="1">
        <f>IFERROR(__xludf.DUMMYFUNCTION("""COMPUTED_VALUE"""),1.0)</f>
        <v>1</v>
      </c>
      <c r="C296" s="1" t="str">
        <f>IFERROR(__xludf.DUMMYFUNCTION("""COMPUTED_VALUE"""),"ว30106")</f>
        <v>ว30106</v>
      </c>
      <c r="D296" s="1" t="str">
        <f>IFERROR(__xludf.DUMMYFUNCTION("""COMPUTED_VALUE"""),"วิทยาการคำนวณ")</f>
        <v>วิทยาการคำนวณ</v>
      </c>
      <c r="E296" s="1">
        <f>IFERROR(__xludf.DUMMYFUNCTION("""COMPUTED_VALUE"""),0.5)</f>
        <v>0.5</v>
      </c>
      <c r="F296" s="1">
        <f>IFERROR(__xludf.DUMMYFUNCTION("""COMPUTED_VALUE"""),2569.0)</f>
        <v>2569</v>
      </c>
      <c r="G296" s="1">
        <f>IFERROR(__xludf.DUMMYFUNCTION("""COMPUTED_VALUE"""),1.0)</f>
        <v>1</v>
      </c>
      <c r="H296" s="1">
        <f>IFERROR(__xludf.DUMMYFUNCTION("""COMPUTED_VALUE"""),353.0)</f>
        <v>353</v>
      </c>
      <c r="I296" s="1" t="str">
        <f>IFERROR(__xludf.DUMMYFUNCTION("""COMPUTED_VALUE"""),"นางสาว")</f>
        <v>นางสาว</v>
      </c>
      <c r="J296" s="1" t="str">
        <f>IFERROR(__xludf.DUMMYFUNCTION("""COMPUTED_VALUE"""),"ศิริพรรณ")</f>
        <v>ศิริพรรณ</v>
      </c>
      <c r="K296" s="1" t="str">
        <f>IFERROR(__xludf.DUMMYFUNCTION("""COMPUTED_VALUE"""),"วิทยวราวัฒน์")</f>
        <v>วิทยวราวัฒน์</v>
      </c>
      <c r="L296" s="1" t="str">
        <f>IFERROR(__xludf.DUMMYFUNCTION("""COMPUTED_VALUE"""),"ม.4")</f>
        <v>ม.4</v>
      </c>
      <c r="M296" s="1" t="str">
        <f>IFERROR(__xludf.DUMMYFUNCTION("""COMPUTED_VALUE"""),"วิทยาศาสตร์(เทคโนโลยี)")</f>
        <v>วิทยาศาสตร์(เทคโนโลยี)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>
        <f>IFERROR(__xludf.DUMMYFUNCTION("""COMPUTED_VALUE"""),2.0)</f>
        <v>2</v>
      </c>
      <c r="B297" s="1">
        <f>IFERROR(__xludf.DUMMYFUNCTION("""COMPUTED_VALUE"""),1.0)</f>
        <v>1</v>
      </c>
      <c r="C297" s="1" t="str">
        <f>IFERROR(__xludf.DUMMYFUNCTION("""COMPUTED_VALUE"""),"ว30261")</f>
        <v>ว30261</v>
      </c>
      <c r="D297" s="1" t="str">
        <f>IFERROR(__xludf.DUMMYFUNCTION("""COMPUTED_VALUE"""),"Office Management")</f>
        <v>Office Management</v>
      </c>
      <c r="E297" s="1">
        <f>IFERROR(__xludf.DUMMYFUNCTION("""COMPUTED_VALUE"""),1.0)</f>
        <v>1</v>
      </c>
      <c r="F297" s="1">
        <f>IFERROR(__xludf.DUMMYFUNCTION("""COMPUTED_VALUE"""),2569.0)</f>
        <v>2569</v>
      </c>
      <c r="G297" s="1">
        <f>IFERROR(__xludf.DUMMYFUNCTION("""COMPUTED_VALUE"""),1.0)</f>
        <v>1</v>
      </c>
      <c r="H297" s="1">
        <f>IFERROR(__xludf.DUMMYFUNCTION("""COMPUTED_VALUE"""),353.0)</f>
        <v>353</v>
      </c>
      <c r="I297" s="1" t="str">
        <f>IFERROR(__xludf.DUMMYFUNCTION("""COMPUTED_VALUE"""),"นางสาว")</f>
        <v>นางสาว</v>
      </c>
      <c r="J297" s="1" t="str">
        <f>IFERROR(__xludf.DUMMYFUNCTION("""COMPUTED_VALUE"""),"ศิริพรรณ")</f>
        <v>ศิริพรรณ</v>
      </c>
      <c r="K297" s="1" t="str">
        <f>IFERROR(__xludf.DUMMYFUNCTION("""COMPUTED_VALUE"""),"วิทยวราวัฒน์")</f>
        <v>วิทยวราวัฒน์</v>
      </c>
      <c r="L297" s="1" t="str">
        <f>IFERROR(__xludf.DUMMYFUNCTION("""COMPUTED_VALUE"""),"ม.4")</f>
        <v>ม.4</v>
      </c>
      <c r="M297" s="1" t="str">
        <f>IFERROR(__xludf.DUMMYFUNCTION("""COMPUTED_VALUE"""),"วิทยาศาสตร์(เทคโนโลยี)")</f>
        <v>วิทยาศาสตร์(เทคโนโลยี)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>
        <f>IFERROR(__xludf.DUMMYFUNCTION("""COMPUTED_VALUE"""),4.0)</f>
        <v>4</v>
      </c>
      <c r="B298" s="1">
        <f>IFERROR(__xludf.DUMMYFUNCTION("""COMPUTED_VALUE"""),1.0)</f>
        <v>1</v>
      </c>
      <c r="C298" s="1" t="str">
        <f>IFERROR(__xludf.DUMMYFUNCTION("""COMPUTED_VALUE"""),"ว30261")</f>
        <v>ว30261</v>
      </c>
      <c r="D298" s="1" t="str">
        <f>IFERROR(__xludf.DUMMYFUNCTION("""COMPUTED_VALUE"""),"Office Management")</f>
        <v>Office Management</v>
      </c>
      <c r="E298" s="1">
        <f>IFERROR(__xludf.DUMMYFUNCTION("""COMPUTED_VALUE"""),1.0)</f>
        <v>1</v>
      </c>
      <c r="F298" s="1">
        <f>IFERROR(__xludf.DUMMYFUNCTION("""COMPUTED_VALUE"""),2569.0)</f>
        <v>2569</v>
      </c>
      <c r="G298" s="1">
        <f>IFERROR(__xludf.DUMMYFUNCTION("""COMPUTED_VALUE"""),1.0)</f>
        <v>1</v>
      </c>
      <c r="H298" s="1">
        <f>IFERROR(__xludf.DUMMYFUNCTION("""COMPUTED_VALUE"""),353.0)</f>
        <v>353</v>
      </c>
      <c r="I298" s="1" t="str">
        <f>IFERROR(__xludf.DUMMYFUNCTION("""COMPUTED_VALUE"""),"นางสาว")</f>
        <v>นางสาว</v>
      </c>
      <c r="J298" s="1" t="str">
        <f>IFERROR(__xludf.DUMMYFUNCTION("""COMPUTED_VALUE"""),"ศิริพรรณ")</f>
        <v>ศิริพรรณ</v>
      </c>
      <c r="K298" s="1" t="str">
        <f>IFERROR(__xludf.DUMMYFUNCTION("""COMPUTED_VALUE"""),"วิทยวราวัฒน์")</f>
        <v>วิทยวราวัฒน์</v>
      </c>
      <c r="L298" s="1" t="str">
        <f>IFERROR(__xludf.DUMMYFUNCTION("""COMPUTED_VALUE"""),"ม.4")</f>
        <v>ม.4</v>
      </c>
      <c r="M298" s="1" t="str">
        <f>IFERROR(__xludf.DUMMYFUNCTION("""COMPUTED_VALUE"""),"วิทยาศาสตร์(เทคโนโลยี)")</f>
        <v>วิทยาศาสตร์(เทคโนโลยี)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>
        <f>IFERROR(__xludf.DUMMYFUNCTION("""COMPUTED_VALUE"""),6.0)</f>
        <v>6</v>
      </c>
      <c r="B299" s="1">
        <f>IFERROR(__xludf.DUMMYFUNCTION("""COMPUTED_VALUE"""),1.0)</f>
        <v>1</v>
      </c>
      <c r="C299" s="1" t="str">
        <f>IFERROR(__xludf.DUMMYFUNCTION("""COMPUTED_VALUE"""),"ว30261")</f>
        <v>ว30261</v>
      </c>
      <c r="D299" s="1" t="str">
        <f>IFERROR(__xludf.DUMMYFUNCTION("""COMPUTED_VALUE"""),"Office Management")</f>
        <v>Office Management</v>
      </c>
      <c r="E299" s="1">
        <f>IFERROR(__xludf.DUMMYFUNCTION("""COMPUTED_VALUE"""),1.0)</f>
        <v>1</v>
      </c>
      <c r="F299" s="1">
        <f>IFERROR(__xludf.DUMMYFUNCTION("""COMPUTED_VALUE"""),2569.0)</f>
        <v>2569</v>
      </c>
      <c r="G299" s="1">
        <f>IFERROR(__xludf.DUMMYFUNCTION("""COMPUTED_VALUE"""),1.0)</f>
        <v>1</v>
      </c>
      <c r="H299" s="1">
        <f>IFERROR(__xludf.DUMMYFUNCTION("""COMPUTED_VALUE"""),353.0)</f>
        <v>353</v>
      </c>
      <c r="I299" s="1" t="str">
        <f>IFERROR(__xludf.DUMMYFUNCTION("""COMPUTED_VALUE"""),"นางสาว")</f>
        <v>นางสาว</v>
      </c>
      <c r="J299" s="1" t="str">
        <f>IFERROR(__xludf.DUMMYFUNCTION("""COMPUTED_VALUE"""),"ศิริพรรณ")</f>
        <v>ศิริพรรณ</v>
      </c>
      <c r="K299" s="1" t="str">
        <f>IFERROR(__xludf.DUMMYFUNCTION("""COMPUTED_VALUE"""),"วิทยวราวัฒน์")</f>
        <v>วิทยวราวัฒน์</v>
      </c>
      <c r="L299" s="1" t="str">
        <f>IFERROR(__xludf.DUMMYFUNCTION("""COMPUTED_VALUE"""),"ม.4")</f>
        <v>ม.4</v>
      </c>
      <c r="M299" s="1" t="str">
        <f>IFERROR(__xludf.DUMMYFUNCTION("""COMPUTED_VALUE"""),"วิทยาศาสตร์(เทคโนโลยี)")</f>
        <v>วิทยาศาสตร์(เทคโนโลยี)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>
        <f>IFERROR(__xludf.DUMMYFUNCTION("""COMPUTED_VALUE"""),8.0)</f>
        <v>8</v>
      </c>
      <c r="B300" s="1">
        <f>IFERROR(__xludf.DUMMYFUNCTION("""COMPUTED_VALUE"""),1.0)</f>
        <v>1</v>
      </c>
      <c r="C300" s="1" t="str">
        <f>IFERROR(__xludf.DUMMYFUNCTION("""COMPUTED_VALUE"""),"ว30261")</f>
        <v>ว30261</v>
      </c>
      <c r="D300" s="1" t="str">
        <f>IFERROR(__xludf.DUMMYFUNCTION("""COMPUTED_VALUE"""),"Office Management")</f>
        <v>Office Management</v>
      </c>
      <c r="E300" s="1">
        <f>IFERROR(__xludf.DUMMYFUNCTION("""COMPUTED_VALUE"""),1.0)</f>
        <v>1</v>
      </c>
      <c r="F300" s="1">
        <f>IFERROR(__xludf.DUMMYFUNCTION("""COMPUTED_VALUE"""),2569.0)</f>
        <v>2569</v>
      </c>
      <c r="G300" s="1">
        <f>IFERROR(__xludf.DUMMYFUNCTION("""COMPUTED_VALUE"""),1.0)</f>
        <v>1</v>
      </c>
      <c r="H300" s="1">
        <f>IFERROR(__xludf.DUMMYFUNCTION("""COMPUTED_VALUE"""),353.0)</f>
        <v>353</v>
      </c>
      <c r="I300" s="1" t="str">
        <f>IFERROR(__xludf.DUMMYFUNCTION("""COMPUTED_VALUE"""),"นางสาว")</f>
        <v>นางสาว</v>
      </c>
      <c r="J300" s="1" t="str">
        <f>IFERROR(__xludf.DUMMYFUNCTION("""COMPUTED_VALUE"""),"ศิริพรรณ")</f>
        <v>ศิริพรรณ</v>
      </c>
      <c r="K300" s="1" t="str">
        <f>IFERROR(__xludf.DUMMYFUNCTION("""COMPUTED_VALUE"""),"วิทยวราวัฒน์")</f>
        <v>วิทยวราวัฒน์</v>
      </c>
      <c r="L300" s="1" t="str">
        <f>IFERROR(__xludf.DUMMYFUNCTION("""COMPUTED_VALUE"""),"ม.4")</f>
        <v>ม.4</v>
      </c>
      <c r="M300" s="1" t="str">
        <f>IFERROR(__xludf.DUMMYFUNCTION("""COMPUTED_VALUE"""),"วิทยาศาสตร์(เทคโนโลยี)")</f>
        <v>วิทยาศาสตร์(เทคโนโลยี)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>
        <f>IFERROR(__xludf.DUMMYFUNCTION("""COMPUTED_VALUE"""),11.0)</f>
        <v>11</v>
      </c>
      <c r="B301" s="1">
        <f>IFERROR(__xludf.DUMMYFUNCTION("""COMPUTED_VALUE"""),1.0)</f>
        <v>1</v>
      </c>
      <c r="C301" s="1" t="str">
        <f>IFERROR(__xludf.DUMMYFUNCTION("""COMPUTED_VALUE"""),"ว30275")</f>
        <v>ว30275</v>
      </c>
      <c r="D301" s="1" t="str">
        <f>IFERROR(__xludf.DUMMYFUNCTION("""COMPUTED_VALUE"""),"Social MediaMarketing")</f>
        <v>Social MediaMarketing</v>
      </c>
      <c r="E301" s="1">
        <f>IFERROR(__xludf.DUMMYFUNCTION("""COMPUTED_VALUE"""),1.0)</f>
        <v>1</v>
      </c>
      <c r="F301" s="1">
        <f>IFERROR(__xludf.DUMMYFUNCTION("""COMPUTED_VALUE"""),2569.0)</f>
        <v>2569</v>
      </c>
      <c r="G301" s="1">
        <f>IFERROR(__xludf.DUMMYFUNCTION("""COMPUTED_VALUE"""),1.0)</f>
        <v>1</v>
      </c>
      <c r="H301" s="1">
        <f>IFERROR(__xludf.DUMMYFUNCTION("""COMPUTED_VALUE"""),353.0)</f>
        <v>353</v>
      </c>
      <c r="I301" s="1" t="str">
        <f>IFERROR(__xludf.DUMMYFUNCTION("""COMPUTED_VALUE"""),"นางสาว")</f>
        <v>นางสาว</v>
      </c>
      <c r="J301" s="1" t="str">
        <f>IFERROR(__xludf.DUMMYFUNCTION("""COMPUTED_VALUE"""),"ศิริพรรณ")</f>
        <v>ศิริพรรณ</v>
      </c>
      <c r="K301" s="1" t="str">
        <f>IFERROR(__xludf.DUMMYFUNCTION("""COMPUTED_VALUE"""),"วิทยวราวัฒน์")</f>
        <v>วิทยวราวัฒน์</v>
      </c>
      <c r="L301" s="1" t="str">
        <f>IFERROR(__xludf.DUMMYFUNCTION("""COMPUTED_VALUE"""),"ม.6")</f>
        <v>ม.6</v>
      </c>
      <c r="M301" s="1" t="str">
        <f>IFERROR(__xludf.DUMMYFUNCTION("""COMPUTED_VALUE"""),"วิทยาศาสตร์(เทคโนโลยี)")</f>
        <v>วิทยาศาสตร์(เทคโนโลยี)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>
        <f>IFERROR(__xludf.DUMMYFUNCTION("""COMPUTED_VALUE"""),1.0)</f>
        <v>1</v>
      </c>
      <c r="B302" s="1">
        <f>IFERROR(__xludf.DUMMYFUNCTION("""COMPUTED_VALUE"""),1.0)</f>
        <v>1</v>
      </c>
      <c r="C302" s="1" t="str">
        <f>IFERROR(__xludf.DUMMYFUNCTION("""COMPUTED_VALUE"""),"ว30294")</f>
        <v>ว30294</v>
      </c>
      <c r="D302" s="1" t="str">
        <f>IFERROR(__xludf.DUMMYFUNCTION("""COMPUTED_VALUE"""),"Content Creater")</f>
        <v>Content Creater</v>
      </c>
      <c r="E302" s="1">
        <f>IFERROR(__xludf.DUMMYFUNCTION("""COMPUTED_VALUE"""),0.5)</f>
        <v>0.5</v>
      </c>
      <c r="F302" s="1">
        <f>IFERROR(__xludf.DUMMYFUNCTION("""COMPUTED_VALUE"""),2569.0)</f>
        <v>2569</v>
      </c>
      <c r="G302" s="1">
        <f>IFERROR(__xludf.DUMMYFUNCTION("""COMPUTED_VALUE"""),1.0)</f>
        <v>1</v>
      </c>
      <c r="H302" s="1">
        <f>IFERROR(__xludf.DUMMYFUNCTION("""COMPUTED_VALUE"""),353.0)</f>
        <v>353</v>
      </c>
      <c r="I302" s="1" t="str">
        <f>IFERROR(__xludf.DUMMYFUNCTION("""COMPUTED_VALUE"""),"นางสาว")</f>
        <v>นางสาว</v>
      </c>
      <c r="J302" s="1" t="str">
        <f>IFERROR(__xludf.DUMMYFUNCTION("""COMPUTED_VALUE"""),"ศิริพรรณ")</f>
        <v>ศิริพรรณ</v>
      </c>
      <c r="K302" s="1" t="str">
        <f>IFERROR(__xludf.DUMMYFUNCTION("""COMPUTED_VALUE"""),"วิทยวราวัฒน์")</f>
        <v>วิทยวราวัฒน์</v>
      </c>
      <c r="L302" s="1" t="str">
        <f>IFERROR(__xludf.DUMMYFUNCTION("""COMPUTED_VALUE"""),"ม.5")</f>
        <v>ม.5</v>
      </c>
      <c r="M302" s="1" t="str">
        <f>IFERROR(__xludf.DUMMYFUNCTION("""COMPUTED_VALUE"""),"วิทยาศาสตร์(เทคโนโลยี)")</f>
        <v>วิทยาศาสตร์(เทคโนโลยี)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>
        <f>IFERROR(__xludf.DUMMYFUNCTION("""COMPUTED_VALUE"""),2.0)</f>
        <v>2</v>
      </c>
      <c r="B303" s="1">
        <f>IFERROR(__xludf.DUMMYFUNCTION("""COMPUTED_VALUE"""),1.0)</f>
        <v>1</v>
      </c>
      <c r="C303" s="1" t="str">
        <f>IFERROR(__xludf.DUMMYFUNCTION("""COMPUTED_VALUE"""),"ว30294")</f>
        <v>ว30294</v>
      </c>
      <c r="D303" s="1" t="str">
        <f>IFERROR(__xludf.DUMMYFUNCTION("""COMPUTED_VALUE"""),"Content Creater")</f>
        <v>Content Creater</v>
      </c>
      <c r="E303" s="1">
        <f>IFERROR(__xludf.DUMMYFUNCTION("""COMPUTED_VALUE"""),0.5)</f>
        <v>0.5</v>
      </c>
      <c r="F303" s="1">
        <f>IFERROR(__xludf.DUMMYFUNCTION("""COMPUTED_VALUE"""),2569.0)</f>
        <v>2569</v>
      </c>
      <c r="G303" s="1">
        <f>IFERROR(__xludf.DUMMYFUNCTION("""COMPUTED_VALUE"""),1.0)</f>
        <v>1</v>
      </c>
      <c r="H303" s="1">
        <f>IFERROR(__xludf.DUMMYFUNCTION("""COMPUTED_VALUE"""),353.0)</f>
        <v>353</v>
      </c>
      <c r="I303" s="1" t="str">
        <f>IFERROR(__xludf.DUMMYFUNCTION("""COMPUTED_VALUE"""),"นางสาว")</f>
        <v>นางสาว</v>
      </c>
      <c r="J303" s="1" t="str">
        <f>IFERROR(__xludf.DUMMYFUNCTION("""COMPUTED_VALUE"""),"ศิริพรรณ")</f>
        <v>ศิริพรรณ</v>
      </c>
      <c r="K303" s="1" t="str">
        <f>IFERROR(__xludf.DUMMYFUNCTION("""COMPUTED_VALUE"""),"วิทยวราวัฒน์")</f>
        <v>วิทยวราวัฒน์</v>
      </c>
      <c r="L303" s="1" t="str">
        <f>IFERROR(__xludf.DUMMYFUNCTION("""COMPUTED_VALUE"""),"ม.5")</f>
        <v>ม.5</v>
      </c>
      <c r="M303" s="1" t="str">
        <f>IFERROR(__xludf.DUMMYFUNCTION("""COMPUTED_VALUE"""),"วิทยาศาสตร์(เทคโนโลยี)")</f>
        <v>วิทยาศาสตร์(เทคโนโลยี)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>
        <f>IFERROR(__xludf.DUMMYFUNCTION("""COMPUTED_VALUE"""),8.0)</f>
        <v>8</v>
      </c>
      <c r="B304" s="1">
        <f>IFERROR(__xludf.DUMMYFUNCTION("""COMPUTED_VALUE"""),1.0)</f>
        <v>1</v>
      </c>
      <c r="C304" s="1" t="str">
        <f>IFERROR(__xludf.DUMMYFUNCTION("""COMPUTED_VALUE"""),"ว30102")</f>
        <v>ว30102</v>
      </c>
      <c r="D304" s="1" t="str">
        <f>IFERROR(__xludf.DUMMYFUNCTION("""COMPUTED_VALUE"""),"วิทยาศาสตร์กายภาพเคมี")</f>
        <v>วิทยาศาสตร์กายภาพเคมี</v>
      </c>
      <c r="E304" s="1">
        <f>IFERROR(__xludf.DUMMYFUNCTION("""COMPUTED_VALUE"""),1.5)</f>
        <v>1.5</v>
      </c>
      <c r="F304" s="1">
        <f>IFERROR(__xludf.DUMMYFUNCTION("""COMPUTED_VALUE"""),2569.0)</f>
        <v>2569</v>
      </c>
      <c r="G304" s="1">
        <f>IFERROR(__xludf.DUMMYFUNCTION("""COMPUTED_VALUE"""),1.0)</f>
        <v>1</v>
      </c>
      <c r="H304" s="1">
        <f>IFERROR(__xludf.DUMMYFUNCTION("""COMPUTED_VALUE"""),354.0)</f>
        <v>354</v>
      </c>
      <c r="I304" s="1" t="str">
        <f>IFERROR(__xludf.DUMMYFUNCTION("""COMPUTED_VALUE"""),"นาง")</f>
        <v>นาง</v>
      </c>
      <c r="J304" s="1" t="str">
        <f>IFERROR(__xludf.DUMMYFUNCTION("""COMPUTED_VALUE"""),"ระวีวรรณ")</f>
        <v>ระวีวรรณ</v>
      </c>
      <c r="K304" s="1" t="str">
        <f>IFERROR(__xludf.DUMMYFUNCTION("""COMPUTED_VALUE"""),"สินธุพงษ์")</f>
        <v>สินธุพงษ์</v>
      </c>
      <c r="L304" s="1" t="str">
        <f>IFERROR(__xludf.DUMMYFUNCTION("""COMPUTED_VALUE"""),"ม.5")</f>
        <v>ม.5</v>
      </c>
      <c r="M304" s="1" t="str">
        <f>IFERROR(__xludf.DUMMYFUNCTION("""COMPUTED_VALUE"""),"วิทยาศาสตร์")</f>
        <v>วิทยาศาสตร์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>
        <f>IFERROR(__xludf.DUMMYFUNCTION("""COMPUTED_VALUE"""),10.0)</f>
        <v>10</v>
      </c>
      <c r="B305" s="1">
        <f>IFERROR(__xludf.DUMMYFUNCTION("""COMPUTED_VALUE"""),1.0)</f>
        <v>1</v>
      </c>
      <c r="C305" s="1" t="str">
        <f>IFERROR(__xludf.DUMMYFUNCTION("""COMPUTED_VALUE"""),"ว30102")</f>
        <v>ว30102</v>
      </c>
      <c r="D305" s="1" t="str">
        <f>IFERROR(__xludf.DUMMYFUNCTION("""COMPUTED_VALUE"""),"วิทยาศาสตร์กายภาพเคมี")</f>
        <v>วิทยาศาสตร์กายภาพเคมี</v>
      </c>
      <c r="E305" s="1">
        <f>IFERROR(__xludf.DUMMYFUNCTION("""COMPUTED_VALUE"""),1.5)</f>
        <v>1.5</v>
      </c>
      <c r="F305" s="1">
        <f>IFERROR(__xludf.DUMMYFUNCTION("""COMPUTED_VALUE"""),2569.0)</f>
        <v>2569</v>
      </c>
      <c r="G305" s="1">
        <f>IFERROR(__xludf.DUMMYFUNCTION("""COMPUTED_VALUE"""),1.0)</f>
        <v>1</v>
      </c>
      <c r="H305" s="1">
        <f>IFERROR(__xludf.DUMMYFUNCTION("""COMPUTED_VALUE"""),354.0)</f>
        <v>354</v>
      </c>
      <c r="I305" s="1" t="str">
        <f>IFERROR(__xludf.DUMMYFUNCTION("""COMPUTED_VALUE"""),"นาง")</f>
        <v>นาง</v>
      </c>
      <c r="J305" s="1" t="str">
        <f>IFERROR(__xludf.DUMMYFUNCTION("""COMPUTED_VALUE"""),"ระวีวรรณ")</f>
        <v>ระวีวรรณ</v>
      </c>
      <c r="K305" s="1" t="str">
        <f>IFERROR(__xludf.DUMMYFUNCTION("""COMPUTED_VALUE"""),"สินธุพงษ์")</f>
        <v>สินธุพงษ์</v>
      </c>
      <c r="L305" s="1" t="str">
        <f>IFERROR(__xludf.DUMMYFUNCTION("""COMPUTED_VALUE"""),"ม.5")</f>
        <v>ม.5</v>
      </c>
      <c r="M305" s="1" t="str">
        <f>IFERROR(__xludf.DUMMYFUNCTION("""COMPUTED_VALUE"""),"วิทยาศาสตร์")</f>
        <v>วิทยาศาสตร์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>
        <f>IFERROR(__xludf.DUMMYFUNCTION("""COMPUTED_VALUE"""),1.0)</f>
        <v>1</v>
      </c>
      <c r="B306" s="1">
        <f>IFERROR(__xludf.DUMMYFUNCTION("""COMPUTED_VALUE"""),1.0)</f>
        <v>1</v>
      </c>
      <c r="C306" s="1" t="str">
        <f>IFERROR(__xludf.DUMMYFUNCTION("""COMPUTED_VALUE"""),"ว30242")</f>
        <v>ว30242</v>
      </c>
      <c r="D306" s="1" t="str">
        <f>IFERROR(__xludf.DUMMYFUNCTION("""COMPUTED_VALUE"""),"ชีววิทยา 2")</f>
        <v>ชีววิทยา 2</v>
      </c>
      <c r="E306" s="1">
        <f>IFERROR(__xludf.DUMMYFUNCTION("""COMPUTED_VALUE"""),1.5)</f>
        <v>1.5</v>
      </c>
      <c r="F306" s="1">
        <f>IFERROR(__xludf.DUMMYFUNCTION("""COMPUTED_VALUE"""),2569.0)</f>
        <v>2569</v>
      </c>
      <c r="G306" s="1">
        <f>IFERROR(__xludf.DUMMYFUNCTION("""COMPUTED_VALUE"""),1.0)</f>
        <v>1</v>
      </c>
      <c r="H306" s="1">
        <f>IFERROR(__xludf.DUMMYFUNCTION("""COMPUTED_VALUE"""),354.0)</f>
        <v>354</v>
      </c>
      <c r="I306" s="1" t="str">
        <f>IFERROR(__xludf.DUMMYFUNCTION("""COMPUTED_VALUE"""),"นาง")</f>
        <v>นาง</v>
      </c>
      <c r="J306" s="1" t="str">
        <f>IFERROR(__xludf.DUMMYFUNCTION("""COMPUTED_VALUE"""),"ระวีวรรณ")</f>
        <v>ระวีวรรณ</v>
      </c>
      <c r="K306" s="1" t="str">
        <f>IFERROR(__xludf.DUMMYFUNCTION("""COMPUTED_VALUE"""),"สินธุพงษ์")</f>
        <v>สินธุพงษ์</v>
      </c>
      <c r="L306" s="1" t="str">
        <f>IFERROR(__xludf.DUMMYFUNCTION("""COMPUTED_VALUE"""),"ม.5")</f>
        <v>ม.5</v>
      </c>
      <c r="M306" s="1" t="str">
        <f>IFERROR(__xludf.DUMMYFUNCTION("""COMPUTED_VALUE"""),"วิทยาศาสตร์")</f>
        <v>วิทยาศาสตร์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>
        <f>IFERROR(__xludf.DUMMYFUNCTION("""COMPUTED_VALUE"""),2.0)</f>
        <v>2</v>
      </c>
      <c r="B307" s="1">
        <f>IFERROR(__xludf.DUMMYFUNCTION("""COMPUTED_VALUE"""),1.0)</f>
        <v>1</v>
      </c>
      <c r="C307" s="1" t="str">
        <f>IFERROR(__xludf.DUMMYFUNCTION("""COMPUTED_VALUE"""),"ว30242")</f>
        <v>ว30242</v>
      </c>
      <c r="D307" s="1" t="str">
        <f>IFERROR(__xludf.DUMMYFUNCTION("""COMPUTED_VALUE"""),"ชีววิทยา 2")</f>
        <v>ชีววิทยา 2</v>
      </c>
      <c r="E307" s="1">
        <f>IFERROR(__xludf.DUMMYFUNCTION("""COMPUTED_VALUE"""),1.5)</f>
        <v>1.5</v>
      </c>
      <c r="F307" s="1">
        <f>IFERROR(__xludf.DUMMYFUNCTION("""COMPUTED_VALUE"""),2569.0)</f>
        <v>2569</v>
      </c>
      <c r="G307" s="1">
        <f>IFERROR(__xludf.DUMMYFUNCTION("""COMPUTED_VALUE"""),1.0)</f>
        <v>1</v>
      </c>
      <c r="H307" s="1">
        <f>IFERROR(__xludf.DUMMYFUNCTION("""COMPUTED_VALUE"""),354.0)</f>
        <v>354</v>
      </c>
      <c r="I307" s="1" t="str">
        <f>IFERROR(__xludf.DUMMYFUNCTION("""COMPUTED_VALUE"""),"นาง")</f>
        <v>นาง</v>
      </c>
      <c r="J307" s="1" t="str">
        <f>IFERROR(__xludf.DUMMYFUNCTION("""COMPUTED_VALUE"""),"ระวีวรรณ")</f>
        <v>ระวีวรรณ</v>
      </c>
      <c r="K307" s="1" t="str">
        <f>IFERROR(__xludf.DUMMYFUNCTION("""COMPUTED_VALUE"""),"สินธุพงษ์")</f>
        <v>สินธุพงษ์</v>
      </c>
      <c r="L307" s="1" t="str">
        <f>IFERROR(__xludf.DUMMYFUNCTION("""COMPUTED_VALUE"""),"ม.5")</f>
        <v>ม.5</v>
      </c>
      <c r="M307" s="1" t="str">
        <f>IFERROR(__xludf.DUMMYFUNCTION("""COMPUTED_VALUE"""),"วิทยาศาสตร์")</f>
        <v>วิทยาศาสตร์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>
        <f>IFERROR(__xludf.DUMMYFUNCTION("""COMPUTED_VALUE"""),3.0)</f>
        <v>3</v>
      </c>
      <c r="B308" s="1">
        <f>IFERROR(__xludf.DUMMYFUNCTION("""COMPUTED_VALUE"""),1.0)</f>
        <v>1</v>
      </c>
      <c r="C308" s="1" t="str">
        <f>IFERROR(__xludf.DUMMYFUNCTION("""COMPUTED_VALUE"""),"ว30242")</f>
        <v>ว30242</v>
      </c>
      <c r="D308" s="1" t="str">
        <f>IFERROR(__xludf.DUMMYFUNCTION("""COMPUTED_VALUE"""),"ชีววิทยา 2")</f>
        <v>ชีววิทยา 2</v>
      </c>
      <c r="E308" s="1">
        <f>IFERROR(__xludf.DUMMYFUNCTION("""COMPUTED_VALUE"""),1.5)</f>
        <v>1.5</v>
      </c>
      <c r="F308" s="1">
        <f>IFERROR(__xludf.DUMMYFUNCTION("""COMPUTED_VALUE"""),2569.0)</f>
        <v>2569</v>
      </c>
      <c r="G308" s="1">
        <f>IFERROR(__xludf.DUMMYFUNCTION("""COMPUTED_VALUE"""),1.0)</f>
        <v>1</v>
      </c>
      <c r="H308" s="1">
        <f>IFERROR(__xludf.DUMMYFUNCTION("""COMPUTED_VALUE"""),354.0)</f>
        <v>354</v>
      </c>
      <c r="I308" s="1" t="str">
        <f>IFERROR(__xludf.DUMMYFUNCTION("""COMPUTED_VALUE"""),"นาง")</f>
        <v>นาง</v>
      </c>
      <c r="J308" s="1" t="str">
        <f>IFERROR(__xludf.DUMMYFUNCTION("""COMPUTED_VALUE"""),"ระวีวรรณ")</f>
        <v>ระวีวรรณ</v>
      </c>
      <c r="K308" s="1" t="str">
        <f>IFERROR(__xludf.DUMMYFUNCTION("""COMPUTED_VALUE"""),"สินธุพงษ์")</f>
        <v>สินธุพงษ์</v>
      </c>
      <c r="L308" s="1" t="str">
        <f>IFERROR(__xludf.DUMMYFUNCTION("""COMPUTED_VALUE"""),"ม.5")</f>
        <v>ม.5</v>
      </c>
      <c r="M308" s="1" t="str">
        <f>IFERROR(__xludf.DUMMYFUNCTION("""COMPUTED_VALUE"""),"วิทยาศาสตร์")</f>
        <v>วิทยาศาสตร์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>
        <f>IFERROR(__xludf.DUMMYFUNCTION("""COMPUTED_VALUE"""),1.0)</f>
        <v>1</v>
      </c>
      <c r="B309" s="1">
        <f>IFERROR(__xludf.DUMMYFUNCTION("""COMPUTED_VALUE"""),1.0)</f>
        <v>1</v>
      </c>
      <c r="C309" s="1" t="str">
        <f>IFERROR(__xludf.DUMMYFUNCTION("""COMPUTED_VALUE"""),"ส20227")</f>
        <v>ส20227</v>
      </c>
      <c r="D309" s="1" t="str">
        <f>IFERROR(__xludf.DUMMYFUNCTION("""COMPUTED_VALUE"""),"การป้องกันการทุจริต 5")</f>
        <v>การป้องกันการทุจริต 5</v>
      </c>
      <c r="E309" s="1">
        <f>IFERROR(__xludf.DUMMYFUNCTION("""COMPUTED_VALUE"""),0.5)</f>
        <v>0.5</v>
      </c>
      <c r="F309" s="1">
        <f>IFERROR(__xludf.DUMMYFUNCTION("""COMPUTED_VALUE"""),2569.0)</f>
        <v>2569</v>
      </c>
      <c r="G309" s="1">
        <f>IFERROR(__xludf.DUMMYFUNCTION("""COMPUTED_VALUE"""),1.0)</f>
        <v>1</v>
      </c>
      <c r="H309" s="1">
        <f>IFERROR(__xludf.DUMMYFUNCTION("""COMPUTED_VALUE"""),354.0)</f>
        <v>354</v>
      </c>
      <c r="I309" s="1" t="str">
        <f>IFERROR(__xludf.DUMMYFUNCTION("""COMPUTED_VALUE"""),"นาง")</f>
        <v>นาง</v>
      </c>
      <c r="J309" s="1" t="str">
        <f>IFERROR(__xludf.DUMMYFUNCTION("""COMPUTED_VALUE"""),"ระวีวรรณ")</f>
        <v>ระวีวรรณ</v>
      </c>
      <c r="K309" s="1" t="str">
        <f>IFERROR(__xludf.DUMMYFUNCTION("""COMPUTED_VALUE"""),"สินธุพงษ์")</f>
        <v>สินธุพงษ์</v>
      </c>
      <c r="L309" s="1" t="str">
        <f>IFERROR(__xludf.DUMMYFUNCTION("""COMPUTED_VALUE"""),"ม.3")</f>
        <v>ม.3</v>
      </c>
      <c r="M309" s="1" t="str">
        <f>IFERROR(__xludf.DUMMYFUNCTION("""COMPUTED_VALUE"""),"วิทยาศาสตร์")</f>
        <v>วิทยาศาสตร์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>
        <f>IFERROR(__xludf.DUMMYFUNCTION("""COMPUTED_VALUE"""),1.0)</f>
        <v>1</v>
      </c>
      <c r="B310" s="1">
        <f>IFERROR(__xludf.DUMMYFUNCTION("""COMPUTED_VALUE"""),1.0)</f>
        <v>1</v>
      </c>
      <c r="C310" s="1" t="str">
        <f>IFERROR(__xludf.DUMMYFUNCTION("""COMPUTED_VALUE"""),"ว30103")</f>
        <v>ว30103</v>
      </c>
      <c r="D310" s="1" t="str">
        <f>IFERROR(__xludf.DUMMYFUNCTION("""COMPUTED_VALUE"""),"วิทยาศาสตร์กายภาพฟิสิกส์")</f>
        <v>วิทยาศาสตร์กายภาพฟิสิกส์</v>
      </c>
      <c r="E310" s="1">
        <f>IFERROR(__xludf.DUMMYFUNCTION("""COMPUTED_VALUE"""),1.5)</f>
        <v>1.5</v>
      </c>
      <c r="F310" s="1">
        <f>IFERROR(__xludf.DUMMYFUNCTION("""COMPUTED_VALUE"""),2569.0)</f>
        <v>2569</v>
      </c>
      <c r="G310" s="1">
        <f>IFERROR(__xludf.DUMMYFUNCTION("""COMPUTED_VALUE"""),1.0)</f>
        <v>1</v>
      </c>
      <c r="H310" s="1">
        <f>IFERROR(__xludf.DUMMYFUNCTION("""COMPUTED_VALUE"""),355.0)</f>
        <v>355</v>
      </c>
      <c r="I310" s="1" t="str">
        <f>IFERROR(__xludf.DUMMYFUNCTION("""COMPUTED_VALUE"""),"นาง")</f>
        <v>นาง</v>
      </c>
      <c r="J310" s="1" t="str">
        <f>IFERROR(__xludf.DUMMYFUNCTION("""COMPUTED_VALUE"""),"เมธาวี")</f>
        <v>เมธาวี</v>
      </c>
      <c r="K310" s="1" t="str">
        <f>IFERROR(__xludf.DUMMYFUNCTION("""COMPUTED_VALUE"""),"วัฒนวงศ์")</f>
        <v>วัฒนวงศ์</v>
      </c>
      <c r="L310" s="1" t="str">
        <f>IFERROR(__xludf.DUMMYFUNCTION("""COMPUTED_VALUE"""),"ม.4")</f>
        <v>ม.4</v>
      </c>
      <c r="M310" s="1" t="str">
        <f>IFERROR(__xludf.DUMMYFUNCTION("""COMPUTED_VALUE"""),"วิทยาศาสตร์")</f>
        <v>วิทยาศาสตร์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>
        <f>IFERROR(__xludf.DUMMYFUNCTION("""COMPUTED_VALUE"""),2.0)</f>
        <v>2</v>
      </c>
      <c r="B311" s="1">
        <f>IFERROR(__xludf.DUMMYFUNCTION("""COMPUTED_VALUE"""),1.0)</f>
        <v>1</v>
      </c>
      <c r="C311" s="1" t="str">
        <f>IFERROR(__xludf.DUMMYFUNCTION("""COMPUTED_VALUE"""),"ว30103")</f>
        <v>ว30103</v>
      </c>
      <c r="D311" s="1" t="str">
        <f>IFERROR(__xludf.DUMMYFUNCTION("""COMPUTED_VALUE"""),"วิทยาศาสตร์กายภาพฟิสิกส์")</f>
        <v>วิทยาศาสตร์กายภาพฟิสิกส์</v>
      </c>
      <c r="E311" s="1">
        <f>IFERROR(__xludf.DUMMYFUNCTION("""COMPUTED_VALUE"""),1.5)</f>
        <v>1.5</v>
      </c>
      <c r="F311" s="1">
        <f>IFERROR(__xludf.DUMMYFUNCTION("""COMPUTED_VALUE"""),2569.0)</f>
        <v>2569</v>
      </c>
      <c r="G311" s="1">
        <f>IFERROR(__xludf.DUMMYFUNCTION("""COMPUTED_VALUE"""),1.0)</f>
        <v>1</v>
      </c>
      <c r="H311" s="1">
        <f>IFERROR(__xludf.DUMMYFUNCTION("""COMPUTED_VALUE"""),355.0)</f>
        <v>355</v>
      </c>
      <c r="I311" s="1" t="str">
        <f>IFERROR(__xludf.DUMMYFUNCTION("""COMPUTED_VALUE"""),"นาง")</f>
        <v>นาง</v>
      </c>
      <c r="J311" s="1" t="str">
        <f>IFERROR(__xludf.DUMMYFUNCTION("""COMPUTED_VALUE"""),"เมธาวี")</f>
        <v>เมธาวี</v>
      </c>
      <c r="K311" s="1" t="str">
        <f>IFERROR(__xludf.DUMMYFUNCTION("""COMPUTED_VALUE"""),"วัฒนวงศ์")</f>
        <v>วัฒนวงศ์</v>
      </c>
      <c r="L311" s="1" t="str">
        <f>IFERROR(__xludf.DUMMYFUNCTION("""COMPUTED_VALUE"""),"ม.4")</f>
        <v>ม.4</v>
      </c>
      <c r="M311" s="1" t="str">
        <f>IFERROR(__xludf.DUMMYFUNCTION("""COMPUTED_VALUE"""),"วิทยาศาสตร์")</f>
        <v>วิทยาศาสตร์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>
        <f>IFERROR(__xludf.DUMMYFUNCTION("""COMPUTED_VALUE"""),3.0)</f>
        <v>3</v>
      </c>
      <c r="B312" s="1">
        <f>IFERROR(__xludf.DUMMYFUNCTION("""COMPUTED_VALUE"""),1.0)</f>
        <v>1</v>
      </c>
      <c r="C312" s="1" t="str">
        <f>IFERROR(__xludf.DUMMYFUNCTION("""COMPUTED_VALUE"""),"ว30103")</f>
        <v>ว30103</v>
      </c>
      <c r="D312" s="1" t="str">
        <f>IFERROR(__xludf.DUMMYFUNCTION("""COMPUTED_VALUE"""),"วิทยาศาสตร์กายภาพฟิสิกส์")</f>
        <v>วิทยาศาสตร์กายภาพฟิสิกส์</v>
      </c>
      <c r="E312" s="1">
        <f>IFERROR(__xludf.DUMMYFUNCTION("""COMPUTED_VALUE"""),1.5)</f>
        <v>1.5</v>
      </c>
      <c r="F312" s="1">
        <f>IFERROR(__xludf.DUMMYFUNCTION("""COMPUTED_VALUE"""),2569.0)</f>
        <v>2569</v>
      </c>
      <c r="G312" s="1">
        <f>IFERROR(__xludf.DUMMYFUNCTION("""COMPUTED_VALUE"""),1.0)</f>
        <v>1</v>
      </c>
      <c r="H312" s="1">
        <f>IFERROR(__xludf.DUMMYFUNCTION("""COMPUTED_VALUE"""),355.0)</f>
        <v>355</v>
      </c>
      <c r="I312" s="1" t="str">
        <f>IFERROR(__xludf.DUMMYFUNCTION("""COMPUTED_VALUE"""),"นาง")</f>
        <v>นาง</v>
      </c>
      <c r="J312" s="1" t="str">
        <f>IFERROR(__xludf.DUMMYFUNCTION("""COMPUTED_VALUE"""),"เมธาวี")</f>
        <v>เมธาวี</v>
      </c>
      <c r="K312" s="1" t="str">
        <f>IFERROR(__xludf.DUMMYFUNCTION("""COMPUTED_VALUE"""),"วัฒนวงศ์")</f>
        <v>วัฒนวงศ์</v>
      </c>
      <c r="L312" s="1" t="str">
        <f>IFERROR(__xludf.DUMMYFUNCTION("""COMPUTED_VALUE"""),"ม.4")</f>
        <v>ม.4</v>
      </c>
      <c r="M312" s="1" t="str">
        <f>IFERROR(__xludf.DUMMYFUNCTION("""COMPUTED_VALUE"""),"วิทยาศาสตร์")</f>
        <v>วิทยาศาสตร์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>
        <f>IFERROR(__xludf.DUMMYFUNCTION("""COMPUTED_VALUE"""),2.0)</f>
        <v>2</v>
      </c>
      <c r="B313" s="1">
        <f>IFERROR(__xludf.DUMMYFUNCTION("""COMPUTED_VALUE"""),2.0)</f>
        <v>2</v>
      </c>
      <c r="C313" s="1" t="str">
        <f>IFERROR(__xludf.DUMMYFUNCTION("""COMPUTED_VALUE"""),"ว30211")</f>
        <v>ว30211</v>
      </c>
      <c r="D313" s="1" t="str">
        <f>IFERROR(__xludf.DUMMYFUNCTION("""COMPUTED_VALUE"""),"ปฎิบัติการทางวิทยาศาสตร์1")</f>
        <v>ปฎิบัติการทางวิทยาศาสตร์1</v>
      </c>
      <c r="E313" s="1">
        <f>IFERROR(__xludf.DUMMYFUNCTION("""COMPUTED_VALUE"""),1.0)</f>
        <v>1</v>
      </c>
      <c r="F313" s="1">
        <f>IFERROR(__xludf.DUMMYFUNCTION("""COMPUTED_VALUE"""),2569.0)</f>
        <v>2569</v>
      </c>
      <c r="G313" s="1">
        <f>IFERROR(__xludf.DUMMYFUNCTION("""COMPUTED_VALUE"""),1.0)</f>
        <v>1</v>
      </c>
      <c r="H313" s="1">
        <f>IFERROR(__xludf.DUMMYFUNCTION("""COMPUTED_VALUE"""),355.0)</f>
        <v>355</v>
      </c>
      <c r="I313" s="1" t="str">
        <f>IFERROR(__xludf.DUMMYFUNCTION("""COMPUTED_VALUE"""),"นาง")</f>
        <v>นาง</v>
      </c>
      <c r="J313" s="1" t="str">
        <f>IFERROR(__xludf.DUMMYFUNCTION("""COMPUTED_VALUE"""),"เมธาวี")</f>
        <v>เมธาวี</v>
      </c>
      <c r="K313" s="1" t="str">
        <f>IFERROR(__xludf.DUMMYFUNCTION("""COMPUTED_VALUE"""),"วัฒนวงศ์")</f>
        <v>วัฒนวงศ์</v>
      </c>
      <c r="L313" s="1" t="str">
        <f>IFERROR(__xludf.DUMMYFUNCTION("""COMPUTED_VALUE"""),"ม.4")</f>
        <v>ม.4</v>
      </c>
      <c r="M313" s="1" t="str">
        <f>IFERROR(__xludf.DUMMYFUNCTION("""COMPUTED_VALUE"""),"วิทยาศาสตร์")</f>
        <v>วิทยาศาสตร์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>
        <f>IFERROR(__xludf.DUMMYFUNCTION("""COMPUTED_VALUE"""),1.0)</f>
        <v>1</v>
      </c>
      <c r="B314" s="1">
        <f>IFERROR(__xludf.DUMMYFUNCTION("""COMPUTED_VALUE"""),1.0)</f>
        <v>1</v>
      </c>
      <c r="C314" s="1" t="str">
        <f>IFERROR(__xludf.DUMMYFUNCTION("""COMPUTED_VALUE"""),"ว30217")</f>
        <v>ว30217</v>
      </c>
      <c r="D314" s="1" t="str">
        <f>IFERROR(__xludf.DUMMYFUNCTION("""COMPUTED_VALUE"""),"กลศาสตร์")</f>
        <v>กลศาสตร์</v>
      </c>
      <c r="E314" s="1">
        <f>IFERROR(__xludf.DUMMYFUNCTION("""COMPUTED_VALUE"""),1.0)</f>
        <v>1</v>
      </c>
      <c r="F314" s="1">
        <f>IFERROR(__xludf.DUMMYFUNCTION("""COMPUTED_VALUE"""),2569.0)</f>
        <v>2569</v>
      </c>
      <c r="G314" s="1">
        <f>IFERROR(__xludf.DUMMYFUNCTION("""COMPUTED_VALUE"""),1.0)</f>
        <v>1</v>
      </c>
      <c r="H314" s="1">
        <f>IFERROR(__xludf.DUMMYFUNCTION("""COMPUTED_VALUE"""),355.0)</f>
        <v>355</v>
      </c>
      <c r="I314" s="1" t="str">
        <f>IFERROR(__xludf.DUMMYFUNCTION("""COMPUTED_VALUE"""),"นาง")</f>
        <v>นาง</v>
      </c>
      <c r="J314" s="1" t="str">
        <f>IFERROR(__xludf.DUMMYFUNCTION("""COMPUTED_VALUE"""),"เมธาวี")</f>
        <v>เมธาวี</v>
      </c>
      <c r="K314" s="1" t="str">
        <f>IFERROR(__xludf.DUMMYFUNCTION("""COMPUTED_VALUE"""),"วัฒนวงศ์")</f>
        <v>วัฒนวงศ์</v>
      </c>
      <c r="L314" s="1" t="str">
        <f>IFERROR(__xludf.DUMMYFUNCTION("""COMPUTED_VALUE"""),"ม.4")</f>
        <v>ม.4</v>
      </c>
      <c r="M314" s="1" t="str">
        <f>IFERROR(__xludf.DUMMYFUNCTION("""COMPUTED_VALUE"""),"วิทยาศาสตร์")</f>
        <v>วิทยาศาสตร์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>
        <f>IFERROR(__xludf.DUMMYFUNCTION("""COMPUTED_VALUE"""),2.0)</f>
        <v>2</v>
      </c>
      <c r="B315" s="1">
        <f>IFERROR(__xludf.DUMMYFUNCTION("""COMPUTED_VALUE"""),2.0)</f>
        <v>2</v>
      </c>
      <c r="C315" s="1" t="str">
        <f>IFERROR(__xludf.DUMMYFUNCTION("""COMPUTED_VALUE"""),"ส30247")</f>
        <v>ส30247</v>
      </c>
      <c r="D315" s="1" t="str">
        <f>IFERROR(__xludf.DUMMYFUNCTION("""COMPUTED_VALUE"""),"การป้องกันการทุจริต 1")</f>
        <v>การป้องกันการทุจริต 1</v>
      </c>
      <c r="E315" s="1">
        <f>IFERROR(__xludf.DUMMYFUNCTION("""COMPUTED_VALUE"""),0.5)</f>
        <v>0.5</v>
      </c>
      <c r="F315" s="1">
        <f>IFERROR(__xludf.DUMMYFUNCTION("""COMPUTED_VALUE"""),2569.0)</f>
        <v>2569</v>
      </c>
      <c r="G315" s="1">
        <f>IFERROR(__xludf.DUMMYFUNCTION("""COMPUTED_VALUE"""),1.0)</f>
        <v>1</v>
      </c>
      <c r="H315" s="1">
        <f>IFERROR(__xludf.DUMMYFUNCTION("""COMPUTED_VALUE"""),355.0)</f>
        <v>355</v>
      </c>
      <c r="I315" s="1" t="str">
        <f>IFERROR(__xludf.DUMMYFUNCTION("""COMPUTED_VALUE"""),"นาง")</f>
        <v>นาง</v>
      </c>
      <c r="J315" s="1" t="str">
        <f>IFERROR(__xludf.DUMMYFUNCTION("""COMPUTED_VALUE"""),"เมธาวี")</f>
        <v>เมธาวี</v>
      </c>
      <c r="K315" s="1" t="str">
        <f>IFERROR(__xludf.DUMMYFUNCTION("""COMPUTED_VALUE"""),"วัฒนวงศ์")</f>
        <v>วัฒนวงศ์</v>
      </c>
      <c r="L315" s="1" t="str">
        <f>IFERROR(__xludf.DUMMYFUNCTION("""COMPUTED_VALUE"""),"ม.4")</f>
        <v>ม.4</v>
      </c>
      <c r="M315" s="1" t="str">
        <f>IFERROR(__xludf.DUMMYFUNCTION("""COMPUTED_VALUE"""),"วิทยาศาสตร์")</f>
        <v>วิทยาศาสตร์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>
        <f>IFERROR(__xludf.DUMMYFUNCTION("""COMPUTED_VALUE"""),1.0)</f>
        <v>1</v>
      </c>
      <c r="B316" s="1">
        <f>IFERROR(__xludf.DUMMYFUNCTION("""COMPUTED_VALUE"""),1.0)</f>
        <v>1</v>
      </c>
      <c r="C316" s="1" t="str">
        <f>IFERROR(__xludf.DUMMYFUNCTION("""COMPUTED_VALUE"""),"ง20243")</f>
        <v>ง20243</v>
      </c>
      <c r="D316" s="1" t="str">
        <f>IFERROR(__xludf.DUMMYFUNCTION("""COMPUTED_VALUE"""),"ช่างหล่อ")</f>
        <v>ช่างหล่อ</v>
      </c>
      <c r="E316" s="1">
        <f>IFERROR(__xludf.DUMMYFUNCTION("""COMPUTED_VALUE"""),1.0)</f>
        <v>1</v>
      </c>
      <c r="F316" s="1">
        <f>IFERROR(__xludf.DUMMYFUNCTION("""COMPUTED_VALUE"""),2569.0)</f>
        <v>2569</v>
      </c>
      <c r="G316" s="1">
        <f>IFERROR(__xludf.DUMMYFUNCTION("""COMPUTED_VALUE"""),1.0)</f>
        <v>1</v>
      </c>
      <c r="H316" s="1">
        <f>IFERROR(__xludf.DUMMYFUNCTION("""COMPUTED_VALUE"""),356.0)</f>
        <v>356</v>
      </c>
      <c r="I316" s="1" t="str">
        <f>IFERROR(__xludf.DUMMYFUNCTION("""COMPUTED_VALUE"""),"นางสาว")</f>
        <v>นางสาว</v>
      </c>
      <c r="J316" s="1" t="str">
        <f>IFERROR(__xludf.DUMMYFUNCTION("""COMPUTED_VALUE"""),"ภรณ์มิน")</f>
        <v>ภรณ์มิน</v>
      </c>
      <c r="K316" s="1" t="str">
        <f>IFERROR(__xludf.DUMMYFUNCTION("""COMPUTED_VALUE"""),"โสภาพล")</f>
        <v>โสภาพล</v>
      </c>
      <c r="L316" s="1" t="str">
        <f>IFERROR(__xludf.DUMMYFUNCTION("""COMPUTED_VALUE"""),"ม.2")</f>
        <v>ม.2</v>
      </c>
      <c r="M316" s="1" t="str">
        <f>IFERROR(__xludf.DUMMYFUNCTION("""COMPUTED_VALUE"""),"วิทยาศาสตร์")</f>
        <v>วิทยาศาสตร์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>
        <f>IFERROR(__xludf.DUMMYFUNCTION("""COMPUTED_VALUE"""),1.0)</f>
        <v>1</v>
      </c>
      <c r="B317" s="1">
        <f>IFERROR(__xludf.DUMMYFUNCTION("""COMPUTED_VALUE"""),1.0)</f>
        <v>1</v>
      </c>
      <c r="C317" s="1" t="str">
        <f>IFERROR(__xludf.DUMMYFUNCTION("""COMPUTED_VALUE"""),"ง22101")</f>
        <v>ง22101</v>
      </c>
      <c r="D317" s="1" t="str">
        <f>IFERROR(__xludf.DUMMYFUNCTION("""COMPUTED_VALUE"""),"การงานอาชีพฯ 3")</f>
        <v>การงานอาชีพฯ 3</v>
      </c>
      <c r="E317" s="1">
        <f>IFERROR(__xludf.DUMMYFUNCTION("""COMPUTED_VALUE"""),0.5)</f>
        <v>0.5</v>
      </c>
      <c r="F317" s="1">
        <f>IFERROR(__xludf.DUMMYFUNCTION("""COMPUTED_VALUE"""),2569.0)</f>
        <v>2569</v>
      </c>
      <c r="G317" s="1">
        <f>IFERROR(__xludf.DUMMYFUNCTION("""COMPUTED_VALUE"""),1.0)</f>
        <v>1</v>
      </c>
      <c r="H317" s="1">
        <f>IFERROR(__xludf.DUMMYFUNCTION("""COMPUTED_VALUE"""),356.0)</f>
        <v>356</v>
      </c>
      <c r="I317" s="1" t="str">
        <f>IFERROR(__xludf.DUMMYFUNCTION("""COMPUTED_VALUE"""),"นางสาว")</f>
        <v>นางสาว</v>
      </c>
      <c r="J317" s="1" t="str">
        <f>IFERROR(__xludf.DUMMYFUNCTION("""COMPUTED_VALUE"""),"ภรณ์มิน")</f>
        <v>ภรณ์มิน</v>
      </c>
      <c r="K317" s="1" t="str">
        <f>IFERROR(__xludf.DUMMYFUNCTION("""COMPUTED_VALUE"""),"โสภาพล")</f>
        <v>โสภาพล</v>
      </c>
      <c r="L317" s="1" t="str">
        <f>IFERROR(__xludf.DUMMYFUNCTION("""COMPUTED_VALUE"""),"ม.2")</f>
        <v>ม.2</v>
      </c>
      <c r="M317" s="1" t="str">
        <f>IFERROR(__xludf.DUMMYFUNCTION("""COMPUTED_VALUE"""),"วิทยาศาสตร์")</f>
        <v>วิทยาศาสตร์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>
        <f>IFERROR(__xludf.DUMMYFUNCTION("""COMPUTED_VALUE"""),2.0)</f>
        <v>2</v>
      </c>
      <c r="B318" s="1">
        <f>IFERROR(__xludf.DUMMYFUNCTION("""COMPUTED_VALUE"""),1.0)</f>
        <v>1</v>
      </c>
      <c r="C318" s="1" t="str">
        <f>IFERROR(__xludf.DUMMYFUNCTION("""COMPUTED_VALUE"""),"ง22101")</f>
        <v>ง22101</v>
      </c>
      <c r="D318" s="1" t="str">
        <f>IFERROR(__xludf.DUMMYFUNCTION("""COMPUTED_VALUE"""),"การงานอาชีพฯ 3")</f>
        <v>การงานอาชีพฯ 3</v>
      </c>
      <c r="E318" s="1">
        <f>IFERROR(__xludf.DUMMYFUNCTION("""COMPUTED_VALUE"""),0.5)</f>
        <v>0.5</v>
      </c>
      <c r="F318" s="1">
        <f>IFERROR(__xludf.DUMMYFUNCTION("""COMPUTED_VALUE"""),2569.0)</f>
        <v>2569</v>
      </c>
      <c r="G318" s="1">
        <f>IFERROR(__xludf.DUMMYFUNCTION("""COMPUTED_VALUE"""),1.0)</f>
        <v>1</v>
      </c>
      <c r="H318" s="1">
        <f>IFERROR(__xludf.DUMMYFUNCTION("""COMPUTED_VALUE"""),356.0)</f>
        <v>356</v>
      </c>
      <c r="I318" s="1" t="str">
        <f>IFERROR(__xludf.DUMMYFUNCTION("""COMPUTED_VALUE"""),"นางสาว")</f>
        <v>นางสาว</v>
      </c>
      <c r="J318" s="1" t="str">
        <f>IFERROR(__xludf.DUMMYFUNCTION("""COMPUTED_VALUE"""),"ภรณ์มิน")</f>
        <v>ภรณ์มิน</v>
      </c>
      <c r="K318" s="1" t="str">
        <f>IFERROR(__xludf.DUMMYFUNCTION("""COMPUTED_VALUE"""),"โสภาพล")</f>
        <v>โสภาพล</v>
      </c>
      <c r="L318" s="1" t="str">
        <f>IFERROR(__xludf.DUMMYFUNCTION("""COMPUTED_VALUE"""),"ม.2")</f>
        <v>ม.2</v>
      </c>
      <c r="M318" s="1" t="str">
        <f>IFERROR(__xludf.DUMMYFUNCTION("""COMPUTED_VALUE"""),"วิทยาศาสตร์")</f>
        <v>วิทยาศาสตร์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>
        <f>IFERROR(__xludf.DUMMYFUNCTION("""COMPUTED_VALUE"""),3.0)</f>
        <v>3</v>
      </c>
      <c r="B319" s="1">
        <f>IFERROR(__xludf.DUMMYFUNCTION("""COMPUTED_VALUE"""),1.0)</f>
        <v>1</v>
      </c>
      <c r="C319" s="1" t="str">
        <f>IFERROR(__xludf.DUMMYFUNCTION("""COMPUTED_VALUE"""),"ง22101")</f>
        <v>ง22101</v>
      </c>
      <c r="D319" s="1" t="str">
        <f>IFERROR(__xludf.DUMMYFUNCTION("""COMPUTED_VALUE"""),"การงานอาชีพฯ 3")</f>
        <v>การงานอาชีพฯ 3</v>
      </c>
      <c r="E319" s="1">
        <f>IFERROR(__xludf.DUMMYFUNCTION("""COMPUTED_VALUE"""),0.5)</f>
        <v>0.5</v>
      </c>
      <c r="F319" s="1">
        <f>IFERROR(__xludf.DUMMYFUNCTION("""COMPUTED_VALUE"""),2569.0)</f>
        <v>2569</v>
      </c>
      <c r="G319" s="1">
        <f>IFERROR(__xludf.DUMMYFUNCTION("""COMPUTED_VALUE"""),1.0)</f>
        <v>1</v>
      </c>
      <c r="H319" s="1">
        <f>IFERROR(__xludf.DUMMYFUNCTION("""COMPUTED_VALUE"""),356.0)</f>
        <v>356</v>
      </c>
      <c r="I319" s="1" t="str">
        <f>IFERROR(__xludf.DUMMYFUNCTION("""COMPUTED_VALUE"""),"นางสาว")</f>
        <v>นางสาว</v>
      </c>
      <c r="J319" s="1" t="str">
        <f>IFERROR(__xludf.DUMMYFUNCTION("""COMPUTED_VALUE"""),"ภรณ์มิน")</f>
        <v>ภรณ์มิน</v>
      </c>
      <c r="K319" s="1" t="str">
        <f>IFERROR(__xludf.DUMMYFUNCTION("""COMPUTED_VALUE"""),"โสภาพล")</f>
        <v>โสภาพล</v>
      </c>
      <c r="L319" s="1" t="str">
        <f>IFERROR(__xludf.DUMMYFUNCTION("""COMPUTED_VALUE"""),"ม.2")</f>
        <v>ม.2</v>
      </c>
      <c r="M319" s="1" t="str">
        <f>IFERROR(__xludf.DUMMYFUNCTION("""COMPUTED_VALUE"""),"วิทยาศาสตร์")</f>
        <v>วิทยาศาสตร์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>
        <f>IFERROR(__xludf.DUMMYFUNCTION("""COMPUTED_VALUE"""),4.0)</f>
        <v>4</v>
      </c>
      <c r="B320" s="1">
        <f>IFERROR(__xludf.DUMMYFUNCTION("""COMPUTED_VALUE"""),1.0)</f>
        <v>1</v>
      </c>
      <c r="C320" s="1" t="str">
        <f>IFERROR(__xludf.DUMMYFUNCTION("""COMPUTED_VALUE"""),"ง22101")</f>
        <v>ง22101</v>
      </c>
      <c r="D320" s="1" t="str">
        <f>IFERROR(__xludf.DUMMYFUNCTION("""COMPUTED_VALUE"""),"การงานอาชีพฯ 3")</f>
        <v>การงานอาชีพฯ 3</v>
      </c>
      <c r="E320" s="1">
        <f>IFERROR(__xludf.DUMMYFUNCTION("""COMPUTED_VALUE"""),0.5)</f>
        <v>0.5</v>
      </c>
      <c r="F320" s="1">
        <f>IFERROR(__xludf.DUMMYFUNCTION("""COMPUTED_VALUE"""),2569.0)</f>
        <v>2569</v>
      </c>
      <c r="G320" s="1">
        <f>IFERROR(__xludf.DUMMYFUNCTION("""COMPUTED_VALUE"""),1.0)</f>
        <v>1</v>
      </c>
      <c r="H320" s="1">
        <f>IFERROR(__xludf.DUMMYFUNCTION("""COMPUTED_VALUE"""),356.0)</f>
        <v>356</v>
      </c>
      <c r="I320" s="1" t="str">
        <f>IFERROR(__xludf.DUMMYFUNCTION("""COMPUTED_VALUE"""),"นางสาว")</f>
        <v>นางสาว</v>
      </c>
      <c r="J320" s="1" t="str">
        <f>IFERROR(__xludf.DUMMYFUNCTION("""COMPUTED_VALUE"""),"ภรณ์มิน")</f>
        <v>ภรณ์มิน</v>
      </c>
      <c r="K320" s="1" t="str">
        <f>IFERROR(__xludf.DUMMYFUNCTION("""COMPUTED_VALUE"""),"โสภาพล")</f>
        <v>โสภาพล</v>
      </c>
      <c r="L320" s="1" t="str">
        <f>IFERROR(__xludf.DUMMYFUNCTION("""COMPUTED_VALUE"""),"ม.2")</f>
        <v>ม.2</v>
      </c>
      <c r="M320" s="1" t="str">
        <f>IFERROR(__xludf.DUMMYFUNCTION("""COMPUTED_VALUE"""),"วิทยาศาสตร์")</f>
        <v>วิทยาศาสตร์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>
        <f>IFERROR(__xludf.DUMMYFUNCTION("""COMPUTED_VALUE"""),5.0)</f>
        <v>5</v>
      </c>
      <c r="B321" s="1">
        <f>IFERROR(__xludf.DUMMYFUNCTION("""COMPUTED_VALUE"""),1.0)</f>
        <v>1</v>
      </c>
      <c r="C321" s="1" t="str">
        <f>IFERROR(__xludf.DUMMYFUNCTION("""COMPUTED_VALUE"""),"ง22101")</f>
        <v>ง22101</v>
      </c>
      <c r="D321" s="1" t="str">
        <f>IFERROR(__xludf.DUMMYFUNCTION("""COMPUTED_VALUE"""),"การงานอาชีพฯ 3")</f>
        <v>การงานอาชีพฯ 3</v>
      </c>
      <c r="E321" s="1">
        <f>IFERROR(__xludf.DUMMYFUNCTION("""COMPUTED_VALUE"""),0.5)</f>
        <v>0.5</v>
      </c>
      <c r="F321" s="1">
        <f>IFERROR(__xludf.DUMMYFUNCTION("""COMPUTED_VALUE"""),2569.0)</f>
        <v>2569</v>
      </c>
      <c r="G321" s="1">
        <f>IFERROR(__xludf.DUMMYFUNCTION("""COMPUTED_VALUE"""),1.0)</f>
        <v>1</v>
      </c>
      <c r="H321" s="1">
        <f>IFERROR(__xludf.DUMMYFUNCTION("""COMPUTED_VALUE"""),356.0)</f>
        <v>356</v>
      </c>
      <c r="I321" s="1" t="str">
        <f>IFERROR(__xludf.DUMMYFUNCTION("""COMPUTED_VALUE"""),"นางสาว")</f>
        <v>นางสาว</v>
      </c>
      <c r="J321" s="1" t="str">
        <f>IFERROR(__xludf.DUMMYFUNCTION("""COMPUTED_VALUE"""),"ภรณ์มิน")</f>
        <v>ภรณ์มิน</v>
      </c>
      <c r="K321" s="1" t="str">
        <f>IFERROR(__xludf.DUMMYFUNCTION("""COMPUTED_VALUE"""),"โสภาพล")</f>
        <v>โสภาพล</v>
      </c>
      <c r="L321" s="1" t="str">
        <f>IFERROR(__xludf.DUMMYFUNCTION("""COMPUTED_VALUE"""),"ม.2")</f>
        <v>ม.2</v>
      </c>
      <c r="M321" s="1" t="str">
        <f>IFERROR(__xludf.DUMMYFUNCTION("""COMPUTED_VALUE"""),"วิทยาศาสตร์")</f>
        <v>วิทยาศาสตร์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>
        <f>IFERROR(__xludf.DUMMYFUNCTION("""COMPUTED_VALUE"""),6.0)</f>
        <v>6</v>
      </c>
      <c r="B322" s="1">
        <f>IFERROR(__xludf.DUMMYFUNCTION("""COMPUTED_VALUE"""),1.0)</f>
        <v>1</v>
      </c>
      <c r="C322" s="1" t="str">
        <f>IFERROR(__xludf.DUMMYFUNCTION("""COMPUTED_VALUE"""),"ง22101")</f>
        <v>ง22101</v>
      </c>
      <c r="D322" s="1" t="str">
        <f>IFERROR(__xludf.DUMMYFUNCTION("""COMPUTED_VALUE"""),"การงานอาชีพฯ 3")</f>
        <v>การงานอาชีพฯ 3</v>
      </c>
      <c r="E322" s="1">
        <f>IFERROR(__xludf.DUMMYFUNCTION("""COMPUTED_VALUE"""),0.5)</f>
        <v>0.5</v>
      </c>
      <c r="F322" s="1">
        <f>IFERROR(__xludf.DUMMYFUNCTION("""COMPUTED_VALUE"""),2569.0)</f>
        <v>2569</v>
      </c>
      <c r="G322" s="1">
        <f>IFERROR(__xludf.DUMMYFUNCTION("""COMPUTED_VALUE"""),1.0)</f>
        <v>1</v>
      </c>
      <c r="H322" s="1">
        <f>IFERROR(__xludf.DUMMYFUNCTION("""COMPUTED_VALUE"""),356.0)</f>
        <v>356</v>
      </c>
      <c r="I322" s="1" t="str">
        <f>IFERROR(__xludf.DUMMYFUNCTION("""COMPUTED_VALUE"""),"นางสาว")</f>
        <v>นางสาว</v>
      </c>
      <c r="J322" s="1" t="str">
        <f>IFERROR(__xludf.DUMMYFUNCTION("""COMPUTED_VALUE"""),"ภรณ์มิน")</f>
        <v>ภรณ์มิน</v>
      </c>
      <c r="K322" s="1" t="str">
        <f>IFERROR(__xludf.DUMMYFUNCTION("""COMPUTED_VALUE"""),"โสภาพล")</f>
        <v>โสภาพล</v>
      </c>
      <c r="L322" s="1" t="str">
        <f>IFERROR(__xludf.DUMMYFUNCTION("""COMPUTED_VALUE"""),"ม.2")</f>
        <v>ม.2</v>
      </c>
      <c r="M322" s="1" t="str">
        <f>IFERROR(__xludf.DUMMYFUNCTION("""COMPUTED_VALUE"""),"วิทยาศาสตร์")</f>
        <v>วิทยาศาสตร์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>
        <f>IFERROR(__xludf.DUMMYFUNCTION("""COMPUTED_VALUE"""),7.0)</f>
        <v>7</v>
      </c>
      <c r="B323" s="1">
        <f>IFERROR(__xludf.DUMMYFUNCTION("""COMPUTED_VALUE"""),1.0)</f>
        <v>1</v>
      </c>
      <c r="C323" s="1" t="str">
        <f>IFERROR(__xludf.DUMMYFUNCTION("""COMPUTED_VALUE"""),"ง22101")</f>
        <v>ง22101</v>
      </c>
      <c r="D323" s="1" t="str">
        <f>IFERROR(__xludf.DUMMYFUNCTION("""COMPUTED_VALUE"""),"การงานอาชีพฯ 3")</f>
        <v>การงานอาชีพฯ 3</v>
      </c>
      <c r="E323" s="1">
        <f>IFERROR(__xludf.DUMMYFUNCTION("""COMPUTED_VALUE"""),0.5)</f>
        <v>0.5</v>
      </c>
      <c r="F323" s="1">
        <f>IFERROR(__xludf.DUMMYFUNCTION("""COMPUTED_VALUE"""),2569.0)</f>
        <v>2569</v>
      </c>
      <c r="G323" s="1">
        <f>IFERROR(__xludf.DUMMYFUNCTION("""COMPUTED_VALUE"""),1.0)</f>
        <v>1</v>
      </c>
      <c r="H323" s="1">
        <f>IFERROR(__xludf.DUMMYFUNCTION("""COMPUTED_VALUE"""),356.0)</f>
        <v>356</v>
      </c>
      <c r="I323" s="1" t="str">
        <f>IFERROR(__xludf.DUMMYFUNCTION("""COMPUTED_VALUE"""),"นางสาว")</f>
        <v>นางสาว</v>
      </c>
      <c r="J323" s="1" t="str">
        <f>IFERROR(__xludf.DUMMYFUNCTION("""COMPUTED_VALUE"""),"ภรณ์มิน")</f>
        <v>ภรณ์มิน</v>
      </c>
      <c r="K323" s="1" t="str">
        <f>IFERROR(__xludf.DUMMYFUNCTION("""COMPUTED_VALUE"""),"โสภาพล")</f>
        <v>โสภาพล</v>
      </c>
      <c r="L323" s="1" t="str">
        <f>IFERROR(__xludf.DUMMYFUNCTION("""COMPUTED_VALUE"""),"ม.2")</f>
        <v>ม.2</v>
      </c>
      <c r="M323" s="1" t="str">
        <f>IFERROR(__xludf.DUMMYFUNCTION("""COMPUTED_VALUE"""),"วิทยาศาสตร์")</f>
        <v>วิทยาศาสตร์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>
        <f>IFERROR(__xludf.DUMMYFUNCTION("""COMPUTED_VALUE"""),8.0)</f>
        <v>8</v>
      </c>
      <c r="B324" s="1">
        <f>IFERROR(__xludf.DUMMYFUNCTION("""COMPUTED_VALUE"""),1.0)</f>
        <v>1</v>
      </c>
      <c r="C324" s="1" t="str">
        <f>IFERROR(__xludf.DUMMYFUNCTION("""COMPUTED_VALUE"""),"ง30217")</f>
        <v>ง30217</v>
      </c>
      <c r="D324" s="1" t="str">
        <f>IFERROR(__xludf.DUMMYFUNCTION("""COMPUTED_VALUE"""),"อาชีพอุตสากรรมในชุมชน")</f>
        <v>อาชีพอุตสากรรมในชุมชน</v>
      </c>
      <c r="E324" s="1">
        <f>IFERROR(__xludf.DUMMYFUNCTION("""COMPUTED_VALUE"""),1.0)</f>
        <v>1</v>
      </c>
      <c r="F324" s="1">
        <f>IFERROR(__xludf.DUMMYFUNCTION("""COMPUTED_VALUE"""),2569.0)</f>
        <v>2569</v>
      </c>
      <c r="G324" s="1">
        <f>IFERROR(__xludf.DUMMYFUNCTION("""COMPUTED_VALUE"""),1.0)</f>
        <v>1</v>
      </c>
      <c r="H324" s="1">
        <f>IFERROR(__xludf.DUMMYFUNCTION("""COMPUTED_VALUE"""),356.0)</f>
        <v>356</v>
      </c>
      <c r="I324" s="1" t="str">
        <f>IFERROR(__xludf.DUMMYFUNCTION("""COMPUTED_VALUE"""),"นางสาว")</f>
        <v>นางสาว</v>
      </c>
      <c r="J324" s="1" t="str">
        <f>IFERROR(__xludf.DUMMYFUNCTION("""COMPUTED_VALUE"""),"ภรณ์มิน")</f>
        <v>ภรณ์มิน</v>
      </c>
      <c r="K324" s="1" t="str">
        <f>IFERROR(__xludf.DUMMYFUNCTION("""COMPUTED_VALUE"""),"โสภาพล")</f>
        <v>โสภาพล</v>
      </c>
      <c r="L324" s="1" t="str">
        <f>IFERROR(__xludf.DUMMYFUNCTION("""COMPUTED_VALUE"""),"ม.6")</f>
        <v>ม.6</v>
      </c>
      <c r="M324" s="1" t="str">
        <f>IFERROR(__xludf.DUMMYFUNCTION("""COMPUTED_VALUE"""),"วิทยาศาสตร์")</f>
        <v>วิทยาศาสตร์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>
        <f>IFERROR(__xludf.DUMMYFUNCTION("""COMPUTED_VALUE"""),9.0)</f>
        <v>9</v>
      </c>
      <c r="B325" s="1">
        <f>IFERROR(__xludf.DUMMYFUNCTION("""COMPUTED_VALUE"""),1.0)</f>
        <v>1</v>
      </c>
      <c r="C325" s="1" t="str">
        <f>IFERROR(__xludf.DUMMYFUNCTION("""COMPUTED_VALUE"""),"ง30217")</f>
        <v>ง30217</v>
      </c>
      <c r="D325" s="1" t="str">
        <f>IFERROR(__xludf.DUMMYFUNCTION("""COMPUTED_VALUE"""),"อาชีพอุตสากรรมในชุมชน")</f>
        <v>อาชีพอุตสากรรมในชุมชน</v>
      </c>
      <c r="E325" s="1">
        <f>IFERROR(__xludf.DUMMYFUNCTION("""COMPUTED_VALUE"""),1.0)</f>
        <v>1</v>
      </c>
      <c r="F325" s="1">
        <f>IFERROR(__xludf.DUMMYFUNCTION("""COMPUTED_VALUE"""),2569.0)</f>
        <v>2569</v>
      </c>
      <c r="G325" s="1">
        <f>IFERROR(__xludf.DUMMYFUNCTION("""COMPUTED_VALUE"""),1.0)</f>
        <v>1</v>
      </c>
      <c r="H325" s="1">
        <f>IFERROR(__xludf.DUMMYFUNCTION("""COMPUTED_VALUE"""),356.0)</f>
        <v>356</v>
      </c>
      <c r="I325" s="1" t="str">
        <f>IFERROR(__xludf.DUMMYFUNCTION("""COMPUTED_VALUE"""),"นางสาว")</f>
        <v>นางสาว</v>
      </c>
      <c r="J325" s="1" t="str">
        <f>IFERROR(__xludf.DUMMYFUNCTION("""COMPUTED_VALUE"""),"ภรณ์มิน")</f>
        <v>ภรณ์มิน</v>
      </c>
      <c r="K325" s="1" t="str">
        <f>IFERROR(__xludf.DUMMYFUNCTION("""COMPUTED_VALUE"""),"โสภาพล")</f>
        <v>โสภาพล</v>
      </c>
      <c r="L325" s="1" t="str">
        <f>IFERROR(__xludf.DUMMYFUNCTION("""COMPUTED_VALUE"""),"ม.6")</f>
        <v>ม.6</v>
      </c>
      <c r="M325" s="1" t="str">
        <f>IFERROR(__xludf.DUMMYFUNCTION("""COMPUTED_VALUE"""),"วิทยาศาสตร์")</f>
        <v>วิทยาศาสตร์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>
        <f>IFERROR(__xludf.DUMMYFUNCTION("""COMPUTED_VALUE"""),3.0)</f>
        <v>3</v>
      </c>
      <c r="B326" s="1">
        <f>IFERROR(__xludf.DUMMYFUNCTION("""COMPUTED_VALUE"""),2.0)</f>
        <v>2</v>
      </c>
      <c r="C326" s="1" t="str">
        <f>IFERROR(__xludf.DUMMYFUNCTION("""COMPUTED_VALUE"""),"ส20227")</f>
        <v>ส20227</v>
      </c>
      <c r="D326" s="1" t="str">
        <f>IFERROR(__xludf.DUMMYFUNCTION("""COMPUTED_VALUE"""),"การป้องกันการทุจริต 5")</f>
        <v>การป้องกันการทุจริต 5</v>
      </c>
      <c r="E326" s="1">
        <f>IFERROR(__xludf.DUMMYFUNCTION("""COMPUTED_VALUE"""),0.5)</f>
        <v>0.5</v>
      </c>
      <c r="F326" s="1">
        <f>IFERROR(__xludf.DUMMYFUNCTION("""COMPUTED_VALUE"""),2569.0)</f>
        <v>2569</v>
      </c>
      <c r="G326" s="1">
        <f>IFERROR(__xludf.DUMMYFUNCTION("""COMPUTED_VALUE"""),1.0)</f>
        <v>1</v>
      </c>
      <c r="H326" s="1">
        <f>IFERROR(__xludf.DUMMYFUNCTION("""COMPUTED_VALUE"""),356.0)</f>
        <v>356</v>
      </c>
      <c r="I326" s="1" t="str">
        <f>IFERROR(__xludf.DUMMYFUNCTION("""COMPUTED_VALUE"""),"นางสาว")</f>
        <v>นางสาว</v>
      </c>
      <c r="J326" s="1" t="str">
        <f>IFERROR(__xludf.DUMMYFUNCTION("""COMPUTED_VALUE"""),"ภรณ์มิน")</f>
        <v>ภรณ์มิน</v>
      </c>
      <c r="K326" s="1" t="str">
        <f>IFERROR(__xludf.DUMMYFUNCTION("""COMPUTED_VALUE"""),"โสภาพล")</f>
        <v>โสภาพล</v>
      </c>
      <c r="L326" s="1" t="str">
        <f>IFERROR(__xludf.DUMMYFUNCTION("""COMPUTED_VALUE"""),"ม.3")</f>
        <v>ม.3</v>
      </c>
      <c r="M326" s="1" t="str">
        <f>IFERROR(__xludf.DUMMYFUNCTION("""COMPUTED_VALUE"""),"วิทยาศาสตร์")</f>
        <v>วิทยาศาสตร์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>
        <f>IFERROR(__xludf.DUMMYFUNCTION("""COMPUTED_VALUE"""),5.0)</f>
        <v>5</v>
      </c>
      <c r="B327" s="1">
        <f>IFERROR(__xludf.DUMMYFUNCTION("""COMPUTED_VALUE"""),1.0)</f>
        <v>1</v>
      </c>
      <c r="C327" s="1" t="str">
        <f>IFERROR(__xludf.DUMMYFUNCTION("""COMPUTED_VALUE"""),"ว21101")</f>
        <v>ว21101</v>
      </c>
      <c r="D327" s="1" t="str">
        <f>IFERROR(__xludf.DUMMYFUNCTION("""COMPUTED_VALUE"""),"วิทยาศาสตร์ 1")</f>
        <v>วิทยาศาสตร์ 1</v>
      </c>
      <c r="E327" s="1">
        <f>IFERROR(__xludf.DUMMYFUNCTION("""COMPUTED_VALUE"""),1.5)</f>
        <v>1.5</v>
      </c>
      <c r="F327" s="1">
        <f>IFERROR(__xludf.DUMMYFUNCTION("""COMPUTED_VALUE"""),2569.0)</f>
        <v>2569</v>
      </c>
      <c r="G327" s="1">
        <f>IFERROR(__xludf.DUMMYFUNCTION("""COMPUTED_VALUE"""),1.0)</f>
        <v>1</v>
      </c>
      <c r="H327" s="1">
        <f>IFERROR(__xludf.DUMMYFUNCTION("""COMPUTED_VALUE"""),357.0)</f>
        <v>357</v>
      </c>
      <c r="I327" s="1" t="str">
        <f>IFERROR(__xludf.DUMMYFUNCTION("""COMPUTED_VALUE"""),"นางสาว")</f>
        <v>นางสาว</v>
      </c>
      <c r="J327" s="1" t="str">
        <f>IFERROR(__xludf.DUMMYFUNCTION("""COMPUTED_VALUE"""),"ศุภิสรา")</f>
        <v>ศุภิสรา</v>
      </c>
      <c r="K327" s="1" t="str">
        <f>IFERROR(__xludf.DUMMYFUNCTION("""COMPUTED_VALUE"""),"ศรีรุ่งเรือง")</f>
        <v>ศรีรุ่งเรือง</v>
      </c>
      <c r="L327" s="1" t="str">
        <f>IFERROR(__xludf.DUMMYFUNCTION("""COMPUTED_VALUE"""),"ม.1")</f>
        <v>ม.1</v>
      </c>
      <c r="M327" s="1" t="str">
        <f>IFERROR(__xludf.DUMMYFUNCTION("""COMPUTED_VALUE"""),"วิทยาศาสตร์")</f>
        <v>วิทยาศาสตร์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>
        <f>IFERROR(__xludf.DUMMYFUNCTION("""COMPUTED_VALUE"""),6.0)</f>
        <v>6</v>
      </c>
      <c r="B328" s="1">
        <f>IFERROR(__xludf.DUMMYFUNCTION("""COMPUTED_VALUE"""),1.0)</f>
        <v>1</v>
      </c>
      <c r="C328" s="1" t="str">
        <f>IFERROR(__xludf.DUMMYFUNCTION("""COMPUTED_VALUE"""),"ว21101")</f>
        <v>ว21101</v>
      </c>
      <c r="D328" s="1" t="str">
        <f>IFERROR(__xludf.DUMMYFUNCTION("""COMPUTED_VALUE"""),"วิทยาศาสตร์ 1")</f>
        <v>วิทยาศาสตร์ 1</v>
      </c>
      <c r="E328" s="1">
        <f>IFERROR(__xludf.DUMMYFUNCTION("""COMPUTED_VALUE"""),1.5)</f>
        <v>1.5</v>
      </c>
      <c r="F328" s="1">
        <f>IFERROR(__xludf.DUMMYFUNCTION("""COMPUTED_VALUE"""),2569.0)</f>
        <v>2569</v>
      </c>
      <c r="G328" s="1">
        <f>IFERROR(__xludf.DUMMYFUNCTION("""COMPUTED_VALUE"""),1.0)</f>
        <v>1</v>
      </c>
      <c r="H328" s="1">
        <f>IFERROR(__xludf.DUMMYFUNCTION("""COMPUTED_VALUE"""),357.0)</f>
        <v>357</v>
      </c>
      <c r="I328" s="1" t="str">
        <f>IFERROR(__xludf.DUMMYFUNCTION("""COMPUTED_VALUE"""),"นางสาว")</f>
        <v>นางสาว</v>
      </c>
      <c r="J328" s="1" t="str">
        <f>IFERROR(__xludf.DUMMYFUNCTION("""COMPUTED_VALUE"""),"ศุภิสรา")</f>
        <v>ศุภิสรา</v>
      </c>
      <c r="K328" s="1" t="str">
        <f>IFERROR(__xludf.DUMMYFUNCTION("""COMPUTED_VALUE"""),"ศรีรุ่งเรือง")</f>
        <v>ศรีรุ่งเรือง</v>
      </c>
      <c r="L328" s="1" t="str">
        <f>IFERROR(__xludf.DUMMYFUNCTION("""COMPUTED_VALUE"""),"ม.1")</f>
        <v>ม.1</v>
      </c>
      <c r="M328" s="1" t="str">
        <f>IFERROR(__xludf.DUMMYFUNCTION("""COMPUTED_VALUE"""),"วิทยาศาสตร์")</f>
        <v>วิทยาศาสตร์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>
        <f>IFERROR(__xludf.DUMMYFUNCTION("""COMPUTED_VALUE"""),7.0)</f>
        <v>7</v>
      </c>
      <c r="B329" s="1">
        <f>IFERROR(__xludf.DUMMYFUNCTION("""COMPUTED_VALUE"""),1.0)</f>
        <v>1</v>
      </c>
      <c r="C329" s="1" t="str">
        <f>IFERROR(__xludf.DUMMYFUNCTION("""COMPUTED_VALUE"""),"ว21101")</f>
        <v>ว21101</v>
      </c>
      <c r="D329" s="1" t="str">
        <f>IFERROR(__xludf.DUMMYFUNCTION("""COMPUTED_VALUE"""),"วิทยาศาสตร์ 1")</f>
        <v>วิทยาศาสตร์ 1</v>
      </c>
      <c r="E329" s="1">
        <f>IFERROR(__xludf.DUMMYFUNCTION("""COMPUTED_VALUE"""),1.5)</f>
        <v>1.5</v>
      </c>
      <c r="F329" s="1">
        <f>IFERROR(__xludf.DUMMYFUNCTION("""COMPUTED_VALUE"""),2569.0)</f>
        <v>2569</v>
      </c>
      <c r="G329" s="1">
        <f>IFERROR(__xludf.DUMMYFUNCTION("""COMPUTED_VALUE"""),1.0)</f>
        <v>1</v>
      </c>
      <c r="H329" s="1">
        <f>IFERROR(__xludf.DUMMYFUNCTION("""COMPUTED_VALUE"""),357.0)</f>
        <v>357</v>
      </c>
      <c r="I329" s="1" t="str">
        <f>IFERROR(__xludf.DUMMYFUNCTION("""COMPUTED_VALUE"""),"นางสาว")</f>
        <v>นางสาว</v>
      </c>
      <c r="J329" s="1" t="str">
        <f>IFERROR(__xludf.DUMMYFUNCTION("""COMPUTED_VALUE"""),"ศุภิสรา")</f>
        <v>ศุภิสรา</v>
      </c>
      <c r="K329" s="1" t="str">
        <f>IFERROR(__xludf.DUMMYFUNCTION("""COMPUTED_VALUE"""),"ศรีรุ่งเรือง")</f>
        <v>ศรีรุ่งเรือง</v>
      </c>
      <c r="L329" s="1" t="str">
        <f>IFERROR(__xludf.DUMMYFUNCTION("""COMPUTED_VALUE"""),"ม.1")</f>
        <v>ม.1</v>
      </c>
      <c r="M329" s="1" t="str">
        <f>IFERROR(__xludf.DUMMYFUNCTION("""COMPUTED_VALUE"""),"วิทยาศาสตร์")</f>
        <v>วิทยาศาสตร์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>
        <f>IFERROR(__xludf.DUMMYFUNCTION("""COMPUTED_VALUE"""),3.0)</f>
        <v>3</v>
      </c>
      <c r="B330" s="1">
        <f>IFERROR(__xludf.DUMMYFUNCTION("""COMPUTED_VALUE"""),1.0)</f>
        <v>1</v>
      </c>
      <c r="C330" s="1" t="str">
        <f>IFERROR(__xludf.DUMMYFUNCTION("""COMPUTED_VALUE"""),"ว21201")</f>
        <v>ว21201</v>
      </c>
      <c r="D330" s="1" t="str">
        <f>IFERROR(__xludf.DUMMYFUNCTION("""COMPUTED_VALUE"""),"ทักษะวิทยาศาสตร์ 1")</f>
        <v>ทักษะวิทยาศาสตร์ 1</v>
      </c>
      <c r="E330" s="1">
        <f>IFERROR(__xludf.DUMMYFUNCTION("""COMPUTED_VALUE"""),1.0)</f>
        <v>1</v>
      </c>
      <c r="F330" s="1">
        <f>IFERROR(__xludf.DUMMYFUNCTION("""COMPUTED_VALUE"""),2569.0)</f>
        <v>2569</v>
      </c>
      <c r="G330" s="1">
        <f>IFERROR(__xludf.DUMMYFUNCTION("""COMPUTED_VALUE"""),1.0)</f>
        <v>1</v>
      </c>
      <c r="H330" s="1">
        <f>IFERROR(__xludf.DUMMYFUNCTION("""COMPUTED_VALUE"""),357.0)</f>
        <v>357</v>
      </c>
      <c r="I330" s="1" t="str">
        <f>IFERROR(__xludf.DUMMYFUNCTION("""COMPUTED_VALUE"""),"นางสาว")</f>
        <v>นางสาว</v>
      </c>
      <c r="J330" s="1" t="str">
        <f>IFERROR(__xludf.DUMMYFUNCTION("""COMPUTED_VALUE"""),"ศุภิสรา")</f>
        <v>ศุภิสรา</v>
      </c>
      <c r="K330" s="1" t="str">
        <f>IFERROR(__xludf.DUMMYFUNCTION("""COMPUTED_VALUE"""),"ศรีรุ่งเรือง")</f>
        <v>ศรีรุ่งเรือง</v>
      </c>
      <c r="L330" s="1" t="str">
        <f>IFERROR(__xludf.DUMMYFUNCTION("""COMPUTED_VALUE"""),"ม.1")</f>
        <v>ม.1</v>
      </c>
      <c r="M330" s="1" t="str">
        <f>IFERROR(__xludf.DUMMYFUNCTION("""COMPUTED_VALUE"""),"วิทยาศาสตร์")</f>
        <v>วิทยาศาสตร์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>
        <f>IFERROR(__xludf.DUMMYFUNCTION("""COMPUTED_VALUE"""),3.0)</f>
        <v>3</v>
      </c>
      <c r="B331" s="1">
        <f>IFERROR(__xludf.DUMMYFUNCTION("""COMPUTED_VALUE"""),1.0)</f>
        <v>1</v>
      </c>
      <c r="C331" s="1" t="str">
        <f>IFERROR(__xludf.DUMMYFUNCTION("""COMPUTED_VALUE"""),"ว22201")</f>
        <v>ว22201</v>
      </c>
      <c r="D331" s="1" t="str">
        <f>IFERROR(__xludf.DUMMYFUNCTION("""COMPUTED_VALUE"""),"โครงงานวิทยาศาสตร์ 1")</f>
        <v>โครงงานวิทยาศาสตร์ 1</v>
      </c>
      <c r="E331" s="1">
        <f>IFERROR(__xludf.DUMMYFUNCTION("""COMPUTED_VALUE"""),0.5)</f>
        <v>0.5</v>
      </c>
      <c r="F331" s="1">
        <f>IFERROR(__xludf.DUMMYFUNCTION("""COMPUTED_VALUE"""),2569.0)</f>
        <v>2569</v>
      </c>
      <c r="G331" s="1">
        <f>IFERROR(__xludf.DUMMYFUNCTION("""COMPUTED_VALUE"""),1.0)</f>
        <v>1</v>
      </c>
      <c r="H331" s="1">
        <f>IFERROR(__xludf.DUMMYFUNCTION("""COMPUTED_VALUE"""),357.0)</f>
        <v>357</v>
      </c>
      <c r="I331" s="1" t="str">
        <f>IFERROR(__xludf.DUMMYFUNCTION("""COMPUTED_VALUE"""),"นางสาว")</f>
        <v>นางสาว</v>
      </c>
      <c r="J331" s="1" t="str">
        <f>IFERROR(__xludf.DUMMYFUNCTION("""COMPUTED_VALUE"""),"ศุภิสรา")</f>
        <v>ศุภิสรา</v>
      </c>
      <c r="K331" s="1" t="str">
        <f>IFERROR(__xludf.DUMMYFUNCTION("""COMPUTED_VALUE"""),"ศรีรุ่งเรือง")</f>
        <v>ศรีรุ่งเรือง</v>
      </c>
      <c r="L331" s="1" t="str">
        <f>IFERROR(__xludf.DUMMYFUNCTION("""COMPUTED_VALUE"""),"ม.2")</f>
        <v>ม.2</v>
      </c>
      <c r="M331" s="1" t="str">
        <f>IFERROR(__xludf.DUMMYFUNCTION("""COMPUTED_VALUE"""),"วิทยาศาสตร์")</f>
        <v>วิทยาศาสตร์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>
        <f>IFERROR(__xludf.DUMMYFUNCTION("""COMPUTED_VALUE"""),3.0)</f>
        <v>3</v>
      </c>
      <c r="B332" s="1">
        <f>IFERROR(__xludf.DUMMYFUNCTION("""COMPUTED_VALUE"""),2.0)</f>
        <v>2</v>
      </c>
      <c r="C332" s="1" t="str">
        <f>IFERROR(__xludf.DUMMYFUNCTION("""COMPUTED_VALUE"""),"ส20225")</f>
        <v>ส20225</v>
      </c>
      <c r="D332" s="1" t="str">
        <f>IFERROR(__xludf.DUMMYFUNCTION("""COMPUTED_VALUE"""),"การป้องกันการทุจริต 3")</f>
        <v>การป้องกันการทุจริต 3</v>
      </c>
      <c r="E332" s="1">
        <f>IFERROR(__xludf.DUMMYFUNCTION("""COMPUTED_VALUE"""),0.5)</f>
        <v>0.5</v>
      </c>
      <c r="F332" s="1">
        <f>IFERROR(__xludf.DUMMYFUNCTION("""COMPUTED_VALUE"""),2569.0)</f>
        <v>2569</v>
      </c>
      <c r="G332" s="1">
        <f>IFERROR(__xludf.DUMMYFUNCTION("""COMPUTED_VALUE"""),1.0)</f>
        <v>1</v>
      </c>
      <c r="H332" s="1">
        <f>IFERROR(__xludf.DUMMYFUNCTION("""COMPUTED_VALUE"""),357.0)</f>
        <v>357</v>
      </c>
      <c r="I332" s="1" t="str">
        <f>IFERROR(__xludf.DUMMYFUNCTION("""COMPUTED_VALUE"""),"นางสาว")</f>
        <v>นางสาว</v>
      </c>
      <c r="J332" s="1" t="str">
        <f>IFERROR(__xludf.DUMMYFUNCTION("""COMPUTED_VALUE"""),"ศุภิสรา")</f>
        <v>ศุภิสรา</v>
      </c>
      <c r="K332" s="1" t="str">
        <f>IFERROR(__xludf.DUMMYFUNCTION("""COMPUTED_VALUE"""),"ศรีรุ่งเรือง")</f>
        <v>ศรีรุ่งเรือง</v>
      </c>
      <c r="L332" s="1" t="str">
        <f>IFERROR(__xludf.DUMMYFUNCTION("""COMPUTED_VALUE"""),"ม.2")</f>
        <v>ม.2</v>
      </c>
      <c r="M332" s="1" t="str">
        <f>IFERROR(__xludf.DUMMYFUNCTION("""COMPUTED_VALUE"""),"วิทยาศาสตร์")</f>
        <v>วิทยาศาสตร์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>
        <f>IFERROR(__xludf.DUMMYFUNCTION("""COMPUTED_VALUE"""),1.0)</f>
        <v>1</v>
      </c>
      <c r="B333" s="1">
        <f>IFERROR(__xludf.DUMMYFUNCTION("""COMPUTED_VALUE"""),1.0)</f>
        <v>1</v>
      </c>
      <c r="C333" s="1" t="str">
        <f>IFERROR(__xludf.DUMMYFUNCTION("""COMPUTED_VALUE"""),"ว20214")</f>
        <v>ว20214</v>
      </c>
      <c r="D333" s="1" t="str">
        <f>IFERROR(__xludf.DUMMYFUNCTION("""COMPUTED_VALUE"""),"กล่องสมองกล")</f>
        <v>กล่องสมองกล</v>
      </c>
      <c r="E333" s="1">
        <f>IFERROR(__xludf.DUMMYFUNCTION("""COMPUTED_VALUE"""),1.0)</f>
        <v>1</v>
      </c>
      <c r="F333" s="1">
        <f>IFERROR(__xludf.DUMMYFUNCTION("""COMPUTED_VALUE"""),2569.0)</f>
        <v>2569</v>
      </c>
      <c r="G333" s="1">
        <f>IFERROR(__xludf.DUMMYFUNCTION("""COMPUTED_VALUE"""),1.0)</f>
        <v>1</v>
      </c>
      <c r="H333" s="1">
        <f>IFERROR(__xludf.DUMMYFUNCTION("""COMPUTED_VALUE"""),358.0)</f>
        <v>358</v>
      </c>
      <c r="I333" s="1" t="str">
        <f>IFERROR(__xludf.DUMMYFUNCTION("""COMPUTED_VALUE"""),"นาย")</f>
        <v>นาย</v>
      </c>
      <c r="J333" s="1" t="str">
        <f>IFERROR(__xludf.DUMMYFUNCTION("""COMPUTED_VALUE"""),"กิติกร")</f>
        <v>กิติกร</v>
      </c>
      <c r="K333" s="1" t="str">
        <f>IFERROR(__xludf.DUMMYFUNCTION("""COMPUTED_VALUE"""),"มะโนสา")</f>
        <v>มะโนสา</v>
      </c>
      <c r="L333" s="1" t="str">
        <f>IFERROR(__xludf.DUMMYFUNCTION("""COMPUTED_VALUE"""),"ม.3")</f>
        <v>ม.3</v>
      </c>
      <c r="M333" s="1" t="str">
        <f>IFERROR(__xludf.DUMMYFUNCTION("""COMPUTED_VALUE"""),"วิทยาศาสตร์")</f>
        <v>วิทยาศาสตร์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>
        <f>IFERROR(__xludf.DUMMYFUNCTION("""COMPUTED_VALUE"""),1.0)</f>
        <v>1</v>
      </c>
      <c r="B334" s="1">
        <f>IFERROR(__xludf.DUMMYFUNCTION("""COMPUTED_VALUE"""),1.0)</f>
        <v>1</v>
      </c>
      <c r="C334" s="1" t="str">
        <f>IFERROR(__xludf.DUMMYFUNCTION("""COMPUTED_VALUE"""),"ว30261")</f>
        <v>ว30261</v>
      </c>
      <c r="D334" s="1" t="str">
        <f>IFERROR(__xludf.DUMMYFUNCTION("""COMPUTED_VALUE"""),"Office Management")</f>
        <v>Office Management</v>
      </c>
      <c r="E334" s="1">
        <f>IFERROR(__xludf.DUMMYFUNCTION("""COMPUTED_VALUE"""),1.0)</f>
        <v>1</v>
      </c>
      <c r="F334" s="1">
        <f>IFERROR(__xludf.DUMMYFUNCTION("""COMPUTED_VALUE"""),2569.0)</f>
        <v>2569</v>
      </c>
      <c r="G334" s="1">
        <f>IFERROR(__xludf.DUMMYFUNCTION("""COMPUTED_VALUE"""),1.0)</f>
        <v>1</v>
      </c>
      <c r="H334" s="1">
        <f>IFERROR(__xludf.DUMMYFUNCTION("""COMPUTED_VALUE"""),358.0)</f>
        <v>358</v>
      </c>
      <c r="I334" s="1" t="str">
        <f>IFERROR(__xludf.DUMMYFUNCTION("""COMPUTED_VALUE"""),"นาย")</f>
        <v>นาย</v>
      </c>
      <c r="J334" s="1" t="str">
        <f>IFERROR(__xludf.DUMMYFUNCTION("""COMPUTED_VALUE"""),"กิติกร")</f>
        <v>กิติกร</v>
      </c>
      <c r="K334" s="1" t="str">
        <f>IFERROR(__xludf.DUMMYFUNCTION("""COMPUTED_VALUE"""),"มะโนสา")</f>
        <v>มะโนสา</v>
      </c>
      <c r="L334" s="1" t="str">
        <f>IFERROR(__xludf.DUMMYFUNCTION("""COMPUTED_VALUE"""),"ม.4")</f>
        <v>ม.4</v>
      </c>
      <c r="M334" s="1" t="str">
        <f>IFERROR(__xludf.DUMMYFUNCTION("""COMPUTED_VALUE"""),"วิทยาศาสตร์")</f>
        <v>วิทยาศาสตร์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>
        <f>IFERROR(__xludf.DUMMYFUNCTION("""COMPUTED_VALUE"""),3.0)</f>
        <v>3</v>
      </c>
      <c r="B335" s="1">
        <f>IFERROR(__xludf.DUMMYFUNCTION("""COMPUTED_VALUE"""),1.0)</f>
        <v>1</v>
      </c>
      <c r="C335" s="1" t="str">
        <f>IFERROR(__xludf.DUMMYFUNCTION("""COMPUTED_VALUE"""),"ว30261")</f>
        <v>ว30261</v>
      </c>
      <c r="D335" s="1" t="str">
        <f>IFERROR(__xludf.DUMMYFUNCTION("""COMPUTED_VALUE"""),"Office Management")</f>
        <v>Office Management</v>
      </c>
      <c r="E335" s="1">
        <f>IFERROR(__xludf.DUMMYFUNCTION("""COMPUTED_VALUE"""),1.0)</f>
        <v>1</v>
      </c>
      <c r="F335" s="1">
        <f>IFERROR(__xludf.DUMMYFUNCTION("""COMPUTED_VALUE"""),2569.0)</f>
        <v>2569</v>
      </c>
      <c r="G335" s="1">
        <f>IFERROR(__xludf.DUMMYFUNCTION("""COMPUTED_VALUE"""),1.0)</f>
        <v>1</v>
      </c>
      <c r="H335" s="1">
        <f>IFERROR(__xludf.DUMMYFUNCTION("""COMPUTED_VALUE"""),358.0)</f>
        <v>358</v>
      </c>
      <c r="I335" s="1" t="str">
        <f>IFERROR(__xludf.DUMMYFUNCTION("""COMPUTED_VALUE"""),"นาย")</f>
        <v>นาย</v>
      </c>
      <c r="J335" s="1" t="str">
        <f>IFERROR(__xludf.DUMMYFUNCTION("""COMPUTED_VALUE"""),"กิติกร")</f>
        <v>กิติกร</v>
      </c>
      <c r="K335" s="1" t="str">
        <f>IFERROR(__xludf.DUMMYFUNCTION("""COMPUTED_VALUE"""),"มะโนสา")</f>
        <v>มะโนสา</v>
      </c>
      <c r="L335" s="1" t="str">
        <f>IFERROR(__xludf.DUMMYFUNCTION("""COMPUTED_VALUE"""),"ม.4")</f>
        <v>ม.4</v>
      </c>
      <c r="M335" s="1" t="str">
        <f>IFERROR(__xludf.DUMMYFUNCTION("""COMPUTED_VALUE"""),"วิทยาศาสตร์")</f>
        <v>วิทยาศาสตร์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>
        <f>IFERROR(__xludf.DUMMYFUNCTION("""COMPUTED_VALUE"""),5.0)</f>
        <v>5</v>
      </c>
      <c r="B336" s="1">
        <f>IFERROR(__xludf.DUMMYFUNCTION("""COMPUTED_VALUE"""),1.0)</f>
        <v>1</v>
      </c>
      <c r="C336" s="1" t="str">
        <f>IFERROR(__xludf.DUMMYFUNCTION("""COMPUTED_VALUE"""),"ว30261")</f>
        <v>ว30261</v>
      </c>
      <c r="D336" s="1" t="str">
        <f>IFERROR(__xludf.DUMMYFUNCTION("""COMPUTED_VALUE"""),"Office Management")</f>
        <v>Office Management</v>
      </c>
      <c r="E336" s="1">
        <f>IFERROR(__xludf.DUMMYFUNCTION("""COMPUTED_VALUE"""),1.0)</f>
        <v>1</v>
      </c>
      <c r="F336" s="1">
        <f>IFERROR(__xludf.DUMMYFUNCTION("""COMPUTED_VALUE"""),2569.0)</f>
        <v>2569</v>
      </c>
      <c r="G336" s="1">
        <f>IFERROR(__xludf.DUMMYFUNCTION("""COMPUTED_VALUE"""),1.0)</f>
        <v>1</v>
      </c>
      <c r="H336" s="1">
        <f>IFERROR(__xludf.DUMMYFUNCTION("""COMPUTED_VALUE"""),358.0)</f>
        <v>358</v>
      </c>
      <c r="I336" s="1" t="str">
        <f>IFERROR(__xludf.DUMMYFUNCTION("""COMPUTED_VALUE"""),"นาย")</f>
        <v>นาย</v>
      </c>
      <c r="J336" s="1" t="str">
        <f>IFERROR(__xludf.DUMMYFUNCTION("""COMPUTED_VALUE"""),"กิติกร")</f>
        <v>กิติกร</v>
      </c>
      <c r="K336" s="1" t="str">
        <f>IFERROR(__xludf.DUMMYFUNCTION("""COMPUTED_VALUE"""),"มะโนสา")</f>
        <v>มะโนสา</v>
      </c>
      <c r="L336" s="1" t="str">
        <f>IFERROR(__xludf.DUMMYFUNCTION("""COMPUTED_VALUE"""),"ม.4")</f>
        <v>ม.4</v>
      </c>
      <c r="M336" s="1" t="str">
        <f>IFERROR(__xludf.DUMMYFUNCTION("""COMPUTED_VALUE"""),"วิทยาศาสตร์")</f>
        <v>วิทยาศาสตร์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>
        <f>IFERROR(__xludf.DUMMYFUNCTION("""COMPUTED_VALUE"""),7.0)</f>
        <v>7</v>
      </c>
      <c r="B337" s="1">
        <f>IFERROR(__xludf.DUMMYFUNCTION("""COMPUTED_VALUE"""),1.0)</f>
        <v>1</v>
      </c>
      <c r="C337" s="1" t="str">
        <f>IFERROR(__xludf.DUMMYFUNCTION("""COMPUTED_VALUE"""),"ว30261")</f>
        <v>ว30261</v>
      </c>
      <c r="D337" s="1" t="str">
        <f>IFERROR(__xludf.DUMMYFUNCTION("""COMPUTED_VALUE"""),"Office Management")</f>
        <v>Office Management</v>
      </c>
      <c r="E337" s="1">
        <f>IFERROR(__xludf.DUMMYFUNCTION("""COMPUTED_VALUE"""),1.0)</f>
        <v>1</v>
      </c>
      <c r="F337" s="1">
        <f>IFERROR(__xludf.DUMMYFUNCTION("""COMPUTED_VALUE"""),2569.0)</f>
        <v>2569</v>
      </c>
      <c r="G337" s="1">
        <f>IFERROR(__xludf.DUMMYFUNCTION("""COMPUTED_VALUE"""),1.0)</f>
        <v>1</v>
      </c>
      <c r="H337" s="1">
        <f>IFERROR(__xludf.DUMMYFUNCTION("""COMPUTED_VALUE"""),358.0)</f>
        <v>358</v>
      </c>
      <c r="I337" s="1" t="str">
        <f>IFERROR(__xludf.DUMMYFUNCTION("""COMPUTED_VALUE"""),"นาย")</f>
        <v>นาย</v>
      </c>
      <c r="J337" s="1" t="str">
        <f>IFERROR(__xludf.DUMMYFUNCTION("""COMPUTED_VALUE"""),"กิติกร")</f>
        <v>กิติกร</v>
      </c>
      <c r="K337" s="1" t="str">
        <f>IFERROR(__xludf.DUMMYFUNCTION("""COMPUTED_VALUE"""),"มะโนสา")</f>
        <v>มะโนสา</v>
      </c>
      <c r="L337" s="1" t="str">
        <f>IFERROR(__xludf.DUMMYFUNCTION("""COMPUTED_VALUE"""),"ม.4")</f>
        <v>ม.4</v>
      </c>
      <c r="M337" s="1" t="str">
        <f>IFERROR(__xludf.DUMMYFUNCTION("""COMPUTED_VALUE"""),"วิทยาศาสตร์")</f>
        <v>วิทยาศาสตร์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>
        <f>IFERROR(__xludf.DUMMYFUNCTION("""COMPUTED_VALUE"""),9.0)</f>
        <v>9</v>
      </c>
      <c r="B338" s="1">
        <f>IFERROR(__xludf.DUMMYFUNCTION("""COMPUTED_VALUE"""),1.0)</f>
        <v>1</v>
      </c>
      <c r="C338" s="1" t="str">
        <f>IFERROR(__xludf.DUMMYFUNCTION("""COMPUTED_VALUE"""),"ว30261")</f>
        <v>ว30261</v>
      </c>
      <c r="D338" s="1" t="str">
        <f>IFERROR(__xludf.DUMMYFUNCTION("""COMPUTED_VALUE"""),"Office Management")</f>
        <v>Office Management</v>
      </c>
      <c r="E338" s="1">
        <f>IFERROR(__xludf.DUMMYFUNCTION("""COMPUTED_VALUE"""),1.0)</f>
        <v>1</v>
      </c>
      <c r="F338" s="1">
        <f>IFERROR(__xludf.DUMMYFUNCTION("""COMPUTED_VALUE"""),2569.0)</f>
        <v>2569</v>
      </c>
      <c r="G338" s="1">
        <f>IFERROR(__xludf.DUMMYFUNCTION("""COMPUTED_VALUE"""),1.0)</f>
        <v>1</v>
      </c>
      <c r="H338" s="1">
        <f>IFERROR(__xludf.DUMMYFUNCTION("""COMPUTED_VALUE"""),358.0)</f>
        <v>358</v>
      </c>
      <c r="I338" s="1" t="str">
        <f>IFERROR(__xludf.DUMMYFUNCTION("""COMPUTED_VALUE"""),"นาย")</f>
        <v>นาย</v>
      </c>
      <c r="J338" s="1" t="str">
        <f>IFERROR(__xludf.DUMMYFUNCTION("""COMPUTED_VALUE"""),"กิติกร")</f>
        <v>กิติกร</v>
      </c>
      <c r="K338" s="1" t="str">
        <f>IFERROR(__xludf.DUMMYFUNCTION("""COMPUTED_VALUE"""),"มะโนสา")</f>
        <v>มะโนสา</v>
      </c>
      <c r="L338" s="1" t="str">
        <f>IFERROR(__xludf.DUMMYFUNCTION("""COMPUTED_VALUE"""),"ม.4")</f>
        <v>ม.4</v>
      </c>
      <c r="M338" s="1" t="str">
        <f>IFERROR(__xludf.DUMMYFUNCTION("""COMPUTED_VALUE"""),"วิทยาศาสตร์")</f>
        <v>วิทยาศาสตร์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>
        <f>IFERROR(__xludf.DUMMYFUNCTION("""COMPUTED_VALUE"""),10.0)</f>
        <v>10</v>
      </c>
      <c r="B339" s="1">
        <f>IFERROR(__xludf.DUMMYFUNCTION("""COMPUTED_VALUE"""),1.0)</f>
        <v>1</v>
      </c>
      <c r="C339" s="1" t="str">
        <f>IFERROR(__xludf.DUMMYFUNCTION("""COMPUTED_VALUE"""),"ว30261")</f>
        <v>ว30261</v>
      </c>
      <c r="D339" s="1" t="str">
        <f>IFERROR(__xludf.DUMMYFUNCTION("""COMPUTED_VALUE"""),"Office Management")</f>
        <v>Office Management</v>
      </c>
      <c r="E339" s="1">
        <f>IFERROR(__xludf.DUMMYFUNCTION("""COMPUTED_VALUE"""),1.0)</f>
        <v>1</v>
      </c>
      <c r="F339" s="1">
        <f>IFERROR(__xludf.DUMMYFUNCTION("""COMPUTED_VALUE"""),2569.0)</f>
        <v>2569</v>
      </c>
      <c r="G339" s="1">
        <f>IFERROR(__xludf.DUMMYFUNCTION("""COMPUTED_VALUE"""),1.0)</f>
        <v>1</v>
      </c>
      <c r="H339" s="1">
        <f>IFERROR(__xludf.DUMMYFUNCTION("""COMPUTED_VALUE"""),358.0)</f>
        <v>358</v>
      </c>
      <c r="I339" s="1" t="str">
        <f>IFERROR(__xludf.DUMMYFUNCTION("""COMPUTED_VALUE"""),"นาย")</f>
        <v>นาย</v>
      </c>
      <c r="J339" s="1" t="str">
        <f>IFERROR(__xludf.DUMMYFUNCTION("""COMPUTED_VALUE"""),"กิติกร")</f>
        <v>กิติกร</v>
      </c>
      <c r="K339" s="1" t="str">
        <f>IFERROR(__xludf.DUMMYFUNCTION("""COMPUTED_VALUE"""),"มะโนสา")</f>
        <v>มะโนสา</v>
      </c>
      <c r="L339" s="1" t="str">
        <f>IFERROR(__xludf.DUMMYFUNCTION("""COMPUTED_VALUE"""),"ม.4")</f>
        <v>ม.4</v>
      </c>
      <c r="M339" s="1" t="str">
        <f>IFERROR(__xludf.DUMMYFUNCTION("""COMPUTED_VALUE"""),"วิทยาศาสตร์")</f>
        <v>วิทยาศาสตร์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>
        <f>IFERROR(__xludf.DUMMYFUNCTION("""COMPUTED_VALUE"""),11.0)</f>
        <v>11</v>
      </c>
      <c r="B340" s="1">
        <f>IFERROR(__xludf.DUMMYFUNCTION("""COMPUTED_VALUE"""),1.0)</f>
        <v>1</v>
      </c>
      <c r="C340" s="1" t="str">
        <f>IFERROR(__xludf.DUMMYFUNCTION("""COMPUTED_VALUE"""),"ว30261")</f>
        <v>ว30261</v>
      </c>
      <c r="D340" s="1" t="str">
        <f>IFERROR(__xludf.DUMMYFUNCTION("""COMPUTED_VALUE"""),"Office Management")</f>
        <v>Office Management</v>
      </c>
      <c r="E340" s="1">
        <f>IFERROR(__xludf.DUMMYFUNCTION("""COMPUTED_VALUE"""),1.0)</f>
        <v>1</v>
      </c>
      <c r="F340" s="1">
        <f>IFERROR(__xludf.DUMMYFUNCTION("""COMPUTED_VALUE"""),2569.0)</f>
        <v>2569</v>
      </c>
      <c r="G340" s="1">
        <f>IFERROR(__xludf.DUMMYFUNCTION("""COMPUTED_VALUE"""),1.0)</f>
        <v>1</v>
      </c>
      <c r="H340" s="1">
        <f>IFERROR(__xludf.DUMMYFUNCTION("""COMPUTED_VALUE"""),358.0)</f>
        <v>358</v>
      </c>
      <c r="I340" s="1" t="str">
        <f>IFERROR(__xludf.DUMMYFUNCTION("""COMPUTED_VALUE"""),"นาย")</f>
        <v>นาย</v>
      </c>
      <c r="J340" s="1" t="str">
        <f>IFERROR(__xludf.DUMMYFUNCTION("""COMPUTED_VALUE"""),"กิติกร")</f>
        <v>กิติกร</v>
      </c>
      <c r="K340" s="1" t="str">
        <f>IFERROR(__xludf.DUMMYFUNCTION("""COMPUTED_VALUE"""),"มะโนสา")</f>
        <v>มะโนสา</v>
      </c>
      <c r="L340" s="1" t="str">
        <f>IFERROR(__xludf.DUMMYFUNCTION("""COMPUTED_VALUE"""),"ม.4")</f>
        <v>ม.4</v>
      </c>
      <c r="M340" s="1" t="str">
        <f>IFERROR(__xludf.DUMMYFUNCTION("""COMPUTED_VALUE"""),"วิทยาศาสตร์")</f>
        <v>วิทยาศาสตร์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>
        <f>IFERROR(__xludf.DUMMYFUNCTION("""COMPUTED_VALUE"""),11.0)</f>
        <v>11</v>
      </c>
      <c r="B341" s="1">
        <f>IFERROR(__xludf.DUMMYFUNCTION("""COMPUTED_VALUE"""),1.0)</f>
        <v>1</v>
      </c>
      <c r="C341" s="1" t="str">
        <f>IFERROR(__xludf.DUMMYFUNCTION("""COMPUTED_VALUE"""),"ว30273")</f>
        <v>ว30273</v>
      </c>
      <c r="D341" s="1" t="str">
        <f>IFERROR(__xludf.DUMMYFUNCTION("""COMPUTED_VALUE"""),"Engineering Design")</f>
        <v>Engineering Design</v>
      </c>
      <c r="E341" s="1">
        <f>IFERROR(__xludf.DUMMYFUNCTION("""COMPUTED_VALUE"""),1.0)</f>
        <v>1</v>
      </c>
      <c r="F341" s="1">
        <f>IFERROR(__xludf.DUMMYFUNCTION("""COMPUTED_VALUE"""),2569.0)</f>
        <v>2569</v>
      </c>
      <c r="G341" s="1">
        <f>IFERROR(__xludf.DUMMYFUNCTION("""COMPUTED_VALUE"""),1.0)</f>
        <v>1</v>
      </c>
      <c r="H341" s="1">
        <f>IFERROR(__xludf.DUMMYFUNCTION("""COMPUTED_VALUE"""),358.0)</f>
        <v>358</v>
      </c>
      <c r="I341" s="1" t="str">
        <f>IFERROR(__xludf.DUMMYFUNCTION("""COMPUTED_VALUE"""),"นาย")</f>
        <v>นาย</v>
      </c>
      <c r="J341" s="1" t="str">
        <f>IFERROR(__xludf.DUMMYFUNCTION("""COMPUTED_VALUE"""),"กิติกร")</f>
        <v>กิติกร</v>
      </c>
      <c r="K341" s="1" t="str">
        <f>IFERROR(__xludf.DUMMYFUNCTION("""COMPUTED_VALUE"""),"มะโนสา")</f>
        <v>มะโนสา</v>
      </c>
      <c r="L341" s="1" t="str">
        <f>IFERROR(__xludf.DUMMYFUNCTION("""COMPUTED_VALUE"""),"ม.5")</f>
        <v>ม.5</v>
      </c>
      <c r="M341" s="1" t="str">
        <f>IFERROR(__xludf.DUMMYFUNCTION("""COMPUTED_VALUE"""),"วิทยาศาสตร์")</f>
        <v>วิทยาศาสตร์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>
        <f>IFERROR(__xludf.DUMMYFUNCTION("""COMPUTED_VALUE"""),2.0)</f>
        <v>2</v>
      </c>
      <c r="B342" s="1">
        <f>IFERROR(__xludf.DUMMYFUNCTION("""COMPUTED_VALUE"""),2.0)</f>
        <v>2</v>
      </c>
      <c r="C342" s="1" t="str">
        <f>IFERROR(__xludf.DUMMYFUNCTION("""COMPUTED_VALUE"""),"ส20223")</f>
        <v>ส20223</v>
      </c>
      <c r="D342" s="1" t="str">
        <f>IFERROR(__xludf.DUMMYFUNCTION("""COMPUTED_VALUE"""),"การป้องกันการทุจริต 1")</f>
        <v>การป้องกันการทุจริต 1</v>
      </c>
      <c r="E342" s="1">
        <f>IFERROR(__xludf.DUMMYFUNCTION("""COMPUTED_VALUE"""),0.5)</f>
        <v>0.5</v>
      </c>
      <c r="F342" s="1">
        <f>IFERROR(__xludf.DUMMYFUNCTION("""COMPUTED_VALUE"""),2569.0)</f>
        <v>2569</v>
      </c>
      <c r="G342" s="1">
        <f>IFERROR(__xludf.DUMMYFUNCTION("""COMPUTED_VALUE"""),1.0)</f>
        <v>1</v>
      </c>
      <c r="H342" s="1">
        <f>IFERROR(__xludf.DUMMYFUNCTION("""COMPUTED_VALUE"""),358.0)</f>
        <v>358</v>
      </c>
      <c r="I342" s="1" t="str">
        <f>IFERROR(__xludf.DUMMYFUNCTION("""COMPUTED_VALUE"""),"นาย")</f>
        <v>นาย</v>
      </c>
      <c r="J342" s="1" t="str">
        <f>IFERROR(__xludf.DUMMYFUNCTION("""COMPUTED_VALUE"""),"กิติกร")</f>
        <v>กิติกร</v>
      </c>
      <c r="K342" s="1" t="str">
        <f>IFERROR(__xludf.DUMMYFUNCTION("""COMPUTED_VALUE"""),"มะโนสา")</f>
        <v>มะโนสา</v>
      </c>
      <c r="L342" s="1" t="str">
        <f>IFERROR(__xludf.DUMMYFUNCTION("""COMPUTED_VALUE"""),"ม.1")</f>
        <v>ม.1</v>
      </c>
      <c r="M342" s="1" t="str">
        <f>IFERROR(__xludf.DUMMYFUNCTION("""COMPUTED_VALUE"""),"วิทยาศาสตร์")</f>
        <v>วิทยาศาสตร์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>
        <f>IFERROR(__xludf.DUMMYFUNCTION("""COMPUTED_VALUE"""),1.0)</f>
        <v>1</v>
      </c>
      <c r="B343" s="1">
        <f>IFERROR(__xludf.DUMMYFUNCTION("""COMPUTED_VALUE"""),1.0)</f>
        <v>1</v>
      </c>
      <c r="C343" s="1" t="str">
        <f>IFERROR(__xludf.DUMMYFUNCTION("""COMPUTED_VALUE"""),"ว20203")</f>
        <v>ว20203</v>
      </c>
      <c r="D343" s="1" t="str">
        <f>IFERROR(__xludf.DUMMYFUNCTION("""COMPUTED_VALUE"""),"โภชนาการเพื่อคุณภาพชีวิต")</f>
        <v>โภชนาการเพื่อคุณภาพชีวิต</v>
      </c>
      <c r="E343" s="1">
        <f>IFERROR(__xludf.DUMMYFUNCTION("""COMPUTED_VALUE"""),1.0)</f>
        <v>1</v>
      </c>
      <c r="F343" s="1">
        <f>IFERROR(__xludf.DUMMYFUNCTION("""COMPUTED_VALUE"""),2569.0)</f>
        <v>2569</v>
      </c>
      <c r="G343" s="1">
        <f>IFERROR(__xludf.DUMMYFUNCTION("""COMPUTED_VALUE"""),1.0)</f>
        <v>1</v>
      </c>
      <c r="H343" s="1">
        <f>IFERROR(__xludf.DUMMYFUNCTION("""COMPUTED_VALUE"""),359.0)</f>
        <v>359</v>
      </c>
      <c r="I343" s="1" t="str">
        <f>IFERROR(__xludf.DUMMYFUNCTION("""COMPUTED_VALUE"""),"นาย")</f>
        <v>นาย</v>
      </c>
      <c r="J343" s="1" t="str">
        <f>IFERROR(__xludf.DUMMYFUNCTION("""COMPUTED_VALUE"""),"ชยากร")</f>
        <v>ชยากร</v>
      </c>
      <c r="K343" s="1" t="str">
        <f>IFERROR(__xludf.DUMMYFUNCTION("""COMPUTED_VALUE"""),"สุขพินิจ")</f>
        <v>สุขพินิจ</v>
      </c>
      <c r="L343" s="1" t="str">
        <f>IFERROR(__xludf.DUMMYFUNCTION("""COMPUTED_VALUE"""),"ม.1")</f>
        <v>ม.1</v>
      </c>
      <c r="M343" s="1" t="str">
        <f>IFERROR(__xludf.DUMMYFUNCTION("""COMPUTED_VALUE"""),"วิทยาศาสตร์")</f>
        <v>วิทยาศาสตร์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>
        <f>IFERROR(__xludf.DUMMYFUNCTION("""COMPUTED_VALUE"""),1.0)</f>
        <v>1</v>
      </c>
      <c r="B344" s="1">
        <f>IFERROR(__xludf.DUMMYFUNCTION("""COMPUTED_VALUE"""),1.0)</f>
        <v>1</v>
      </c>
      <c r="C344" s="1" t="str">
        <f>IFERROR(__xludf.DUMMYFUNCTION("""COMPUTED_VALUE"""),"ว30244")</f>
        <v>ว30244</v>
      </c>
      <c r="D344" s="1" t="str">
        <f>IFERROR(__xludf.DUMMYFUNCTION("""COMPUTED_VALUE"""),"ชีววิทยา 4")</f>
        <v>ชีววิทยา 4</v>
      </c>
      <c r="E344" s="1">
        <f>IFERROR(__xludf.DUMMYFUNCTION("""COMPUTED_VALUE"""),1.5)</f>
        <v>1.5</v>
      </c>
      <c r="F344" s="1">
        <f>IFERROR(__xludf.DUMMYFUNCTION("""COMPUTED_VALUE"""),2569.0)</f>
        <v>2569</v>
      </c>
      <c r="G344" s="1">
        <f>IFERROR(__xludf.DUMMYFUNCTION("""COMPUTED_VALUE"""),1.0)</f>
        <v>1</v>
      </c>
      <c r="H344" s="1">
        <f>IFERROR(__xludf.DUMMYFUNCTION("""COMPUTED_VALUE"""),359.0)</f>
        <v>359</v>
      </c>
      <c r="I344" s="1" t="str">
        <f>IFERROR(__xludf.DUMMYFUNCTION("""COMPUTED_VALUE"""),"นาย")</f>
        <v>นาย</v>
      </c>
      <c r="J344" s="1" t="str">
        <f>IFERROR(__xludf.DUMMYFUNCTION("""COMPUTED_VALUE"""),"ชยากร")</f>
        <v>ชยากร</v>
      </c>
      <c r="K344" s="1" t="str">
        <f>IFERROR(__xludf.DUMMYFUNCTION("""COMPUTED_VALUE"""),"สุขพินิจ")</f>
        <v>สุขพินิจ</v>
      </c>
      <c r="L344" s="1" t="str">
        <f>IFERROR(__xludf.DUMMYFUNCTION("""COMPUTED_VALUE"""),"ม.6")</f>
        <v>ม.6</v>
      </c>
      <c r="M344" s="1" t="str">
        <f>IFERROR(__xludf.DUMMYFUNCTION("""COMPUTED_VALUE"""),"วิทยาศาสตร์")</f>
        <v>วิทยาศาสตร์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>
        <f>IFERROR(__xludf.DUMMYFUNCTION("""COMPUTED_VALUE"""),2.0)</f>
        <v>2</v>
      </c>
      <c r="B345" s="1">
        <f>IFERROR(__xludf.DUMMYFUNCTION("""COMPUTED_VALUE"""),1.0)</f>
        <v>1</v>
      </c>
      <c r="C345" s="1" t="str">
        <f>IFERROR(__xludf.DUMMYFUNCTION("""COMPUTED_VALUE"""),"ว30244")</f>
        <v>ว30244</v>
      </c>
      <c r="D345" s="1" t="str">
        <f>IFERROR(__xludf.DUMMYFUNCTION("""COMPUTED_VALUE"""),"ชีววิทยา 4")</f>
        <v>ชีววิทยา 4</v>
      </c>
      <c r="E345" s="1">
        <f>IFERROR(__xludf.DUMMYFUNCTION("""COMPUTED_VALUE"""),1.5)</f>
        <v>1.5</v>
      </c>
      <c r="F345" s="1">
        <f>IFERROR(__xludf.DUMMYFUNCTION("""COMPUTED_VALUE"""),2569.0)</f>
        <v>2569</v>
      </c>
      <c r="G345" s="1">
        <f>IFERROR(__xludf.DUMMYFUNCTION("""COMPUTED_VALUE"""),1.0)</f>
        <v>1</v>
      </c>
      <c r="H345" s="1">
        <f>IFERROR(__xludf.DUMMYFUNCTION("""COMPUTED_VALUE"""),359.0)</f>
        <v>359</v>
      </c>
      <c r="I345" s="1" t="str">
        <f>IFERROR(__xludf.DUMMYFUNCTION("""COMPUTED_VALUE"""),"นาย")</f>
        <v>นาย</v>
      </c>
      <c r="J345" s="1" t="str">
        <f>IFERROR(__xludf.DUMMYFUNCTION("""COMPUTED_VALUE"""),"ชยากร")</f>
        <v>ชยากร</v>
      </c>
      <c r="K345" s="1" t="str">
        <f>IFERROR(__xludf.DUMMYFUNCTION("""COMPUTED_VALUE"""),"สุขพินิจ")</f>
        <v>สุขพินิจ</v>
      </c>
      <c r="L345" s="1" t="str">
        <f>IFERROR(__xludf.DUMMYFUNCTION("""COMPUTED_VALUE"""),"ม.6")</f>
        <v>ม.6</v>
      </c>
      <c r="M345" s="1" t="str">
        <f>IFERROR(__xludf.DUMMYFUNCTION("""COMPUTED_VALUE"""),"วิทยาศาสตร์")</f>
        <v>วิทยาศาสตร์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>
        <f>IFERROR(__xludf.DUMMYFUNCTION("""COMPUTED_VALUE"""),3.0)</f>
        <v>3</v>
      </c>
      <c r="B346" s="1">
        <f>IFERROR(__xludf.DUMMYFUNCTION("""COMPUTED_VALUE"""),1.0)</f>
        <v>1</v>
      </c>
      <c r="C346" s="1" t="str">
        <f>IFERROR(__xludf.DUMMYFUNCTION("""COMPUTED_VALUE"""),"ว30244")</f>
        <v>ว30244</v>
      </c>
      <c r="D346" s="1" t="str">
        <f>IFERROR(__xludf.DUMMYFUNCTION("""COMPUTED_VALUE"""),"ชีววิทยา 4")</f>
        <v>ชีววิทยา 4</v>
      </c>
      <c r="E346" s="1">
        <f>IFERROR(__xludf.DUMMYFUNCTION("""COMPUTED_VALUE"""),1.5)</f>
        <v>1.5</v>
      </c>
      <c r="F346" s="1">
        <f>IFERROR(__xludf.DUMMYFUNCTION("""COMPUTED_VALUE"""),2569.0)</f>
        <v>2569</v>
      </c>
      <c r="G346" s="1">
        <f>IFERROR(__xludf.DUMMYFUNCTION("""COMPUTED_VALUE"""),1.0)</f>
        <v>1</v>
      </c>
      <c r="H346" s="1">
        <f>IFERROR(__xludf.DUMMYFUNCTION("""COMPUTED_VALUE"""),359.0)</f>
        <v>359</v>
      </c>
      <c r="I346" s="1" t="str">
        <f>IFERROR(__xludf.DUMMYFUNCTION("""COMPUTED_VALUE"""),"นาย")</f>
        <v>นาย</v>
      </c>
      <c r="J346" s="1" t="str">
        <f>IFERROR(__xludf.DUMMYFUNCTION("""COMPUTED_VALUE"""),"ชยากร")</f>
        <v>ชยากร</v>
      </c>
      <c r="K346" s="1" t="str">
        <f>IFERROR(__xludf.DUMMYFUNCTION("""COMPUTED_VALUE"""),"สุขพินิจ")</f>
        <v>สุขพินิจ</v>
      </c>
      <c r="L346" s="1" t="str">
        <f>IFERROR(__xludf.DUMMYFUNCTION("""COMPUTED_VALUE"""),"ม.6")</f>
        <v>ม.6</v>
      </c>
      <c r="M346" s="1" t="str">
        <f>IFERROR(__xludf.DUMMYFUNCTION("""COMPUTED_VALUE"""),"วิทยาศาสตร์")</f>
        <v>วิทยาศาสตร์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>
        <f>IFERROR(__xludf.DUMMYFUNCTION("""COMPUTED_VALUE"""),4.0)</f>
        <v>4</v>
      </c>
      <c r="B347" s="1">
        <f>IFERROR(__xludf.DUMMYFUNCTION("""COMPUTED_VALUE"""),1.0)</f>
        <v>1</v>
      </c>
      <c r="C347" s="1" t="str">
        <f>IFERROR(__xludf.DUMMYFUNCTION("""COMPUTED_VALUE"""),"ว30244")</f>
        <v>ว30244</v>
      </c>
      <c r="D347" s="1" t="str">
        <f>IFERROR(__xludf.DUMMYFUNCTION("""COMPUTED_VALUE"""),"ชีววิทยา 4")</f>
        <v>ชีววิทยา 4</v>
      </c>
      <c r="E347" s="1">
        <f>IFERROR(__xludf.DUMMYFUNCTION("""COMPUTED_VALUE"""),1.5)</f>
        <v>1.5</v>
      </c>
      <c r="F347" s="1">
        <f>IFERROR(__xludf.DUMMYFUNCTION("""COMPUTED_VALUE"""),2569.0)</f>
        <v>2569</v>
      </c>
      <c r="G347" s="1">
        <f>IFERROR(__xludf.DUMMYFUNCTION("""COMPUTED_VALUE"""),1.0)</f>
        <v>1</v>
      </c>
      <c r="H347" s="1">
        <f>IFERROR(__xludf.DUMMYFUNCTION("""COMPUTED_VALUE"""),359.0)</f>
        <v>359</v>
      </c>
      <c r="I347" s="1" t="str">
        <f>IFERROR(__xludf.DUMMYFUNCTION("""COMPUTED_VALUE"""),"นาย")</f>
        <v>นาย</v>
      </c>
      <c r="J347" s="1" t="str">
        <f>IFERROR(__xludf.DUMMYFUNCTION("""COMPUTED_VALUE"""),"ชยากร")</f>
        <v>ชยากร</v>
      </c>
      <c r="K347" s="1" t="str">
        <f>IFERROR(__xludf.DUMMYFUNCTION("""COMPUTED_VALUE"""),"สุขพินิจ")</f>
        <v>สุขพินิจ</v>
      </c>
      <c r="L347" s="1" t="str">
        <f>IFERROR(__xludf.DUMMYFUNCTION("""COMPUTED_VALUE"""),"ม.6")</f>
        <v>ม.6</v>
      </c>
      <c r="M347" s="1" t="str">
        <f>IFERROR(__xludf.DUMMYFUNCTION("""COMPUTED_VALUE"""),"วิทยาศาสตร์")</f>
        <v>วิทยาศาสตร์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>
        <f>IFERROR(__xludf.DUMMYFUNCTION("""COMPUTED_VALUE"""),9.0)</f>
        <v>9</v>
      </c>
      <c r="B348" s="1">
        <f>IFERROR(__xludf.DUMMYFUNCTION("""COMPUTED_VALUE"""),1.0)</f>
        <v>1</v>
      </c>
      <c r="C348" s="1" t="str">
        <f>IFERROR(__xludf.DUMMYFUNCTION("""COMPUTED_VALUE"""),"ส30251")</f>
        <v>ส30251</v>
      </c>
      <c r="D348" s="1" t="str">
        <f>IFERROR(__xludf.DUMMYFUNCTION("""COMPUTED_VALUE"""),"การป้องกันการทุจริต 5")</f>
        <v>การป้องกันการทุจริต 5</v>
      </c>
      <c r="E348" s="1">
        <f>IFERROR(__xludf.DUMMYFUNCTION("""COMPUTED_VALUE"""),0.5)</f>
        <v>0.5</v>
      </c>
      <c r="F348" s="1">
        <f>IFERROR(__xludf.DUMMYFUNCTION("""COMPUTED_VALUE"""),2569.0)</f>
        <v>2569</v>
      </c>
      <c r="G348" s="1">
        <f>IFERROR(__xludf.DUMMYFUNCTION("""COMPUTED_VALUE"""),1.0)</f>
        <v>1</v>
      </c>
      <c r="H348" s="1">
        <f>IFERROR(__xludf.DUMMYFUNCTION("""COMPUTED_VALUE"""),359.0)</f>
        <v>359</v>
      </c>
      <c r="I348" s="1" t="str">
        <f>IFERROR(__xludf.DUMMYFUNCTION("""COMPUTED_VALUE"""),"นาย")</f>
        <v>นาย</v>
      </c>
      <c r="J348" s="1" t="str">
        <f>IFERROR(__xludf.DUMMYFUNCTION("""COMPUTED_VALUE"""),"ชยากร")</f>
        <v>ชยากร</v>
      </c>
      <c r="K348" s="1" t="str">
        <f>IFERROR(__xludf.DUMMYFUNCTION("""COMPUTED_VALUE"""),"สุขพินิจ")</f>
        <v>สุขพินิจ</v>
      </c>
      <c r="L348" s="1" t="str">
        <f>IFERROR(__xludf.DUMMYFUNCTION("""COMPUTED_VALUE"""),"ม.6")</f>
        <v>ม.6</v>
      </c>
      <c r="M348" s="1" t="str">
        <f>IFERROR(__xludf.DUMMYFUNCTION("""COMPUTED_VALUE"""),"วิทยาศาสตร์")</f>
        <v>วิทยาศาสตร์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>
        <f>IFERROR(__xludf.DUMMYFUNCTION("""COMPUTED_VALUE"""),3.0)</f>
        <v>3</v>
      </c>
      <c r="B349" s="1">
        <f>IFERROR(__xludf.DUMMYFUNCTION("""COMPUTED_VALUE"""),1.0)</f>
        <v>1</v>
      </c>
      <c r="C349" s="1" t="str">
        <f>IFERROR(__xludf.DUMMYFUNCTION("""COMPUTED_VALUE"""),"ว30101")</f>
        <v>ว30101</v>
      </c>
      <c r="D349" s="1" t="str">
        <f>IFERROR(__xludf.DUMMYFUNCTION("""COMPUTED_VALUE"""),"วิทยาศาสตร์ชีวภาพ")</f>
        <v>วิทยาศาสตร์ชีวภาพ</v>
      </c>
      <c r="E349" s="1">
        <f>IFERROR(__xludf.DUMMYFUNCTION("""COMPUTED_VALUE"""),1.5)</f>
        <v>1.5</v>
      </c>
      <c r="F349" s="1">
        <f>IFERROR(__xludf.DUMMYFUNCTION("""COMPUTED_VALUE"""),2569.0)</f>
        <v>2569</v>
      </c>
      <c r="G349" s="1">
        <f>IFERROR(__xludf.DUMMYFUNCTION("""COMPUTED_VALUE"""),1.0)</f>
        <v>1</v>
      </c>
      <c r="H349" s="1">
        <f>IFERROR(__xludf.DUMMYFUNCTION("""COMPUTED_VALUE"""),360.0)</f>
        <v>360</v>
      </c>
      <c r="I349" s="1" t="str">
        <f>IFERROR(__xludf.DUMMYFUNCTION("""COMPUTED_VALUE"""),"นางสาว")</f>
        <v>นางสาว</v>
      </c>
      <c r="J349" s="1" t="str">
        <f>IFERROR(__xludf.DUMMYFUNCTION("""COMPUTED_VALUE"""),"กลิ่นสุคนธ์")</f>
        <v>กลิ่นสุคนธ์</v>
      </c>
      <c r="K349" s="1" t="str">
        <f>IFERROR(__xludf.DUMMYFUNCTION("""COMPUTED_VALUE"""),"ผ่องแผ้ว")</f>
        <v>ผ่องแผ้ว</v>
      </c>
      <c r="L349" s="1" t="str">
        <f>IFERROR(__xludf.DUMMYFUNCTION("""COMPUTED_VALUE"""),"ม.4")</f>
        <v>ม.4</v>
      </c>
      <c r="M349" s="1" t="str">
        <f>IFERROR(__xludf.DUMMYFUNCTION("""COMPUTED_VALUE"""),"วิทยาศาสตร์")</f>
        <v>วิทยาศาสตร์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>
        <f>IFERROR(__xludf.DUMMYFUNCTION("""COMPUTED_VALUE"""),4.0)</f>
        <v>4</v>
      </c>
      <c r="B350" s="1">
        <f>IFERROR(__xludf.DUMMYFUNCTION("""COMPUTED_VALUE"""),1.0)</f>
        <v>1</v>
      </c>
      <c r="C350" s="1" t="str">
        <f>IFERROR(__xludf.DUMMYFUNCTION("""COMPUTED_VALUE"""),"ว30101")</f>
        <v>ว30101</v>
      </c>
      <c r="D350" s="1" t="str">
        <f>IFERROR(__xludf.DUMMYFUNCTION("""COMPUTED_VALUE"""),"วิทยาศาสตร์ชีวภาพ")</f>
        <v>วิทยาศาสตร์ชีวภาพ</v>
      </c>
      <c r="E350" s="1">
        <f>IFERROR(__xludf.DUMMYFUNCTION("""COMPUTED_VALUE"""),1.5)</f>
        <v>1.5</v>
      </c>
      <c r="F350" s="1">
        <f>IFERROR(__xludf.DUMMYFUNCTION("""COMPUTED_VALUE"""),2569.0)</f>
        <v>2569</v>
      </c>
      <c r="G350" s="1">
        <f>IFERROR(__xludf.DUMMYFUNCTION("""COMPUTED_VALUE"""),1.0)</f>
        <v>1</v>
      </c>
      <c r="H350" s="1">
        <f>IFERROR(__xludf.DUMMYFUNCTION("""COMPUTED_VALUE"""),360.0)</f>
        <v>360</v>
      </c>
      <c r="I350" s="1" t="str">
        <f>IFERROR(__xludf.DUMMYFUNCTION("""COMPUTED_VALUE"""),"นางสาว")</f>
        <v>นางสาว</v>
      </c>
      <c r="J350" s="1" t="str">
        <f>IFERROR(__xludf.DUMMYFUNCTION("""COMPUTED_VALUE"""),"กลิ่นสุคนธ์")</f>
        <v>กลิ่นสุคนธ์</v>
      </c>
      <c r="K350" s="1" t="str">
        <f>IFERROR(__xludf.DUMMYFUNCTION("""COMPUTED_VALUE"""),"ผ่องแผ้ว")</f>
        <v>ผ่องแผ้ว</v>
      </c>
      <c r="L350" s="1" t="str">
        <f>IFERROR(__xludf.DUMMYFUNCTION("""COMPUTED_VALUE"""),"ม.4")</f>
        <v>ม.4</v>
      </c>
      <c r="M350" s="1" t="str">
        <f>IFERROR(__xludf.DUMMYFUNCTION("""COMPUTED_VALUE"""),"วิทยาศาสตร์")</f>
        <v>วิทยาศาสตร์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>
        <f>IFERROR(__xludf.DUMMYFUNCTION("""COMPUTED_VALUE"""),8.0)</f>
        <v>8</v>
      </c>
      <c r="B351" s="1">
        <f>IFERROR(__xludf.DUMMYFUNCTION("""COMPUTED_VALUE"""),1.0)</f>
        <v>1</v>
      </c>
      <c r="C351" s="1" t="str">
        <f>IFERROR(__xludf.DUMMYFUNCTION("""COMPUTED_VALUE"""),"ว30101")</f>
        <v>ว30101</v>
      </c>
      <c r="D351" s="1" t="str">
        <f>IFERROR(__xludf.DUMMYFUNCTION("""COMPUTED_VALUE"""),"วิทยาศาสตร์ชีวภาพ")</f>
        <v>วิทยาศาสตร์ชีวภาพ</v>
      </c>
      <c r="E351" s="1">
        <f>IFERROR(__xludf.DUMMYFUNCTION("""COMPUTED_VALUE"""),1.5)</f>
        <v>1.5</v>
      </c>
      <c r="F351" s="1">
        <f>IFERROR(__xludf.DUMMYFUNCTION("""COMPUTED_VALUE"""),2569.0)</f>
        <v>2569</v>
      </c>
      <c r="G351" s="1">
        <f>IFERROR(__xludf.DUMMYFUNCTION("""COMPUTED_VALUE"""),1.0)</f>
        <v>1</v>
      </c>
      <c r="H351" s="1">
        <f>IFERROR(__xludf.DUMMYFUNCTION("""COMPUTED_VALUE"""),360.0)</f>
        <v>360</v>
      </c>
      <c r="I351" s="1" t="str">
        <f>IFERROR(__xludf.DUMMYFUNCTION("""COMPUTED_VALUE"""),"นางสาว")</f>
        <v>นางสาว</v>
      </c>
      <c r="J351" s="1" t="str">
        <f>IFERROR(__xludf.DUMMYFUNCTION("""COMPUTED_VALUE"""),"กลิ่นสุคนธ์")</f>
        <v>กลิ่นสุคนธ์</v>
      </c>
      <c r="K351" s="1" t="str">
        <f>IFERROR(__xludf.DUMMYFUNCTION("""COMPUTED_VALUE"""),"ผ่องแผ้ว")</f>
        <v>ผ่องแผ้ว</v>
      </c>
      <c r="L351" s="1" t="str">
        <f>IFERROR(__xludf.DUMMYFUNCTION("""COMPUTED_VALUE"""),"ม.4")</f>
        <v>ม.4</v>
      </c>
      <c r="M351" s="1" t="str">
        <f>IFERROR(__xludf.DUMMYFUNCTION("""COMPUTED_VALUE"""),"วิทยาศาสตร์")</f>
        <v>วิทยาศาสตร์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>
        <f>IFERROR(__xludf.DUMMYFUNCTION("""COMPUTED_VALUE"""),9.0)</f>
        <v>9</v>
      </c>
      <c r="B352" s="1">
        <f>IFERROR(__xludf.DUMMYFUNCTION("""COMPUTED_VALUE"""),1.0)</f>
        <v>1</v>
      </c>
      <c r="C352" s="1" t="str">
        <f>IFERROR(__xludf.DUMMYFUNCTION("""COMPUTED_VALUE"""),"ว30101")</f>
        <v>ว30101</v>
      </c>
      <c r="D352" s="1" t="str">
        <f>IFERROR(__xludf.DUMMYFUNCTION("""COMPUTED_VALUE"""),"วิทยาศาสตร์ชีวภาพ")</f>
        <v>วิทยาศาสตร์ชีวภาพ</v>
      </c>
      <c r="E352" s="1">
        <f>IFERROR(__xludf.DUMMYFUNCTION("""COMPUTED_VALUE"""),1.5)</f>
        <v>1.5</v>
      </c>
      <c r="F352" s="1">
        <f>IFERROR(__xludf.DUMMYFUNCTION("""COMPUTED_VALUE"""),2569.0)</f>
        <v>2569</v>
      </c>
      <c r="G352" s="1">
        <f>IFERROR(__xludf.DUMMYFUNCTION("""COMPUTED_VALUE"""),1.0)</f>
        <v>1</v>
      </c>
      <c r="H352" s="1">
        <f>IFERROR(__xludf.DUMMYFUNCTION("""COMPUTED_VALUE"""),360.0)</f>
        <v>360</v>
      </c>
      <c r="I352" s="1" t="str">
        <f>IFERROR(__xludf.DUMMYFUNCTION("""COMPUTED_VALUE"""),"นางสาว")</f>
        <v>นางสาว</v>
      </c>
      <c r="J352" s="1" t="str">
        <f>IFERROR(__xludf.DUMMYFUNCTION("""COMPUTED_VALUE"""),"กลิ่นสุคนธ์")</f>
        <v>กลิ่นสุคนธ์</v>
      </c>
      <c r="K352" s="1" t="str">
        <f>IFERROR(__xludf.DUMMYFUNCTION("""COMPUTED_VALUE"""),"ผ่องแผ้ว")</f>
        <v>ผ่องแผ้ว</v>
      </c>
      <c r="L352" s="1" t="str">
        <f>IFERROR(__xludf.DUMMYFUNCTION("""COMPUTED_VALUE"""),"ม.4")</f>
        <v>ม.4</v>
      </c>
      <c r="M352" s="1" t="str">
        <f>IFERROR(__xludf.DUMMYFUNCTION("""COMPUTED_VALUE"""),"วิทยาศาสตร์")</f>
        <v>วิทยาศาสตร์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>
        <f>IFERROR(__xludf.DUMMYFUNCTION("""COMPUTED_VALUE"""),4.0)</f>
        <v>4</v>
      </c>
      <c r="B353" s="1">
        <f>IFERROR(__xludf.DUMMYFUNCTION("""COMPUTED_VALUE"""),1.0)</f>
        <v>1</v>
      </c>
      <c r="C353" s="1" t="str">
        <f>IFERROR(__xludf.DUMMYFUNCTION("""COMPUTED_VALUE"""),"ว30242")</f>
        <v>ว30242</v>
      </c>
      <c r="D353" s="1" t="str">
        <f>IFERROR(__xludf.DUMMYFUNCTION("""COMPUTED_VALUE"""),"ชีววิทยา 2")</f>
        <v>ชีววิทยา 2</v>
      </c>
      <c r="E353" s="1">
        <f>IFERROR(__xludf.DUMMYFUNCTION("""COMPUTED_VALUE"""),1.5)</f>
        <v>1.5</v>
      </c>
      <c r="F353" s="1">
        <f>IFERROR(__xludf.DUMMYFUNCTION("""COMPUTED_VALUE"""),2569.0)</f>
        <v>2569</v>
      </c>
      <c r="G353" s="1">
        <f>IFERROR(__xludf.DUMMYFUNCTION("""COMPUTED_VALUE"""),1.0)</f>
        <v>1</v>
      </c>
      <c r="H353" s="1">
        <f>IFERROR(__xludf.DUMMYFUNCTION("""COMPUTED_VALUE"""),360.0)</f>
        <v>360</v>
      </c>
      <c r="I353" s="1" t="str">
        <f>IFERROR(__xludf.DUMMYFUNCTION("""COMPUTED_VALUE"""),"นางสาว")</f>
        <v>นางสาว</v>
      </c>
      <c r="J353" s="1" t="str">
        <f>IFERROR(__xludf.DUMMYFUNCTION("""COMPUTED_VALUE"""),"กลิ่นสุคนธ์")</f>
        <v>กลิ่นสุคนธ์</v>
      </c>
      <c r="K353" s="1" t="str">
        <f>IFERROR(__xludf.DUMMYFUNCTION("""COMPUTED_VALUE"""),"ผ่องแผ้ว")</f>
        <v>ผ่องแผ้ว</v>
      </c>
      <c r="L353" s="1" t="str">
        <f>IFERROR(__xludf.DUMMYFUNCTION("""COMPUTED_VALUE"""),"ม.5")</f>
        <v>ม.5</v>
      </c>
      <c r="M353" s="1" t="str">
        <f>IFERROR(__xludf.DUMMYFUNCTION("""COMPUTED_VALUE"""),"วิทยาศาสตร์")</f>
        <v>วิทยาศาสตร์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>
        <f>IFERROR(__xludf.DUMMYFUNCTION("""COMPUTED_VALUE"""),3.0)</f>
        <v>3</v>
      </c>
      <c r="B354" s="1">
        <f>IFERROR(__xludf.DUMMYFUNCTION("""COMPUTED_VALUE"""),2.0)</f>
        <v>2</v>
      </c>
      <c r="C354" s="1" t="str">
        <f>IFERROR(__xludf.DUMMYFUNCTION("""COMPUTED_VALUE"""),"ส30251")</f>
        <v>ส30251</v>
      </c>
      <c r="D354" s="1" t="str">
        <f>IFERROR(__xludf.DUMMYFUNCTION("""COMPUTED_VALUE"""),"การป้องกันการทุจริต 5")</f>
        <v>การป้องกันการทุจริต 5</v>
      </c>
      <c r="E354" s="1">
        <f>IFERROR(__xludf.DUMMYFUNCTION("""COMPUTED_VALUE"""),0.5)</f>
        <v>0.5</v>
      </c>
      <c r="F354" s="1">
        <f>IFERROR(__xludf.DUMMYFUNCTION("""COMPUTED_VALUE"""),2569.0)</f>
        <v>2569</v>
      </c>
      <c r="G354" s="1">
        <f>IFERROR(__xludf.DUMMYFUNCTION("""COMPUTED_VALUE"""),1.0)</f>
        <v>1</v>
      </c>
      <c r="H354" s="1">
        <f>IFERROR(__xludf.DUMMYFUNCTION("""COMPUTED_VALUE"""),360.0)</f>
        <v>360</v>
      </c>
      <c r="I354" s="1" t="str">
        <f>IFERROR(__xludf.DUMMYFUNCTION("""COMPUTED_VALUE"""),"นางสาว")</f>
        <v>นางสาว</v>
      </c>
      <c r="J354" s="1" t="str">
        <f>IFERROR(__xludf.DUMMYFUNCTION("""COMPUTED_VALUE"""),"กลิ่นสุคนธ์")</f>
        <v>กลิ่นสุคนธ์</v>
      </c>
      <c r="K354" s="1" t="str">
        <f>IFERROR(__xludf.DUMMYFUNCTION("""COMPUTED_VALUE"""),"ผ่องแผ้ว")</f>
        <v>ผ่องแผ้ว</v>
      </c>
      <c r="L354" s="1" t="str">
        <f>IFERROR(__xludf.DUMMYFUNCTION("""COMPUTED_VALUE"""),"ม.6")</f>
        <v>ม.6</v>
      </c>
      <c r="M354" s="1" t="str">
        <f>IFERROR(__xludf.DUMMYFUNCTION("""COMPUTED_VALUE"""),"วิทยาศาสตร์")</f>
        <v>วิทยาศาสตร์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>
        <f>IFERROR(__xludf.DUMMYFUNCTION("""COMPUTED_VALUE"""),2.0)</f>
        <v>2</v>
      </c>
      <c r="B355" s="1">
        <f>IFERROR(__xludf.DUMMYFUNCTION("""COMPUTED_VALUE"""),1.0)</f>
        <v>1</v>
      </c>
      <c r="C355" s="1" t="str">
        <f>IFERROR(__xludf.DUMMYFUNCTION("""COMPUTED_VALUE"""),"I30201")</f>
        <v>I30201</v>
      </c>
      <c r="D355" s="1" t="str">
        <f>IFERROR(__xludf.DUMMYFUNCTION("""COMPUTED_VALUE"""),"การศึกษาค้นคว้าฯ")</f>
        <v>การศึกษาค้นคว้าฯ</v>
      </c>
      <c r="E355" s="1">
        <f>IFERROR(__xludf.DUMMYFUNCTION("""COMPUTED_VALUE"""),1.0)</f>
        <v>1</v>
      </c>
      <c r="F355" s="1">
        <f>IFERROR(__xludf.DUMMYFUNCTION("""COMPUTED_VALUE"""),2569.0)</f>
        <v>2569</v>
      </c>
      <c r="G355" s="1">
        <f>IFERROR(__xludf.DUMMYFUNCTION("""COMPUTED_VALUE"""),1.0)</f>
        <v>1</v>
      </c>
      <c r="H355" s="1">
        <f>IFERROR(__xludf.DUMMYFUNCTION("""COMPUTED_VALUE"""),360.0)</f>
        <v>360</v>
      </c>
      <c r="I355" s="1" t="str">
        <f>IFERROR(__xludf.DUMMYFUNCTION("""COMPUTED_VALUE"""),"นางสาว")</f>
        <v>นางสาว</v>
      </c>
      <c r="J355" s="1" t="str">
        <f>IFERROR(__xludf.DUMMYFUNCTION("""COMPUTED_VALUE"""),"กลิ่นสุคนธ์")</f>
        <v>กลิ่นสุคนธ์</v>
      </c>
      <c r="K355" s="1" t="str">
        <f>IFERROR(__xludf.DUMMYFUNCTION("""COMPUTED_VALUE"""),"ผ่องแผ้ว")</f>
        <v>ผ่องแผ้ว</v>
      </c>
      <c r="L355" s="1" t="str">
        <f>IFERROR(__xludf.DUMMYFUNCTION("""COMPUTED_VALUE"""),"ม.5")</f>
        <v>ม.5</v>
      </c>
      <c r="M355" s="1" t="str">
        <f>IFERROR(__xludf.DUMMYFUNCTION("""COMPUTED_VALUE"""),"วิทยาศาสตร์")</f>
        <v>วิทยาศาสตร์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>
        <f>IFERROR(__xludf.DUMMYFUNCTION("""COMPUTED_VALUE"""),4.0)</f>
        <v>4</v>
      </c>
      <c r="B356" s="1">
        <f>IFERROR(__xludf.DUMMYFUNCTION("""COMPUTED_VALUE"""),1.0)</f>
        <v>1</v>
      </c>
      <c r="C356" s="1" t="str">
        <f>IFERROR(__xludf.DUMMYFUNCTION("""COMPUTED_VALUE"""),"I30201")</f>
        <v>I30201</v>
      </c>
      <c r="D356" s="1" t="str">
        <f>IFERROR(__xludf.DUMMYFUNCTION("""COMPUTED_VALUE"""),"การศึกษาค้นคว้าฯ")</f>
        <v>การศึกษาค้นคว้าฯ</v>
      </c>
      <c r="E356" s="1">
        <f>IFERROR(__xludf.DUMMYFUNCTION("""COMPUTED_VALUE"""),1.0)</f>
        <v>1</v>
      </c>
      <c r="F356" s="1">
        <f>IFERROR(__xludf.DUMMYFUNCTION("""COMPUTED_VALUE"""),2569.0)</f>
        <v>2569</v>
      </c>
      <c r="G356" s="1">
        <f>IFERROR(__xludf.DUMMYFUNCTION("""COMPUTED_VALUE"""),1.0)</f>
        <v>1</v>
      </c>
      <c r="H356" s="1">
        <f>IFERROR(__xludf.DUMMYFUNCTION("""COMPUTED_VALUE"""),360.0)</f>
        <v>360</v>
      </c>
      <c r="I356" s="1" t="str">
        <f>IFERROR(__xludf.DUMMYFUNCTION("""COMPUTED_VALUE"""),"นางสาว")</f>
        <v>นางสาว</v>
      </c>
      <c r="J356" s="1" t="str">
        <f>IFERROR(__xludf.DUMMYFUNCTION("""COMPUTED_VALUE"""),"กลิ่นสุคนธ์")</f>
        <v>กลิ่นสุคนธ์</v>
      </c>
      <c r="K356" s="1" t="str">
        <f>IFERROR(__xludf.DUMMYFUNCTION("""COMPUTED_VALUE"""),"ผ่องแผ้ว")</f>
        <v>ผ่องแผ้ว</v>
      </c>
      <c r="L356" s="1" t="str">
        <f>IFERROR(__xludf.DUMMYFUNCTION("""COMPUTED_VALUE"""),"ม.5")</f>
        <v>ม.5</v>
      </c>
      <c r="M356" s="1" t="str">
        <f>IFERROR(__xludf.DUMMYFUNCTION("""COMPUTED_VALUE"""),"วิทยาศาสตร์")</f>
        <v>วิทยาศาสตร์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>
        <f>IFERROR(__xludf.DUMMYFUNCTION("""COMPUTED_VALUE"""),1.0)</f>
        <v>1</v>
      </c>
      <c r="B357" s="1">
        <f>IFERROR(__xludf.DUMMYFUNCTION("""COMPUTED_VALUE"""),1.0)</f>
        <v>1</v>
      </c>
      <c r="C357" s="1" t="str">
        <f>IFERROR(__xludf.DUMMYFUNCTION("""COMPUTED_VALUE"""),"ว21203")</f>
        <v>ว21203</v>
      </c>
      <c r="D357" s="1" t="str">
        <f>IFERROR(__xludf.DUMMYFUNCTION("""COMPUTED_VALUE"""),"ของเล่นเชิงวิทยาศาสตร์")</f>
        <v>ของเล่นเชิงวิทยาศาสตร์</v>
      </c>
      <c r="E357" s="1">
        <f>IFERROR(__xludf.DUMMYFUNCTION("""COMPUTED_VALUE"""),1.0)</f>
        <v>1</v>
      </c>
      <c r="F357" s="1">
        <f>IFERROR(__xludf.DUMMYFUNCTION("""COMPUTED_VALUE"""),2569.0)</f>
        <v>2569</v>
      </c>
      <c r="G357" s="1">
        <f>IFERROR(__xludf.DUMMYFUNCTION("""COMPUTED_VALUE"""),1.0)</f>
        <v>1</v>
      </c>
      <c r="H357" s="1">
        <f>IFERROR(__xludf.DUMMYFUNCTION("""COMPUTED_VALUE"""),361.0)</f>
        <v>361</v>
      </c>
      <c r="I357" s="1" t="str">
        <f>IFERROR(__xludf.DUMMYFUNCTION("""COMPUTED_VALUE"""),"นางสาว")</f>
        <v>นางสาว</v>
      </c>
      <c r="J357" s="1" t="str">
        <f>IFERROR(__xludf.DUMMYFUNCTION("""COMPUTED_VALUE"""),"วริษฐา")</f>
        <v>วริษฐา</v>
      </c>
      <c r="K357" s="1" t="str">
        <f>IFERROR(__xludf.DUMMYFUNCTION("""COMPUTED_VALUE"""),"บ ชอนสารเดช")</f>
        <v>บ ชอนสารเดช</v>
      </c>
      <c r="L357" s="1" t="str">
        <f>IFERROR(__xludf.DUMMYFUNCTION("""COMPUTED_VALUE"""),"ม.1")</f>
        <v>ม.1</v>
      </c>
      <c r="M357" s="1" t="str">
        <f>IFERROR(__xludf.DUMMYFUNCTION("""COMPUTED_VALUE"""),"วิทยาศาสตร์")</f>
        <v>วิทยาศาสตร์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>
        <f>IFERROR(__xludf.DUMMYFUNCTION("""COMPUTED_VALUE"""),4.0)</f>
        <v>4</v>
      </c>
      <c r="B358" s="1">
        <f>IFERROR(__xludf.DUMMYFUNCTION("""COMPUTED_VALUE"""),1.0)</f>
        <v>1</v>
      </c>
      <c r="C358" s="1" t="str">
        <f>IFERROR(__xludf.DUMMYFUNCTION("""COMPUTED_VALUE"""),"ว30103")</f>
        <v>ว30103</v>
      </c>
      <c r="D358" s="1" t="str">
        <f>IFERROR(__xludf.DUMMYFUNCTION("""COMPUTED_VALUE"""),"วิทยาศาสตร์กายภาพฟิสิกส์")</f>
        <v>วิทยาศาสตร์กายภาพฟิสิกส์</v>
      </c>
      <c r="E358" s="1">
        <f>IFERROR(__xludf.DUMMYFUNCTION("""COMPUTED_VALUE"""),1.5)</f>
        <v>1.5</v>
      </c>
      <c r="F358" s="1">
        <f>IFERROR(__xludf.DUMMYFUNCTION("""COMPUTED_VALUE"""),2569.0)</f>
        <v>2569</v>
      </c>
      <c r="G358" s="1">
        <f>IFERROR(__xludf.DUMMYFUNCTION("""COMPUTED_VALUE"""),1.0)</f>
        <v>1</v>
      </c>
      <c r="H358" s="1">
        <f>IFERROR(__xludf.DUMMYFUNCTION("""COMPUTED_VALUE"""),361.0)</f>
        <v>361</v>
      </c>
      <c r="I358" s="1" t="str">
        <f>IFERROR(__xludf.DUMMYFUNCTION("""COMPUTED_VALUE"""),"นางสาว")</f>
        <v>นางสาว</v>
      </c>
      <c r="J358" s="1" t="str">
        <f>IFERROR(__xludf.DUMMYFUNCTION("""COMPUTED_VALUE"""),"วริษฐา")</f>
        <v>วริษฐา</v>
      </c>
      <c r="K358" s="1" t="str">
        <f>IFERROR(__xludf.DUMMYFUNCTION("""COMPUTED_VALUE"""),"บ ชอนสารเดช")</f>
        <v>บ ชอนสารเดช</v>
      </c>
      <c r="L358" s="1" t="str">
        <f>IFERROR(__xludf.DUMMYFUNCTION("""COMPUTED_VALUE"""),"ม.4")</f>
        <v>ม.4</v>
      </c>
      <c r="M358" s="1" t="str">
        <f>IFERROR(__xludf.DUMMYFUNCTION("""COMPUTED_VALUE"""),"วิทยาศาสตร์")</f>
        <v>วิทยาศาสตร์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>
        <f>IFERROR(__xludf.DUMMYFUNCTION("""COMPUTED_VALUE"""),6.0)</f>
        <v>6</v>
      </c>
      <c r="B359" s="1">
        <f>IFERROR(__xludf.DUMMYFUNCTION("""COMPUTED_VALUE"""),1.0)</f>
        <v>1</v>
      </c>
      <c r="C359" s="1" t="str">
        <f>IFERROR(__xludf.DUMMYFUNCTION("""COMPUTED_VALUE"""),"ว30282")</f>
        <v>ว30282</v>
      </c>
      <c r="D359" s="1" t="str">
        <f>IFERROR(__xludf.DUMMYFUNCTION("""COMPUTED_VALUE"""),"โลก ดาราศาสตร์และอวกาศ")</f>
        <v>โลก ดาราศาสตร์และอวกาศ</v>
      </c>
      <c r="E359" s="1">
        <f>IFERROR(__xludf.DUMMYFUNCTION("""COMPUTED_VALUE"""),1.0)</f>
        <v>1</v>
      </c>
      <c r="F359" s="1">
        <f>IFERROR(__xludf.DUMMYFUNCTION("""COMPUTED_VALUE"""),2569.0)</f>
        <v>2569</v>
      </c>
      <c r="G359" s="1">
        <f>IFERROR(__xludf.DUMMYFUNCTION("""COMPUTED_VALUE"""),1.0)</f>
        <v>1</v>
      </c>
      <c r="H359" s="1">
        <f>IFERROR(__xludf.DUMMYFUNCTION("""COMPUTED_VALUE"""),361.0)</f>
        <v>361</v>
      </c>
      <c r="I359" s="1" t="str">
        <f>IFERROR(__xludf.DUMMYFUNCTION("""COMPUTED_VALUE"""),"นางสาว")</f>
        <v>นางสาว</v>
      </c>
      <c r="J359" s="1" t="str">
        <f>IFERROR(__xludf.DUMMYFUNCTION("""COMPUTED_VALUE"""),"วริษฐา")</f>
        <v>วริษฐา</v>
      </c>
      <c r="K359" s="1" t="str">
        <f>IFERROR(__xludf.DUMMYFUNCTION("""COMPUTED_VALUE"""),"บ ชอนสารเดช")</f>
        <v>บ ชอนสารเดช</v>
      </c>
      <c r="L359" s="1" t="str">
        <f>IFERROR(__xludf.DUMMYFUNCTION("""COMPUTED_VALUE"""),"ม.6")</f>
        <v>ม.6</v>
      </c>
      <c r="M359" s="1" t="str">
        <f>IFERROR(__xludf.DUMMYFUNCTION("""COMPUTED_VALUE"""),"วิทยาศาสตร์")</f>
        <v>วิทยาศาสตร์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>
        <f>IFERROR(__xludf.DUMMYFUNCTION("""COMPUTED_VALUE"""),8.0)</f>
        <v>8</v>
      </c>
      <c r="B360" s="1">
        <f>IFERROR(__xludf.DUMMYFUNCTION("""COMPUTED_VALUE"""),1.0)</f>
        <v>1</v>
      </c>
      <c r="C360" s="1" t="str">
        <f>IFERROR(__xludf.DUMMYFUNCTION("""COMPUTED_VALUE"""),"ว30282")</f>
        <v>ว30282</v>
      </c>
      <c r="D360" s="1" t="str">
        <f>IFERROR(__xludf.DUMMYFUNCTION("""COMPUTED_VALUE"""),"โลก ดาราศาสตร์และอวกาศ")</f>
        <v>โลก ดาราศาสตร์และอวกาศ</v>
      </c>
      <c r="E360" s="1">
        <f>IFERROR(__xludf.DUMMYFUNCTION("""COMPUTED_VALUE"""),1.0)</f>
        <v>1</v>
      </c>
      <c r="F360" s="1">
        <f>IFERROR(__xludf.DUMMYFUNCTION("""COMPUTED_VALUE"""),2569.0)</f>
        <v>2569</v>
      </c>
      <c r="G360" s="1">
        <f>IFERROR(__xludf.DUMMYFUNCTION("""COMPUTED_VALUE"""),1.0)</f>
        <v>1</v>
      </c>
      <c r="H360" s="1">
        <f>IFERROR(__xludf.DUMMYFUNCTION("""COMPUTED_VALUE"""),361.0)</f>
        <v>361</v>
      </c>
      <c r="I360" s="1" t="str">
        <f>IFERROR(__xludf.DUMMYFUNCTION("""COMPUTED_VALUE"""),"นางสาว")</f>
        <v>นางสาว</v>
      </c>
      <c r="J360" s="1" t="str">
        <f>IFERROR(__xludf.DUMMYFUNCTION("""COMPUTED_VALUE"""),"วริษฐา")</f>
        <v>วริษฐา</v>
      </c>
      <c r="K360" s="1" t="str">
        <f>IFERROR(__xludf.DUMMYFUNCTION("""COMPUTED_VALUE"""),"บ ชอนสารเดช")</f>
        <v>บ ชอนสารเดช</v>
      </c>
      <c r="L360" s="1" t="str">
        <f>IFERROR(__xludf.DUMMYFUNCTION("""COMPUTED_VALUE"""),"ม.6")</f>
        <v>ม.6</v>
      </c>
      <c r="M360" s="1" t="str">
        <f>IFERROR(__xludf.DUMMYFUNCTION("""COMPUTED_VALUE"""),"วิทยาศาสตร์")</f>
        <v>วิทยาศาสตร์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>
        <f>IFERROR(__xludf.DUMMYFUNCTION("""COMPUTED_VALUE"""),10.0)</f>
        <v>10</v>
      </c>
      <c r="B361" s="1">
        <f>IFERROR(__xludf.DUMMYFUNCTION("""COMPUTED_VALUE"""),1.0)</f>
        <v>1</v>
      </c>
      <c r="C361" s="1" t="str">
        <f>IFERROR(__xludf.DUMMYFUNCTION("""COMPUTED_VALUE"""),"ว30282")</f>
        <v>ว30282</v>
      </c>
      <c r="D361" s="1" t="str">
        <f>IFERROR(__xludf.DUMMYFUNCTION("""COMPUTED_VALUE"""),"โลก ดาราศาสตร์และอวกาศ")</f>
        <v>โลก ดาราศาสตร์และอวกาศ</v>
      </c>
      <c r="E361" s="1">
        <f>IFERROR(__xludf.DUMMYFUNCTION("""COMPUTED_VALUE"""),1.0)</f>
        <v>1</v>
      </c>
      <c r="F361" s="1">
        <f>IFERROR(__xludf.DUMMYFUNCTION("""COMPUTED_VALUE"""),2569.0)</f>
        <v>2569</v>
      </c>
      <c r="G361" s="1">
        <f>IFERROR(__xludf.DUMMYFUNCTION("""COMPUTED_VALUE"""),1.0)</f>
        <v>1</v>
      </c>
      <c r="H361" s="1">
        <f>IFERROR(__xludf.DUMMYFUNCTION("""COMPUTED_VALUE"""),361.0)</f>
        <v>361</v>
      </c>
      <c r="I361" s="1" t="str">
        <f>IFERROR(__xludf.DUMMYFUNCTION("""COMPUTED_VALUE"""),"นางสาว")</f>
        <v>นางสาว</v>
      </c>
      <c r="J361" s="1" t="str">
        <f>IFERROR(__xludf.DUMMYFUNCTION("""COMPUTED_VALUE"""),"วริษฐา")</f>
        <v>วริษฐา</v>
      </c>
      <c r="K361" s="1" t="str">
        <f>IFERROR(__xludf.DUMMYFUNCTION("""COMPUTED_VALUE"""),"บ ชอนสารเดช")</f>
        <v>บ ชอนสารเดช</v>
      </c>
      <c r="L361" s="1" t="str">
        <f>IFERROR(__xludf.DUMMYFUNCTION("""COMPUTED_VALUE"""),"ม.6")</f>
        <v>ม.6</v>
      </c>
      <c r="M361" s="1" t="str">
        <f>IFERROR(__xludf.DUMMYFUNCTION("""COMPUTED_VALUE"""),"วิทยาศาสตร์")</f>
        <v>วิทยาศาสตร์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>
        <f>IFERROR(__xludf.DUMMYFUNCTION("""COMPUTED_VALUE"""),2.0)</f>
        <v>2</v>
      </c>
      <c r="B362" s="1">
        <f>IFERROR(__xludf.DUMMYFUNCTION("""COMPUTED_VALUE"""),2.0)</f>
        <v>2</v>
      </c>
      <c r="C362" s="1" t="str">
        <f>IFERROR(__xludf.DUMMYFUNCTION("""COMPUTED_VALUE"""),"ส30249")</f>
        <v>ส30249</v>
      </c>
      <c r="D362" s="1" t="str">
        <f>IFERROR(__xludf.DUMMYFUNCTION("""COMPUTED_VALUE"""),"การป้องกันการทุจริต 3")</f>
        <v>การป้องกันการทุจริต 3</v>
      </c>
      <c r="E362" s="1">
        <f>IFERROR(__xludf.DUMMYFUNCTION("""COMPUTED_VALUE"""),0.5)</f>
        <v>0.5</v>
      </c>
      <c r="F362" s="1">
        <f>IFERROR(__xludf.DUMMYFUNCTION("""COMPUTED_VALUE"""),2569.0)</f>
        <v>2569</v>
      </c>
      <c r="G362" s="1">
        <f>IFERROR(__xludf.DUMMYFUNCTION("""COMPUTED_VALUE"""),1.0)</f>
        <v>1</v>
      </c>
      <c r="H362" s="1">
        <f>IFERROR(__xludf.DUMMYFUNCTION("""COMPUTED_VALUE"""),361.0)</f>
        <v>361</v>
      </c>
      <c r="I362" s="1" t="str">
        <f>IFERROR(__xludf.DUMMYFUNCTION("""COMPUTED_VALUE"""),"นางสาว")</f>
        <v>นางสาว</v>
      </c>
      <c r="J362" s="1" t="str">
        <f>IFERROR(__xludf.DUMMYFUNCTION("""COMPUTED_VALUE"""),"วริษฐา")</f>
        <v>วริษฐา</v>
      </c>
      <c r="K362" s="1" t="str">
        <f>IFERROR(__xludf.DUMMYFUNCTION("""COMPUTED_VALUE"""),"บ ชอนสารเดช")</f>
        <v>บ ชอนสารเดช</v>
      </c>
      <c r="L362" s="1" t="str">
        <f>IFERROR(__xludf.DUMMYFUNCTION("""COMPUTED_VALUE"""),"ม.5")</f>
        <v>ม.5</v>
      </c>
      <c r="M362" s="1" t="str">
        <f>IFERROR(__xludf.DUMMYFUNCTION("""COMPUTED_VALUE"""),"วิทยาศาสตร์")</f>
        <v>วิทยาศาสตร์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>
        <f>IFERROR(__xludf.DUMMYFUNCTION("""COMPUTED_VALUE"""),2.0)</f>
        <v>2</v>
      </c>
      <c r="B363" s="1">
        <f>IFERROR(__xludf.DUMMYFUNCTION("""COMPUTED_VALUE"""),1.0)</f>
        <v>1</v>
      </c>
      <c r="C363" s="1" t="str">
        <f>IFERROR(__xludf.DUMMYFUNCTION("""COMPUTED_VALUE"""),"I20201")</f>
        <v>I20201</v>
      </c>
      <c r="D363" s="1" t="str">
        <f>IFERROR(__xludf.DUMMYFUNCTION("""COMPUTED_VALUE"""),"การศึกษาค้นคว้า")</f>
        <v>การศึกษาค้นคว้า</v>
      </c>
      <c r="E363" s="1">
        <f>IFERROR(__xludf.DUMMYFUNCTION("""COMPUTED_VALUE"""),1.0)</f>
        <v>1</v>
      </c>
      <c r="F363" s="1">
        <f>IFERROR(__xludf.DUMMYFUNCTION("""COMPUTED_VALUE"""),2569.0)</f>
        <v>2569</v>
      </c>
      <c r="G363" s="1">
        <f>IFERROR(__xludf.DUMMYFUNCTION("""COMPUTED_VALUE"""),1.0)</f>
        <v>1</v>
      </c>
      <c r="H363" s="1">
        <f>IFERROR(__xludf.DUMMYFUNCTION("""COMPUTED_VALUE"""),361.0)</f>
        <v>361</v>
      </c>
      <c r="I363" s="1" t="str">
        <f>IFERROR(__xludf.DUMMYFUNCTION("""COMPUTED_VALUE"""),"นางสาว")</f>
        <v>นางสาว</v>
      </c>
      <c r="J363" s="1" t="str">
        <f>IFERROR(__xludf.DUMMYFUNCTION("""COMPUTED_VALUE"""),"วริษฐา")</f>
        <v>วริษฐา</v>
      </c>
      <c r="K363" s="1" t="str">
        <f>IFERROR(__xludf.DUMMYFUNCTION("""COMPUTED_VALUE"""),"บ ชอนสารเดช")</f>
        <v>บ ชอนสารเดช</v>
      </c>
      <c r="L363" s="1" t="str">
        <f>IFERROR(__xludf.DUMMYFUNCTION("""COMPUTED_VALUE"""),"ม.2")</f>
        <v>ม.2</v>
      </c>
      <c r="M363" s="1" t="str">
        <f>IFERROR(__xludf.DUMMYFUNCTION("""COMPUTED_VALUE"""),"วิทยาศาสตร์")</f>
        <v>วิทยาศาสตร์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>
        <f>IFERROR(__xludf.DUMMYFUNCTION("""COMPUTED_VALUE"""),3.0)</f>
        <v>3</v>
      </c>
      <c r="B364" s="1">
        <f>IFERROR(__xludf.DUMMYFUNCTION("""COMPUTED_VALUE"""),1.0)</f>
        <v>1</v>
      </c>
      <c r="C364" s="1" t="str">
        <f>IFERROR(__xludf.DUMMYFUNCTION("""COMPUTED_VALUE"""),"I20201")</f>
        <v>I20201</v>
      </c>
      <c r="D364" s="1" t="str">
        <f>IFERROR(__xludf.DUMMYFUNCTION("""COMPUTED_VALUE"""),"การศึกษาค้นคว้า")</f>
        <v>การศึกษาค้นคว้า</v>
      </c>
      <c r="E364" s="1">
        <f>IFERROR(__xludf.DUMMYFUNCTION("""COMPUTED_VALUE"""),1.0)</f>
        <v>1</v>
      </c>
      <c r="F364" s="1">
        <f>IFERROR(__xludf.DUMMYFUNCTION("""COMPUTED_VALUE"""),2569.0)</f>
        <v>2569</v>
      </c>
      <c r="G364" s="1">
        <f>IFERROR(__xludf.DUMMYFUNCTION("""COMPUTED_VALUE"""),1.0)</f>
        <v>1</v>
      </c>
      <c r="H364" s="1">
        <f>IFERROR(__xludf.DUMMYFUNCTION("""COMPUTED_VALUE"""),361.0)</f>
        <v>361</v>
      </c>
      <c r="I364" s="1" t="str">
        <f>IFERROR(__xludf.DUMMYFUNCTION("""COMPUTED_VALUE"""),"นางสาว")</f>
        <v>นางสาว</v>
      </c>
      <c r="J364" s="1" t="str">
        <f>IFERROR(__xludf.DUMMYFUNCTION("""COMPUTED_VALUE"""),"วริษฐา")</f>
        <v>วริษฐา</v>
      </c>
      <c r="K364" s="1" t="str">
        <f>IFERROR(__xludf.DUMMYFUNCTION("""COMPUTED_VALUE"""),"บ ชอนสารเดช")</f>
        <v>บ ชอนสารเดช</v>
      </c>
      <c r="L364" s="1" t="str">
        <f>IFERROR(__xludf.DUMMYFUNCTION("""COMPUTED_VALUE"""),"ม.2")</f>
        <v>ม.2</v>
      </c>
      <c r="M364" s="1" t="str">
        <f>IFERROR(__xludf.DUMMYFUNCTION("""COMPUTED_VALUE"""),"วิทยาศาสตร์")</f>
        <v>วิทยาศาสตร์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>
        <f>IFERROR(__xludf.DUMMYFUNCTION("""COMPUTED_VALUE"""),1.0)</f>
        <v>1</v>
      </c>
      <c r="B365" s="1">
        <f>IFERROR(__xludf.DUMMYFUNCTION("""COMPUTED_VALUE"""),1.0)</f>
        <v>1</v>
      </c>
      <c r="C365" s="1" t="str">
        <f>IFERROR(__xludf.DUMMYFUNCTION("""COMPUTED_VALUE"""),"ว20230")</f>
        <v>ว20230</v>
      </c>
      <c r="D365" s="1" t="str">
        <f>IFERROR(__xludf.DUMMYFUNCTION("""COMPUTED_VALUE"""),"Office Essential")</f>
        <v>Office Essential</v>
      </c>
      <c r="E365" s="1">
        <f>IFERROR(__xludf.DUMMYFUNCTION("""COMPUTED_VALUE"""),1.0)</f>
        <v>1</v>
      </c>
      <c r="F365" s="1">
        <f>IFERROR(__xludf.DUMMYFUNCTION("""COMPUTED_VALUE"""),2569.0)</f>
        <v>2569</v>
      </c>
      <c r="G365" s="1">
        <f>IFERROR(__xludf.DUMMYFUNCTION("""COMPUTED_VALUE"""),1.0)</f>
        <v>1</v>
      </c>
      <c r="H365" s="1">
        <f>IFERROR(__xludf.DUMMYFUNCTION("""COMPUTED_VALUE"""),362.0)</f>
        <v>362</v>
      </c>
      <c r="I365" s="1" t="str">
        <f>IFERROR(__xludf.DUMMYFUNCTION("""COMPUTED_VALUE"""),"นาย")</f>
        <v>นาย</v>
      </c>
      <c r="J365" s="1" t="str">
        <f>IFERROR(__xludf.DUMMYFUNCTION("""COMPUTED_VALUE"""),"ชัยยศ")</f>
        <v>ชัยยศ</v>
      </c>
      <c r="K365" s="1" t="str">
        <f>IFERROR(__xludf.DUMMYFUNCTION("""COMPUTED_VALUE"""),"กล่ำถึก")</f>
        <v>กล่ำถึก</v>
      </c>
      <c r="L365" s="1" t="str">
        <f>IFERROR(__xludf.DUMMYFUNCTION("""COMPUTED_VALUE"""),"ม.1")</f>
        <v>ม.1</v>
      </c>
      <c r="M365" s="1" t="str">
        <f>IFERROR(__xludf.DUMMYFUNCTION("""COMPUTED_VALUE"""),"วิทยาศาสตร์(เทคโนโลยี)")</f>
        <v>วิทยาศาสตร์(เทคโนโลยี)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>
        <f>IFERROR(__xludf.DUMMYFUNCTION("""COMPUTED_VALUE"""),2.0)</f>
        <v>2</v>
      </c>
      <c r="B366" s="1">
        <f>IFERROR(__xludf.DUMMYFUNCTION("""COMPUTED_VALUE"""),1.0)</f>
        <v>1</v>
      </c>
      <c r="C366" s="1" t="str">
        <f>IFERROR(__xludf.DUMMYFUNCTION("""COMPUTED_VALUE"""),"ว20230")</f>
        <v>ว20230</v>
      </c>
      <c r="D366" s="1" t="str">
        <f>IFERROR(__xludf.DUMMYFUNCTION("""COMPUTED_VALUE"""),"Office Essential")</f>
        <v>Office Essential</v>
      </c>
      <c r="E366" s="1">
        <f>IFERROR(__xludf.DUMMYFUNCTION("""COMPUTED_VALUE"""),1.0)</f>
        <v>1</v>
      </c>
      <c r="F366" s="1">
        <f>IFERROR(__xludf.DUMMYFUNCTION("""COMPUTED_VALUE"""),2569.0)</f>
        <v>2569</v>
      </c>
      <c r="G366" s="1">
        <f>IFERROR(__xludf.DUMMYFUNCTION("""COMPUTED_VALUE"""),1.0)</f>
        <v>1</v>
      </c>
      <c r="H366" s="1">
        <f>IFERROR(__xludf.DUMMYFUNCTION("""COMPUTED_VALUE"""),362.0)</f>
        <v>362</v>
      </c>
      <c r="I366" s="1" t="str">
        <f>IFERROR(__xludf.DUMMYFUNCTION("""COMPUTED_VALUE"""),"นาย")</f>
        <v>นาย</v>
      </c>
      <c r="J366" s="1" t="str">
        <f>IFERROR(__xludf.DUMMYFUNCTION("""COMPUTED_VALUE"""),"ชัยยศ")</f>
        <v>ชัยยศ</v>
      </c>
      <c r="K366" s="1" t="str">
        <f>IFERROR(__xludf.DUMMYFUNCTION("""COMPUTED_VALUE"""),"กล่ำถึก")</f>
        <v>กล่ำถึก</v>
      </c>
      <c r="L366" s="1" t="str">
        <f>IFERROR(__xludf.DUMMYFUNCTION("""COMPUTED_VALUE"""),"ม.1")</f>
        <v>ม.1</v>
      </c>
      <c r="M366" s="1" t="str">
        <f>IFERROR(__xludf.DUMMYFUNCTION("""COMPUTED_VALUE"""),"วิทยาศาสตร์(เทคโนโลยี)")</f>
        <v>วิทยาศาสตร์(เทคโนโลยี)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>
        <f>IFERROR(__xludf.DUMMYFUNCTION("""COMPUTED_VALUE"""),3.0)</f>
        <v>3</v>
      </c>
      <c r="B367" s="1">
        <f>IFERROR(__xludf.DUMMYFUNCTION("""COMPUTED_VALUE"""),1.0)</f>
        <v>1</v>
      </c>
      <c r="C367" s="1" t="str">
        <f>IFERROR(__xludf.DUMMYFUNCTION("""COMPUTED_VALUE"""),"ว20230")</f>
        <v>ว20230</v>
      </c>
      <c r="D367" s="1" t="str">
        <f>IFERROR(__xludf.DUMMYFUNCTION("""COMPUTED_VALUE"""),"Office Essential")</f>
        <v>Office Essential</v>
      </c>
      <c r="E367" s="1">
        <f>IFERROR(__xludf.DUMMYFUNCTION("""COMPUTED_VALUE"""),1.0)</f>
        <v>1</v>
      </c>
      <c r="F367" s="1">
        <f>IFERROR(__xludf.DUMMYFUNCTION("""COMPUTED_VALUE"""),2569.0)</f>
        <v>2569</v>
      </c>
      <c r="G367" s="1">
        <f>IFERROR(__xludf.DUMMYFUNCTION("""COMPUTED_VALUE"""),1.0)</f>
        <v>1</v>
      </c>
      <c r="H367" s="1">
        <f>IFERROR(__xludf.DUMMYFUNCTION("""COMPUTED_VALUE"""),362.0)</f>
        <v>362</v>
      </c>
      <c r="I367" s="1" t="str">
        <f>IFERROR(__xludf.DUMMYFUNCTION("""COMPUTED_VALUE"""),"นาย")</f>
        <v>นาย</v>
      </c>
      <c r="J367" s="1" t="str">
        <f>IFERROR(__xludf.DUMMYFUNCTION("""COMPUTED_VALUE"""),"ชัยยศ")</f>
        <v>ชัยยศ</v>
      </c>
      <c r="K367" s="1" t="str">
        <f>IFERROR(__xludf.DUMMYFUNCTION("""COMPUTED_VALUE"""),"กล่ำถึก")</f>
        <v>กล่ำถึก</v>
      </c>
      <c r="L367" s="1" t="str">
        <f>IFERROR(__xludf.DUMMYFUNCTION("""COMPUTED_VALUE"""),"ม.1")</f>
        <v>ม.1</v>
      </c>
      <c r="M367" s="1" t="str">
        <f>IFERROR(__xludf.DUMMYFUNCTION("""COMPUTED_VALUE"""),"วิทยาศาสตร์(เทคโนโลยี)")</f>
        <v>วิทยาศาสตร์(เทคโนโลยี)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>
        <f>IFERROR(__xludf.DUMMYFUNCTION("""COMPUTED_VALUE"""),4.0)</f>
        <v>4</v>
      </c>
      <c r="B368" s="1">
        <f>IFERROR(__xludf.DUMMYFUNCTION("""COMPUTED_VALUE"""),1.0)</f>
        <v>1</v>
      </c>
      <c r="C368" s="1" t="str">
        <f>IFERROR(__xludf.DUMMYFUNCTION("""COMPUTED_VALUE"""),"ว20230")</f>
        <v>ว20230</v>
      </c>
      <c r="D368" s="1" t="str">
        <f>IFERROR(__xludf.DUMMYFUNCTION("""COMPUTED_VALUE"""),"Office Essential")</f>
        <v>Office Essential</v>
      </c>
      <c r="E368" s="1">
        <f>IFERROR(__xludf.DUMMYFUNCTION("""COMPUTED_VALUE"""),1.0)</f>
        <v>1</v>
      </c>
      <c r="F368" s="1">
        <f>IFERROR(__xludf.DUMMYFUNCTION("""COMPUTED_VALUE"""),2569.0)</f>
        <v>2569</v>
      </c>
      <c r="G368" s="1">
        <f>IFERROR(__xludf.DUMMYFUNCTION("""COMPUTED_VALUE"""),1.0)</f>
        <v>1</v>
      </c>
      <c r="H368" s="1">
        <f>IFERROR(__xludf.DUMMYFUNCTION("""COMPUTED_VALUE"""),362.0)</f>
        <v>362</v>
      </c>
      <c r="I368" s="1" t="str">
        <f>IFERROR(__xludf.DUMMYFUNCTION("""COMPUTED_VALUE"""),"นาย")</f>
        <v>นาย</v>
      </c>
      <c r="J368" s="1" t="str">
        <f>IFERROR(__xludf.DUMMYFUNCTION("""COMPUTED_VALUE"""),"ชัยยศ")</f>
        <v>ชัยยศ</v>
      </c>
      <c r="K368" s="1" t="str">
        <f>IFERROR(__xludf.DUMMYFUNCTION("""COMPUTED_VALUE"""),"กล่ำถึก")</f>
        <v>กล่ำถึก</v>
      </c>
      <c r="L368" s="1" t="str">
        <f>IFERROR(__xludf.DUMMYFUNCTION("""COMPUTED_VALUE"""),"ม.1")</f>
        <v>ม.1</v>
      </c>
      <c r="M368" s="1" t="str">
        <f>IFERROR(__xludf.DUMMYFUNCTION("""COMPUTED_VALUE"""),"วิทยาศาสตร์(เทคโนโลยี)")</f>
        <v>วิทยาศาสตร์(เทคโนโลยี)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>
        <f>IFERROR(__xludf.DUMMYFUNCTION("""COMPUTED_VALUE"""),5.0)</f>
        <v>5</v>
      </c>
      <c r="B369" s="1">
        <f>IFERROR(__xludf.DUMMYFUNCTION("""COMPUTED_VALUE"""),1.0)</f>
        <v>1</v>
      </c>
      <c r="C369" s="1" t="str">
        <f>IFERROR(__xludf.DUMMYFUNCTION("""COMPUTED_VALUE"""),"ว20230")</f>
        <v>ว20230</v>
      </c>
      <c r="D369" s="1" t="str">
        <f>IFERROR(__xludf.DUMMYFUNCTION("""COMPUTED_VALUE"""),"Office Essential")</f>
        <v>Office Essential</v>
      </c>
      <c r="E369" s="1">
        <f>IFERROR(__xludf.DUMMYFUNCTION("""COMPUTED_VALUE"""),1.0)</f>
        <v>1</v>
      </c>
      <c r="F369" s="1">
        <f>IFERROR(__xludf.DUMMYFUNCTION("""COMPUTED_VALUE"""),2569.0)</f>
        <v>2569</v>
      </c>
      <c r="G369" s="1">
        <f>IFERROR(__xludf.DUMMYFUNCTION("""COMPUTED_VALUE"""),1.0)</f>
        <v>1</v>
      </c>
      <c r="H369" s="1">
        <f>IFERROR(__xludf.DUMMYFUNCTION("""COMPUTED_VALUE"""),362.0)</f>
        <v>362</v>
      </c>
      <c r="I369" s="1" t="str">
        <f>IFERROR(__xludf.DUMMYFUNCTION("""COMPUTED_VALUE"""),"นาย")</f>
        <v>นาย</v>
      </c>
      <c r="J369" s="1" t="str">
        <f>IFERROR(__xludf.DUMMYFUNCTION("""COMPUTED_VALUE"""),"ชัยยศ")</f>
        <v>ชัยยศ</v>
      </c>
      <c r="K369" s="1" t="str">
        <f>IFERROR(__xludf.DUMMYFUNCTION("""COMPUTED_VALUE"""),"กล่ำถึก")</f>
        <v>กล่ำถึก</v>
      </c>
      <c r="L369" s="1" t="str">
        <f>IFERROR(__xludf.DUMMYFUNCTION("""COMPUTED_VALUE"""),"ม.1")</f>
        <v>ม.1</v>
      </c>
      <c r="M369" s="1" t="str">
        <f>IFERROR(__xludf.DUMMYFUNCTION("""COMPUTED_VALUE"""),"วิทยาศาสตร์(เทคโนโลยี)")</f>
        <v>วิทยาศาสตร์(เทคโนโลยี)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>
        <f>IFERROR(__xludf.DUMMYFUNCTION("""COMPUTED_VALUE"""),6.0)</f>
        <v>6</v>
      </c>
      <c r="B370" s="1">
        <f>IFERROR(__xludf.DUMMYFUNCTION("""COMPUTED_VALUE"""),1.0)</f>
        <v>1</v>
      </c>
      <c r="C370" s="1" t="str">
        <f>IFERROR(__xludf.DUMMYFUNCTION("""COMPUTED_VALUE"""),"ว20230")</f>
        <v>ว20230</v>
      </c>
      <c r="D370" s="1" t="str">
        <f>IFERROR(__xludf.DUMMYFUNCTION("""COMPUTED_VALUE"""),"Office Essential")</f>
        <v>Office Essential</v>
      </c>
      <c r="E370" s="1">
        <f>IFERROR(__xludf.DUMMYFUNCTION("""COMPUTED_VALUE"""),1.0)</f>
        <v>1</v>
      </c>
      <c r="F370" s="1">
        <f>IFERROR(__xludf.DUMMYFUNCTION("""COMPUTED_VALUE"""),2569.0)</f>
        <v>2569</v>
      </c>
      <c r="G370" s="1">
        <f>IFERROR(__xludf.DUMMYFUNCTION("""COMPUTED_VALUE"""),1.0)</f>
        <v>1</v>
      </c>
      <c r="H370" s="1">
        <f>IFERROR(__xludf.DUMMYFUNCTION("""COMPUTED_VALUE"""),362.0)</f>
        <v>362</v>
      </c>
      <c r="I370" s="1" t="str">
        <f>IFERROR(__xludf.DUMMYFUNCTION("""COMPUTED_VALUE"""),"นาย")</f>
        <v>นาย</v>
      </c>
      <c r="J370" s="1" t="str">
        <f>IFERROR(__xludf.DUMMYFUNCTION("""COMPUTED_VALUE"""),"ชัยยศ")</f>
        <v>ชัยยศ</v>
      </c>
      <c r="K370" s="1" t="str">
        <f>IFERROR(__xludf.DUMMYFUNCTION("""COMPUTED_VALUE"""),"กล่ำถึก")</f>
        <v>กล่ำถึก</v>
      </c>
      <c r="L370" s="1" t="str">
        <f>IFERROR(__xludf.DUMMYFUNCTION("""COMPUTED_VALUE"""),"ม.1")</f>
        <v>ม.1</v>
      </c>
      <c r="M370" s="1" t="str">
        <f>IFERROR(__xludf.DUMMYFUNCTION("""COMPUTED_VALUE"""),"วิทยาศาสตร์(เทคโนโลยี)")</f>
        <v>วิทยาศาสตร์(เทคโนโลยี)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>
        <f>IFERROR(__xludf.DUMMYFUNCTION("""COMPUTED_VALUE"""),7.0)</f>
        <v>7</v>
      </c>
      <c r="B371" s="1">
        <f>IFERROR(__xludf.DUMMYFUNCTION("""COMPUTED_VALUE"""),1.0)</f>
        <v>1</v>
      </c>
      <c r="C371" s="1" t="str">
        <f>IFERROR(__xludf.DUMMYFUNCTION("""COMPUTED_VALUE"""),"ว20230")</f>
        <v>ว20230</v>
      </c>
      <c r="D371" s="1" t="str">
        <f>IFERROR(__xludf.DUMMYFUNCTION("""COMPUTED_VALUE"""),"Office Essential")</f>
        <v>Office Essential</v>
      </c>
      <c r="E371" s="1">
        <f>IFERROR(__xludf.DUMMYFUNCTION("""COMPUTED_VALUE"""),1.0)</f>
        <v>1</v>
      </c>
      <c r="F371" s="1">
        <f>IFERROR(__xludf.DUMMYFUNCTION("""COMPUTED_VALUE"""),2569.0)</f>
        <v>2569</v>
      </c>
      <c r="G371" s="1">
        <f>IFERROR(__xludf.DUMMYFUNCTION("""COMPUTED_VALUE"""),1.0)</f>
        <v>1</v>
      </c>
      <c r="H371" s="1">
        <f>IFERROR(__xludf.DUMMYFUNCTION("""COMPUTED_VALUE"""),362.0)</f>
        <v>362</v>
      </c>
      <c r="I371" s="1" t="str">
        <f>IFERROR(__xludf.DUMMYFUNCTION("""COMPUTED_VALUE"""),"นาย")</f>
        <v>นาย</v>
      </c>
      <c r="J371" s="1" t="str">
        <f>IFERROR(__xludf.DUMMYFUNCTION("""COMPUTED_VALUE"""),"ชัยยศ")</f>
        <v>ชัยยศ</v>
      </c>
      <c r="K371" s="1" t="str">
        <f>IFERROR(__xludf.DUMMYFUNCTION("""COMPUTED_VALUE"""),"กล่ำถึก")</f>
        <v>กล่ำถึก</v>
      </c>
      <c r="L371" s="1" t="str">
        <f>IFERROR(__xludf.DUMMYFUNCTION("""COMPUTED_VALUE"""),"ม.1")</f>
        <v>ม.1</v>
      </c>
      <c r="M371" s="1" t="str">
        <f>IFERROR(__xludf.DUMMYFUNCTION("""COMPUTED_VALUE"""),"วิทยาศาสตร์(เทคโนโลยี)")</f>
        <v>วิทยาศาสตร์(เทคโนโลยี)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>
        <f>IFERROR(__xludf.DUMMYFUNCTION("""COMPUTED_VALUE"""),2.0)</f>
        <v>2</v>
      </c>
      <c r="B372" s="1">
        <f>IFERROR(__xludf.DUMMYFUNCTION("""COMPUTED_VALUE"""),1.0)</f>
        <v>1</v>
      </c>
      <c r="C372" s="1" t="str">
        <f>IFERROR(__xludf.DUMMYFUNCTION("""COMPUTED_VALUE"""),"ว30106")</f>
        <v>ว30106</v>
      </c>
      <c r="D372" s="1" t="str">
        <f>IFERROR(__xludf.DUMMYFUNCTION("""COMPUTED_VALUE"""),"วิทยาการคำนวณ")</f>
        <v>วิทยาการคำนวณ</v>
      </c>
      <c r="E372" s="1">
        <f>IFERROR(__xludf.DUMMYFUNCTION("""COMPUTED_VALUE"""),0.5)</f>
        <v>0.5</v>
      </c>
      <c r="F372" s="1">
        <f>IFERROR(__xludf.DUMMYFUNCTION("""COMPUTED_VALUE"""),2569.0)</f>
        <v>2569</v>
      </c>
      <c r="G372" s="1">
        <f>IFERROR(__xludf.DUMMYFUNCTION("""COMPUTED_VALUE"""),1.0)</f>
        <v>1</v>
      </c>
      <c r="H372" s="1">
        <f>IFERROR(__xludf.DUMMYFUNCTION("""COMPUTED_VALUE"""),362.0)</f>
        <v>362</v>
      </c>
      <c r="I372" s="1" t="str">
        <f>IFERROR(__xludf.DUMMYFUNCTION("""COMPUTED_VALUE"""),"นาย")</f>
        <v>นาย</v>
      </c>
      <c r="J372" s="1" t="str">
        <f>IFERROR(__xludf.DUMMYFUNCTION("""COMPUTED_VALUE"""),"ชัยยศ")</f>
        <v>ชัยยศ</v>
      </c>
      <c r="K372" s="1" t="str">
        <f>IFERROR(__xludf.DUMMYFUNCTION("""COMPUTED_VALUE"""),"กล่ำถึก")</f>
        <v>กล่ำถึก</v>
      </c>
      <c r="L372" s="1" t="str">
        <f>IFERROR(__xludf.DUMMYFUNCTION("""COMPUTED_VALUE"""),"ม.4")</f>
        <v>ม.4</v>
      </c>
      <c r="M372" s="1" t="str">
        <f>IFERROR(__xludf.DUMMYFUNCTION("""COMPUTED_VALUE"""),"วิทยาศาสตร์(เทคโนโลยี)")</f>
        <v>วิทยาศาสตร์(เทคโนโลยี)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>
        <f>IFERROR(__xludf.DUMMYFUNCTION("""COMPUTED_VALUE"""),4.0)</f>
        <v>4</v>
      </c>
      <c r="B373" s="1">
        <f>IFERROR(__xludf.DUMMYFUNCTION("""COMPUTED_VALUE"""),1.0)</f>
        <v>1</v>
      </c>
      <c r="C373" s="1" t="str">
        <f>IFERROR(__xludf.DUMMYFUNCTION("""COMPUTED_VALUE"""),"ว30106")</f>
        <v>ว30106</v>
      </c>
      <c r="D373" s="1" t="str">
        <f>IFERROR(__xludf.DUMMYFUNCTION("""COMPUTED_VALUE"""),"วิทยาการคำนวณ")</f>
        <v>วิทยาการคำนวณ</v>
      </c>
      <c r="E373" s="1">
        <f>IFERROR(__xludf.DUMMYFUNCTION("""COMPUTED_VALUE"""),0.5)</f>
        <v>0.5</v>
      </c>
      <c r="F373" s="1">
        <f>IFERROR(__xludf.DUMMYFUNCTION("""COMPUTED_VALUE"""),2569.0)</f>
        <v>2569</v>
      </c>
      <c r="G373" s="1">
        <f>IFERROR(__xludf.DUMMYFUNCTION("""COMPUTED_VALUE"""),1.0)</f>
        <v>1</v>
      </c>
      <c r="H373" s="1">
        <f>IFERROR(__xludf.DUMMYFUNCTION("""COMPUTED_VALUE"""),362.0)</f>
        <v>362</v>
      </c>
      <c r="I373" s="1" t="str">
        <f>IFERROR(__xludf.DUMMYFUNCTION("""COMPUTED_VALUE"""),"นาย")</f>
        <v>นาย</v>
      </c>
      <c r="J373" s="1" t="str">
        <f>IFERROR(__xludf.DUMMYFUNCTION("""COMPUTED_VALUE"""),"ชัยยศ")</f>
        <v>ชัยยศ</v>
      </c>
      <c r="K373" s="1" t="str">
        <f>IFERROR(__xludf.DUMMYFUNCTION("""COMPUTED_VALUE"""),"กล่ำถึก")</f>
        <v>กล่ำถึก</v>
      </c>
      <c r="L373" s="1" t="str">
        <f>IFERROR(__xludf.DUMMYFUNCTION("""COMPUTED_VALUE"""),"ม.4")</f>
        <v>ม.4</v>
      </c>
      <c r="M373" s="1" t="str">
        <f>IFERROR(__xludf.DUMMYFUNCTION("""COMPUTED_VALUE"""),"วิทยาศาสตร์(เทคโนโลยี)")</f>
        <v>วิทยาศาสตร์(เทคโนโลยี)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>
        <f>IFERROR(__xludf.DUMMYFUNCTION("""COMPUTED_VALUE"""),6.0)</f>
        <v>6</v>
      </c>
      <c r="B374" s="1">
        <f>IFERROR(__xludf.DUMMYFUNCTION("""COMPUTED_VALUE"""),1.0)</f>
        <v>1</v>
      </c>
      <c r="C374" s="1" t="str">
        <f>IFERROR(__xludf.DUMMYFUNCTION("""COMPUTED_VALUE"""),"ว30106")</f>
        <v>ว30106</v>
      </c>
      <c r="D374" s="1" t="str">
        <f>IFERROR(__xludf.DUMMYFUNCTION("""COMPUTED_VALUE"""),"วิทยาการคำนวณ")</f>
        <v>วิทยาการคำนวณ</v>
      </c>
      <c r="E374" s="1">
        <f>IFERROR(__xludf.DUMMYFUNCTION("""COMPUTED_VALUE"""),0.5)</f>
        <v>0.5</v>
      </c>
      <c r="F374" s="1">
        <f>IFERROR(__xludf.DUMMYFUNCTION("""COMPUTED_VALUE"""),2569.0)</f>
        <v>2569</v>
      </c>
      <c r="G374" s="1">
        <f>IFERROR(__xludf.DUMMYFUNCTION("""COMPUTED_VALUE"""),1.0)</f>
        <v>1</v>
      </c>
      <c r="H374" s="1">
        <f>IFERROR(__xludf.DUMMYFUNCTION("""COMPUTED_VALUE"""),362.0)</f>
        <v>362</v>
      </c>
      <c r="I374" s="1" t="str">
        <f>IFERROR(__xludf.DUMMYFUNCTION("""COMPUTED_VALUE"""),"นาย")</f>
        <v>นาย</v>
      </c>
      <c r="J374" s="1" t="str">
        <f>IFERROR(__xludf.DUMMYFUNCTION("""COMPUTED_VALUE"""),"ชัยยศ")</f>
        <v>ชัยยศ</v>
      </c>
      <c r="K374" s="1" t="str">
        <f>IFERROR(__xludf.DUMMYFUNCTION("""COMPUTED_VALUE"""),"กล่ำถึก")</f>
        <v>กล่ำถึก</v>
      </c>
      <c r="L374" s="1" t="str">
        <f>IFERROR(__xludf.DUMMYFUNCTION("""COMPUTED_VALUE"""),"ม.4")</f>
        <v>ม.4</v>
      </c>
      <c r="M374" s="1" t="str">
        <f>IFERROR(__xludf.DUMMYFUNCTION("""COMPUTED_VALUE"""),"วิทยาศาสตร์(เทคโนโลยี)")</f>
        <v>วิทยาศาสตร์(เทคโนโลยี)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>
        <f>IFERROR(__xludf.DUMMYFUNCTION("""COMPUTED_VALUE"""),8.0)</f>
        <v>8</v>
      </c>
      <c r="B375" s="1">
        <f>IFERROR(__xludf.DUMMYFUNCTION("""COMPUTED_VALUE"""),1.0)</f>
        <v>1</v>
      </c>
      <c r="C375" s="1" t="str">
        <f>IFERROR(__xludf.DUMMYFUNCTION("""COMPUTED_VALUE"""),"ว30106")</f>
        <v>ว30106</v>
      </c>
      <c r="D375" s="1" t="str">
        <f>IFERROR(__xludf.DUMMYFUNCTION("""COMPUTED_VALUE"""),"วิทยาการคำนวณ")</f>
        <v>วิทยาการคำนวณ</v>
      </c>
      <c r="E375" s="1">
        <f>IFERROR(__xludf.DUMMYFUNCTION("""COMPUTED_VALUE"""),0.5)</f>
        <v>0.5</v>
      </c>
      <c r="F375" s="1">
        <f>IFERROR(__xludf.DUMMYFUNCTION("""COMPUTED_VALUE"""),2569.0)</f>
        <v>2569</v>
      </c>
      <c r="G375" s="1">
        <f>IFERROR(__xludf.DUMMYFUNCTION("""COMPUTED_VALUE"""),1.0)</f>
        <v>1</v>
      </c>
      <c r="H375" s="1">
        <f>IFERROR(__xludf.DUMMYFUNCTION("""COMPUTED_VALUE"""),362.0)</f>
        <v>362</v>
      </c>
      <c r="I375" s="1" t="str">
        <f>IFERROR(__xludf.DUMMYFUNCTION("""COMPUTED_VALUE"""),"นาย")</f>
        <v>นาย</v>
      </c>
      <c r="J375" s="1" t="str">
        <f>IFERROR(__xludf.DUMMYFUNCTION("""COMPUTED_VALUE"""),"ชัยยศ")</f>
        <v>ชัยยศ</v>
      </c>
      <c r="K375" s="1" t="str">
        <f>IFERROR(__xludf.DUMMYFUNCTION("""COMPUTED_VALUE"""),"กล่ำถึก")</f>
        <v>กล่ำถึก</v>
      </c>
      <c r="L375" s="1" t="str">
        <f>IFERROR(__xludf.DUMMYFUNCTION("""COMPUTED_VALUE"""),"ม.4")</f>
        <v>ม.4</v>
      </c>
      <c r="M375" s="1" t="str">
        <f>IFERROR(__xludf.DUMMYFUNCTION("""COMPUTED_VALUE"""),"วิทยาศาสตร์(เทคโนโลยี)")</f>
        <v>วิทยาศาสตร์(เทคโนโลยี)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>
        <f>IFERROR(__xludf.DUMMYFUNCTION("""COMPUTED_VALUE"""),10.0)</f>
        <v>10</v>
      </c>
      <c r="B376" s="1">
        <f>IFERROR(__xludf.DUMMYFUNCTION("""COMPUTED_VALUE"""),1.0)</f>
        <v>1</v>
      </c>
      <c r="C376" s="1" t="str">
        <f>IFERROR(__xludf.DUMMYFUNCTION("""COMPUTED_VALUE"""),"ว30106")</f>
        <v>ว30106</v>
      </c>
      <c r="D376" s="1" t="str">
        <f>IFERROR(__xludf.DUMMYFUNCTION("""COMPUTED_VALUE"""),"วิทยาการคำนวณ")</f>
        <v>วิทยาการคำนวณ</v>
      </c>
      <c r="E376" s="1">
        <f>IFERROR(__xludf.DUMMYFUNCTION("""COMPUTED_VALUE"""),0.5)</f>
        <v>0.5</v>
      </c>
      <c r="F376" s="1">
        <f>IFERROR(__xludf.DUMMYFUNCTION("""COMPUTED_VALUE"""),2569.0)</f>
        <v>2569</v>
      </c>
      <c r="G376" s="1">
        <f>IFERROR(__xludf.DUMMYFUNCTION("""COMPUTED_VALUE"""),1.0)</f>
        <v>1</v>
      </c>
      <c r="H376" s="1">
        <f>IFERROR(__xludf.DUMMYFUNCTION("""COMPUTED_VALUE"""),362.0)</f>
        <v>362</v>
      </c>
      <c r="I376" s="1" t="str">
        <f>IFERROR(__xludf.DUMMYFUNCTION("""COMPUTED_VALUE"""),"นาย")</f>
        <v>นาย</v>
      </c>
      <c r="J376" s="1" t="str">
        <f>IFERROR(__xludf.DUMMYFUNCTION("""COMPUTED_VALUE"""),"ชัยยศ")</f>
        <v>ชัยยศ</v>
      </c>
      <c r="K376" s="1" t="str">
        <f>IFERROR(__xludf.DUMMYFUNCTION("""COMPUTED_VALUE"""),"กล่ำถึก")</f>
        <v>กล่ำถึก</v>
      </c>
      <c r="L376" s="1" t="str">
        <f>IFERROR(__xludf.DUMMYFUNCTION("""COMPUTED_VALUE"""),"ม.4")</f>
        <v>ม.4</v>
      </c>
      <c r="M376" s="1" t="str">
        <f>IFERROR(__xludf.DUMMYFUNCTION("""COMPUTED_VALUE"""),"วิทยาศาสตร์(เทคโนโลยี)")</f>
        <v>วิทยาศาสตร์(เทคโนโลยี)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>
        <f>IFERROR(__xludf.DUMMYFUNCTION("""COMPUTED_VALUE"""),10.0)</f>
        <v>10</v>
      </c>
      <c r="B377" s="1">
        <f>IFERROR(__xludf.DUMMYFUNCTION("""COMPUTED_VALUE"""),2.0)</f>
        <v>2</v>
      </c>
      <c r="C377" s="1" t="str">
        <f>IFERROR(__xludf.DUMMYFUNCTION("""COMPUTED_VALUE"""),"ส30247")</f>
        <v>ส30247</v>
      </c>
      <c r="D377" s="1" t="str">
        <f>IFERROR(__xludf.DUMMYFUNCTION("""COMPUTED_VALUE"""),"การป้องกันการทุจริต 1")</f>
        <v>การป้องกันการทุจริต 1</v>
      </c>
      <c r="E377" s="1">
        <f>IFERROR(__xludf.DUMMYFUNCTION("""COMPUTED_VALUE"""),0.5)</f>
        <v>0.5</v>
      </c>
      <c r="F377" s="1">
        <f>IFERROR(__xludf.DUMMYFUNCTION("""COMPUTED_VALUE"""),2569.0)</f>
        <v>2569</v>
      </c>
      <c r="G377" s="1">
        <f>IFERROR(__xludf.DUMMYFUNCTION("""COMPUTED_VALUE"""),1.0)</f>
        <v>1</v>
      </c>
      <c r="H377" s="1">
        <f>IFERROR(__xludf.DUMMYFUNCTION("""COMPUTED_VALUE"""),412.0)</f>
        <v>412</v>
      </c>
      <c r="I377" s="1" t="str">
        <f>IFERROR(__xludf.DUMMYFUNCTION("""COMPUTED_VALUE"""),"นาย")</f>
        <v>นาย</v>
      </c>
      <c r="J377" s="1" t="str">
        <f>IFERROR(__xludf.DUMMYFUNCTION("""COMPUTED_VALUE"""),"พงศธร")</f>
        <v>พงศธร</v>
      </c>
      <c r="K377" s="1" t="str">
        <f>IFERROR(__xludf.DUMMYFUNCTION("""COMPUTED_VALUE"""),"แสนเมือง")</f>
        <v>แสนเมือง</v>
      </c>
      <c r="L377" s="1" t="str">
        <f>IFERROR(__xludf.DUMMYFUNCTION("""COMPUTED_VALUE"""),"ม.4")</f>
        <v>ม.4</v>
      </c>
      <c r="M377" s="1" t="str">
        <f>IFERROR(__xludf.DUMMYFUNCTION("""COMPUTED_VALUE"""),"สังคมศึกษา")</f>
        <v>สังคมศึกษา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>
        <f>IFERROR(__xludf.DUMMYFUNCTION("""COMPUTED_VALUE"""),7.0)</f>
        <v>7</v>
      </c>
      <c r="B378" s="1">
        <f>IFERROR(__xludf.DUMMYFUNCTION("""COMPUTED_VALUE"""),1.0)</f>
        <v>1</v>
      </c>
      <c r="C378" s="1" t="str">
        <f>IFERROR(__xludf.DUMMYFUNCTION("""COMPUTED_VALUE"""),"ส31201")</f>
        <v>ส31201</v>
      </c>
      <c r="D378" s="1" t="str">
        <f>IFERROR(__xludf.DUMMYFUNCTION("""COMPUTED_VALUE"""),"ภูมิศาสตร์กายภาพ")</f>
        <v>ภูมิศาสตร์กายภาพ</v>
      </c>
      <c r="E378" s="1">
        <f>IFERROR(__xludf.DUMMYFUNCTION("""COMPUTED_VALUE"""),1.0)</f>
        <v>1</v>
      </c>
      <c r="F378" s="1">
        <f>IFERROR(__xludf.DUMMYFUNCTION("""COMPUTED_VALUE"""),2569.0)</f>
        <v>2569</v>
      </c>
      <c r="G378" s="1">
        <f>IFERROR(__xludf.DUMMYFUNCTION("""COMPUTED_VALUE"""),1.0)</f>
        <v>1</v>
      </c>
      <c r="H378" s="1">
        <f>IFERROR(__xludf.DUMMYFUNCTION("""COMPUTED_VALUE"""),412.0)</f>
        <v>412</v>
      </c>
      <c r="I378" s="1" t="str">
        <f>IFERROR(__xludf.DUMMYFUNCTION("""COMPUTED_VALUE"""),"นาย")</f>
        <v>นาย</v>
      </c>
      <c r="J378" s="1" t="str">
        <f>IFERROR(__xludf.DUMMYFUNCTION("""COMPUTED_VALUE"""),"พงศธร")</f>
        <v>พงศธร</v>
      </c>
      <c r="K378" s="1" t="str">
        <f>IFERROR(__xludf.DUMMYFUNCTION("""COMPUTED_VALUE"""),"แสนเมือง")</f>
        <v>แสนเมือง</v>
      </c>
      <c r="L378" s="1" t="str">
        <f>IFERROR(__xludf.DUMMYFUNCTION("""COMPUTED_VALUE"""),"ม.4")</f>
        <v>ม.4</v>
      </c>
      <c r="M378" s="1" t="str">
        <f>IFERROR(__xludf.DUMMYFUNCTION("""COMPUTED_VALUE"""),"สังคมศึกษา")</f>
        <v>สังคมศึกษา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>
        <f>IFERROR(__xludf.DUMMYFUNCTION("""COMPUTED_VALUE"""),8.0)</f>
        <v>8</v>
      </c>
      <c r="B379" s="1">
        <f>IFERROR(__xludf.DUMMYFUNCTION("""COMPUTED_VALUE"""),1.0)</f>
        <v>1</v>
      </c>
      <c r="C379" s="1" t="str">
        <f>IFERROR(__xludf.DUMMYFUNCTION("""COMPUTED_VALUE"""),"ส31201")</f>
        <v>ส31201</v>
      </c>
      <c r="D379" s="1" t="str">
        <f>IFERROR(__xludf.DUMMYFUNCTION("""COMPUTED_VALUE"""),"ภูมิศาสตร์กายภาพ")</f>
        <v>ภูมิศาสตร์กายภาพ</v>
      </c>
      <c r="E379" s="1">
        <f>IFERROR(__xludf.DUMMYFUNCTION("""COMPUTED_VALUE"""),1.0)</f>
        <v>1</v>
      </c>
      <c r="F379" s="1">
        <f>IFERROR(__xludf.DUMMYFUNCTION("""COMPUTED_VALUE"""),2569.0)</f>
        <v>2569</v>
      </c>
      <c r="G379" s="1">
        <f>IFERROR(__xludf.DUMMYFUNCTION("""COMPUTED_VALUE"""),1.0)</f>
        <v>1</v>
      </c>
      <c r="H379" s="1">
        <f>IFERROR(__xludf.DUMMYFUNCTION("""COMPUTED_VALUE"""),412.0)</f>
        <v>412</v>
      </c>
      <c r="I379" s="1" t="str">
        <f>IFERROR(__xludf.DUMMYFUNCTION("""COMPUTED_VALUE"""),"นาย")</f>
        <v>นาย</v>
      </c>
      <c r="J379" s="1" t="str">
        <f>IFERROR(__xludf.DUMMYFUNCTION("""COMPUTED_VALUE"""),"พงศธร")</f>
        <v>พงศธร</v>
      </c>
      <c r="K379" s="1" t="str">
        <f>IFERROR(__xludf.DUMMYFUNCTION("""COMPUTED_VALUE"""),"แสนเมือง")</f>
        <v>แสนเมือง</v>
      </c>
      <c r="L379" s="1" t="str">
        <f>IFERROR(__xludf.DUMMYFUNCTION("""COMPUTED_VALUE"""),"ม.4")</f>
        <v>ม.4</v>
      </c>
      <c r="M379" s="1" t="str">
        <f>IFERROR(__xludf.DUMMYFUNCTION("""COMPUTED_VALUE"""),"สังคมศึกษา")</f>
        <v>สังคมศึกษา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>
        <f>IFERROR(__xludf.DUMMYFUNCTION("""COMPUTED_VALUE"""),1.0)</f>
        <v>1</v>
      </c>
      <c r="B380" s="1">
        <f>IFERROR(__xludf.DUMMYFUNCTION("""COMPUTED_VALUE"""),1.0)</f>
        <v>1</v>
      </c>
      <c r="C380" s="1" t="str">
        <f>IFERROR(__xludf.DUMMYFUNCTION("""COMPUTED_VALUE"""),"ส33101")</f>
        <v>ส33101</v>
      </c>
      <c r="D380" s="1" t="str">
        <f>IFERROR(__xludf.DUMMYFUNCTION("""COMPUTED_VALUE"""),"สังคมศึกษาฯ 5")</f>
        <v>สังคมศึกษาฯ 5</v>
      </c>
      <c r="E380" s="1">
        <f>IFERROR(__xludf.DUMMYFUNCTION("""COMPUTED_VALUE"""),1.0)</f>
        <v>1</v>
      </c>
      <c r="F380" s="1">
        <f>IFERROR(__xludf.DUMMYFUNCTION("""COMPUTED_VALUE"""),2569.0)</f>
        <v>2569</v>
      </c>
      <c r="G380" s="1">
        <f>IFERROR(__xludf.DUMMYFUNCTION("""COMPUTED_VALUE"""),1.0)</f>
        <v>1</v>
      </c>
      <c r="H380" s="1">
        <f>IFERROR(__xludf.DUMMYFUNCTION("""COMPUTED_VALUE"""),412.0)</f>
        <v>412</v>
      </c>
      <c r="I380" s="1" t="str">
        <f>IFERROR(__xludf.DUMMYFUNCTION("""COMPUTED_VALUE"""),"นาย")</f>
        <v>นาย</v>
      </c>
      <c r="J380" s="1" t="str">
        <f>IFERROR(__xludf.DUMMYFUNCTION("""COMPUTED_VALUE"""),"พงศธร")</f>
        <v>พงศธร</v>
      </c>
      <c r="K380" s="1" t="str">
        <f>IFERROR(__xludf.DUMMYFUNCTION("""COMPUTED_VALUE"""),"แสนเมือง")</f>
        <v>แสนเมือง</v>
      </c>
      <c r="L380" s="1" t="str">
        <f>IFERROR(__xludf.DUMMYFUNCTION("""COMPUTED_VALUE"""),"ม.6")</f>
        <v>ม.6</v>
      </c>
      <c r="M380" s="1" t="str">
        <f>IFERROR(__xludf.DUMMYFUNCTION("""COMPUTED_VALUE"""),"สังคมศึกษา")</f>
        <v>สังคมศึกษา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>
        <f>IFERROR(__xludf.DUMMYFUNCTION("""COMPUTED_VALUE"""),3.0)</f>
        <v>3</v>
      </c>
      <c r="B381" s="1">
        <f>IFERROR(__xludf.DUMMYFUNCTION("""COMPUTED_VALUE"""),1.0)</f>
        <v>1</v>
      </c>
      <c r="C381" s="1" t="str">
        <f>IFERROR(__xludf.DUMMYFUNCTION("""COMPUTED_VALUE"""),"ส33101")</f>
        <v>ส33101</v>
      </c>
      <c r="D381" s="1" t="str">
        <f>IFERROR(__xludf.DUMMYFUNCTION("""COMPUTED_VALUE"""),"สังคมศึกษาฯ 5")</f>
        <v>สังคมศึกษาฯ 5</v>
      </c>
      <c r="E381" s="1">
        <f>IFERROR(__xludf.DUMMYFUNCTION("""COMPUTED_VALUE"""),1.0)</f>
        <v>1</v>
      </c>
      <c r="F381" s="1">
        <f>IFERROR(__xludf.DUMMYFUNCTION("""COMPUTED_VALUE"""),2569.0)</f>
        <v>2569</v>
      </c>
      <c r="G381" s="1">
        <f>IFERROR(__xludf.DUMMYFUNCTION("""COMPUTED_VALUE"""),1.0)</f>
        <v>1</v>
      </c>
      <c r="H381" s="1">
        <f>IFERROR(__xludf.DUMMYFUNCTION("""COMPUTED_VALUE"""),412.0)</f>
        <v>412</v>
      </c>
      <c r="I381" s="1" t="str">
        <f>IFERROR(__xludf.DUMMYFUNCTION("""COMPUTED_VALUE"""),"นาย")</f>
        <v>นาย</v>
      </c>
      <c r="J381" s="1" t="str">
        <f>IFERROR(__xludf.DUMMYFUNCTION("""COMPUTED_VALUE"""),"พงศธร")</f>
        <v>พงศธร</v>
      </c>
      <c r="K381" s="1" t="str">
        <f>IFERROR(__xludf.DUMMYFUNCTION("""COMPUTED_VALUE"""),"แสนเมือง")</f>
        <v>แสนเมือง</v>
      </c>
      <c r="L381" s="1" t="str">
        <f>IFERROR(__xludf.DUMMYFUNCTION("""COMPUTED_VALUE"""),"ม.6")</f>
        <v>ม.6</v>
      </c>
      <c r="M381" s="1" t="str">
        <f>IFERROR(__xludf.DUMMYFUNCTION("""COMPUTED_VALUE"""),"สังคมศึกษา")</f>
        <v>สังคมศึกษา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>
        <f>IFERROR(__xludf.DUMMYFUNCTION("""COMPUTED_VALUE"""),5.0)</f>
        <v>5</v>
      </c>
      <c r="B382" s="1">
        <f>IFERROR(__xludf.DUMMYFUNCTION("""COMPUTED_VALUE"""),1.0)</f>
        <v>1</v>
      </c>
      <c r="C382" s="1" t="str">
        <f>IFERROR(__xludf.DUMMYFUNCTION("""COMPUTED_VALUE"""),"ส33101")</f>
        <v>ส33101</v>
      </c>
      <c r="D382" s="1" t="str">
        <f>IFERROR(__xludf.DUMMYFUNCTION("""COMPUTED_VALUE"""),"สังคมศึกษาฯ 5")</f>
        <v>สังคมศึกษาฯ 5</v>
      </c>
      <c r="E382" s="1">
        <f>IFERROR(__xludf.DUMMYFUNCTION("""COMPUTED_VALUE"""),1.0)</f>
        <v>1</v>
      </c>
      <c r="F382" s="1">
        <f>IFERROR(__xludf.DUMMYFUNCTION("""COMPUTED_VALUE"""),2569.0)</f>
        <v>2569</v>
      </c>
      <c r="G382" s="1">
        <f>IFERROR(__xludf.DUMMYFUNCTION("""COMPUTED_VALUE"""),1.0)</f>
        <v>1</v>
      </c>
      <c r="H382" s="1">
        <f>IFERROR(__xludf.DUMMYFUNCTION("""COMPUTED_VALUE"""),412.0)</f>
        <v>412</v>
      </c>
      <c r="I382" s="1" t="str">
        <f>IFERROR(__xludf.DUMMYFUNCTION("""COMPUTED_VALUE"""),"นาย")</f>
        <v>นาย</v>
      </c>
      <c r="J382" s="1" t="str">
        <f>IFERROR(__xludf.DUMMYFUNCTION("""COMPUTED_VALUE"""),"พงศธร")</f>
        <v>พงศธร</v>
      </c>
      <c r="K382" s="1" t="str">
        <f>IFERROR(__xludf.DUMMYFUNCTION("""COMPUTED_VALUE"""),"แสนเมือง")</f>
        <v>แสนเมือง</v>
      </c>
      <c r="L382" s="1" t="str">
        <f>IFERROR(__xludf.DUMMYFUNCTION("""COMPUTED_VALUE"""),"ม.6")</f>
        <v>ม.6</v>
      </c>
      <c r="M382" s="1" t="str">
        <f>IFERROR(__xludf.DUMMYFUNCTION("""COMPUTED_VALUE"""),"สังคมศึกษา")</f>
        <v>สังคมศึกษา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>
        <f>IFERROR(__xludf.DUMMYFUNCTION("""COMPUTED_VALUE"""),7.0)</f>
        <v>7</v>
      </c>
      <c r="B383" s="1">
        <f>IFERROR(__xludf.DUMMYFUNCTION("""COMPUTED_VALUE"""),1.0)</f>
        <v>1</v>
      </c>
      <c r="C383" s="1" t="str">
        <f>IFERROR(__xludf.DUMMYFUNCTION("""COMPUTED_VALUE"""),"ส33101")</f>
        <v>ส33101</v>
      </c>
      <c r="D383" s="1" t="str">
        <f>IFERROR(__xludf.DUMMYFUNCTION("""COMPUTED_VALUE"""),"สังคมศึกษาฯ 5")</f>
        <v>สังคมศึกษาฯ 5</v>
      </c>
      <c r="E383" s="1">
        <f>IFERROR(__xludf.DUMMYFUNCTION("""COMPUTED_VALUE"""),1.0)</f>
        <v>1</v>
      </c>
      <c r="F383" s="1">
        <f>IFERROR(__xludf.DUMMYFUNCTION("""COMPUTED_VALUE"""),2569.0)</f>
        <v>2569</v>
      </c>
      <c r="G383" s="1">
        <f>IFERROR(__xludf.DUMMYFUNCTION("""COMPUTED_VALUE"""),1.0)</f>
        <v>1</v>
      </c>
      <c r="H383" s="1">
        <f>IFERROR(__xludf.DUMMYFUNCTION("""COMPUTED_VALUE"""),412.0)</f>
        <v>412</v>
      </c>
      <c r="I383" s="1" t="str">
        <f>IFERROR(__xludf.DUMMYFUNCTION("""COMPUTED_VALUE"""),"นาย")</f>
        <v>นาย</v>
      </c>
      <c r="J383" s="1" t="str">
        <f>IFERROR(__xludf.DUMMYFUNCTION("""COMPUTED_VALUE"""),"พงศธร")</f>
        <v>พงศธร</v>
      </c>
      <c r="K383" s="1" t="str">
        <f>IFERROR(__xludf.DUMMYFUNCTION("""COMPUTED_VALUE"""),"แสนเมือง")</f>
        <v>แสนเมือง</v>
      </c>
      <c r="L383" s="1" t="str">
        <f>IFERROR(__xludf.DUMMYFUNCTION("""COMPUTED_VALUE"""),"ม.6")</f>
        <v>ม.6</v>
      </c>
      <c r="M383" s="1" t="str">
        <f>IFERROR(__xludf.DUMMYFUNCTION("""COMPUTED_VALUE"""),"สังคมศึกษา")</f>
        <v>สังคมศึกษา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>
        <f>IFERROR(__xludf.DUMMYFUNCTION("""COMPUTED_VALUE"""),9.0)</f>
        <v>9</v>
      </c>
      <c r="B384" s="1">
        <f>IFERROR(__xludf.DUMMYFUNCTION("""COMPUTED_VALUE"""),1.0)</f>
        <v>1</v>
      </c>
      <c r="C384" s="1" t="str">
        <f>IFERROR(__xludf.DUMMYFUNCTION("""COMPUTED_VALUE"""),"ส33101")</f>
        <v>ส33101</v>
      </c>
      <c r="D384" s="1" t="str">
        <f>IFERROR(__xludf.DUMMYFUNCTION("""COMPUTED_VALUE"""),"สังคมศึกษาฯ 5")</f>
        <v>สังคมศึกษาฯ 5</v>
      </c>
      <c r="E384" s="1">
        <f>IFERROR(__xludf.DUMMYFUNCTION("""COMPUTED_VALUE"""),1.0)</f>
        <v>1</v>
      </c>
      <c r="F384" s="1">
        <f>IFERROR(__xludf.DUMMYFUNCTION("""COMPUTED_VALUE"""),2569.0)</f>
        <v>2569</v>
      </c>
      <c r="G384" s="1">
        <f>IFERROR(__xludf.DUMMYFUNCTION("""COMPUTED_VALUE"""),1.0)</f>
        <v>1</v>
      </c>
      <c r="H384" s="1">
        <f>IFERROR(__xludf.DUMMYFUNCTION("""COMPUTED_VALUE"""),412.0)</f>
        <v>412</v>
      </c>
      <c r="I384" s="1" t="str">
        <f>IFERROR(__xludf.DUMMYFUNCTION("""COMPUTED_VALUE"""),"นาย")</f>
        <v>นาย</v>
      </c>
      <c r="J384" s="1" t="str">
        <f>IFERROR(__xludf.DUMMYFUNCTION("""COMPUTED_VALUE"""),"พงศธร")</f>
        <v>พงศธร</v>
      </c>
      <c r="K384" s="1" t="str">
        <f>IFERROR(__xludf.DUMMYFUNCTION("""COMPUTED_VALUE"""),"แสนเมือง")</f>
        <v>แสนเมือง</v>
      </c>
      <c r="L384" s="1" t="str">
        <f>IFERROR(__xludf.DUMMYFUNCTION("""COMPUTED_VALUE"""),"ม.6")</f>
        <v>ม.6</v>
      </c>
      <c r="M384" s="1" t="str">
        <f>IFERROR(__xludf.DUMMYFUNCTION("""COMPUTED_VALUE"""),"สังคมศึกษา")</f>
        <v>สังคมศึกษา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>
        <f>IFERROR(__xludf.DUMMYFUNCTION("""COMPUTED_VALUE"""),11.0)</f>
        <v>11</v>
      </c>
      <c r="B385" s="1">
        <f>IFERROR(__xludf.DUMMYFUNCTION("""COMPUTED_VALUE"""),1.0)</f>
        <v>1</v>
      </c>
      <c r="C385" s="1" t="str">
        <f>IFERROR(__xludf.DUMMYFUNCTION("""COMPUTED_VALUE"""),"ส33101")</f>
        <v>ส33101</v>
      </c>
      <c r="D385" s="1" t="str">
        <f>IFERROR(__xludf.DUMMYFUNCTION("""COMPUTED_VALUE"""),"สังคมศึกษาฯ 5")</f>
        <v>สังคมศึกษาฯ 5</v>
      </c>
      <c r="E385" s="1">
        <f>IFERROR(__xludf.DUMMYFUNCTION("""COMPUTED_VALUE"""),1.0)</f>
        <v>1</v>
      </c>
      <c r="F385" s="1">
        <f>IFERROR(__xludf.DUMMYFUNCTION("""COMPUTED_VALUE"""),2569.0)</f>
        <v>2569</v>
      </c>
      <c r="G385" s="1">
        <f>IFERROR(__xludf.DUMMYFUNCTION("""COMPUTED_VALUE"""),1.0)</f>
        <v>1</v>
      </c>
      <c r="H385" s="1">
        <f>IFERROR(__xludf.DUMMYFUNCTION("""COMPUTED_VALUE"""),412.0)</f>
        <v>412</v>
      </c>
      <c r="I385" s="1" t="str">
        <f>IFERROR(__xludf.DUMMYFUNCTION("""COMPUTED_VALUE"""),"นาย")</f>
        <v>นาย</v>
      </c>
      <c r="J385" s="1" t="str">
        <f>IFERROR(__xludf.DUMMYFUNCTION("""COMPUTED_VALUE"""),"พงศธร")</f>
        <v>พงศธร</v>
      </c>
      <c r="K385" s="1" t="str">
        <f>IFERROR(__xludf.DUMMYFUNCTION("""COMPUTED_VALUE"""),"แสนเมือง")</f>
        <v>แสนเมือง</v>
      </c>
      <c r="L385" s="1" t="str">
        <f>IFERROR(__xludf.DUMMYFUNCTION("""COMPUTED_VALUE"""),"ม.6")</f>
        <v>ม.6</v>
      </c>
      <c r="M385" s="1" t="str">
        <f>IFERROR(__xludf.DUMMYFUNCTION("""COMPUTED_VALUE"""),"สังคมศึกษา")</f>
        <v>สังคมศึกษา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>
        <f>IFERROR(__xludf.DUMMYFUNCTION("""COMPUTED_VALUE"""),1.0)</f>
        <v>1</v>
      </c>
      <c r="B386" s="1">
        <f>IFERROR(__xludf.DUMMYFUNCTION("""COMPUTED_VALUE"""),1.0)</f>
        <v>1</v>
      </c>
      <c r="C386" s="1" t="str">
        <f>IFERROR(__xludf.DUMMYFUNCTION("""COMPUTED_VALUE"""),"ส22102")</f>
        <v>ส22102</v>
      </c>
      <c r="D386" s="1" t="str">
        <f>IFERROR(__xludf.DUMMYFUNCTION("""COMPUTED_VALUE"""),"ประวัติศาสตร์ 3")</f>
        <v>ประวัติศาสตร์ 3</v>
      </c>
      <c r="E386" s="1">
        <f>IFERROR(__xludf.DUMMYFUNCTION("""COMPUTED_VALUE"""),0.5)</f>
        <v>0.5</v>
      </c>
      <c r="F386" s="1">
        <f>IFERROR(__xludf.DUMMYFUNCTION("""COMPUTED_VALUE"""),2569.0)</f>
        <v>2569</v>
      </c>
      <c r="G386" s="1">
        <f>IFERROR(__xludf.DUMMYFUNCTION("""COMPUTED_VALUE"""),1.0)</f>
        <v>1</v>
      </c>
      <c r="H386" s="1">
        <f>IFERROR(__xludf.DUMMYFUNCTION("""COMPUTED_VALUE"""),416.0)</f>
        <v>416</v>
      </c>
      <c r="I386" s="1" t="str">
        <f>IFERROR(__xludf.DUMMYFUNCTION("""COMPUTED_VALUE"""),"นางสาว")</f>
        <v>นางสาว</v>
      </c>
      <c r="J386" s="1" t="str">
        <f>IFERROR(__xludf.DUMMYFUNCTION("""COMPUTED_VALUE"""),"สุภาวดี")</f>
        <v>สุภาวดี</v>
      </c>
      <c r="K386" s="1" t="str">
        <f>IFERROR(__xludf.DUMMYFUNCTION("""COMPUTED_VALUE"""),"แก้วถึง")</f>
        <v>แก้วถึง</v>
      </c>
      <c r="L386" s="1" t="str">
        <f>IFERROR(__xludf.DUMMYFUNCTION("""COMPUTED_VALUE"""),"ม.2")</f>
        <v>ม.2</v>
      </c>
      <c r="M386" s="1" t="str">
        <f>IFERROR(__xludf.DUMMYFUNCTION("""COMPUTED_VALUE"""),"สังคมศึกษา")</f>
        <v>สังคมศึกษา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>
        <f>IFERROR(__xludf.DUMMYFUNCTION("""COMPUTED_VALUE"""),2.0)</f>
        <v>2</v>
      </c>
      <c r="B387" s="1">
        <f>IFERROR(__xludf.DUMMYFUNCTION("""COMPUTED_VALUE"""),1.0)</f>
        <v>1</v>
      </c>
      <c r="C387" s="1" t="str">
        <f>IFERROR(__xludf.DUMMYFUNCTION("""COMPUTED_VALUE"""),"ส22102")</f>
        <v>ส22102</v>
      </c>
      <c r="D387" s="1" t="str">
        <f>IFERROR(__xludf.DUMMYFUNCTION("""COMPUTED_VALUE"""),"ประวัติศาสตร์ 3")</f>
        <v>ประวัติศาสตร์ 3</v>
      </c>
      <c r="E387" s="1">
        <f>IFERROR(__xludf.DUMMYFUNCTION("""COMPUTED_VALUE"""),0.5)</f>
        <v>0.5</v>
      </c>
      <c r="F387" s="1">
        <f>IFERROR(__xludf.DUMMYFUNCTION("""COMPUTED_VALUE"""),2569.0)</f>
        <v>2569</v>
      </c>
      <c r="G387" s="1">
        <f>IFERROR(__xludf.DUMMYFUNCTION("""COMPUTED_VALUE"""),1.0)</f>
        <v>1</v>
      </c>
      <c r="H387" s="1">
        <f>IFERROR(__xludf.DUMMYFUNCTION("""COMPUTED_VALUE"""),416.0)</f>
        <v>416</v>
      </c>
      <c r="I387" s="1" t="str">
        <f>IFERROR(__xludf.DUMMYFUNCTION("""COMPUTED_VALUE"""),"นางสาว")</f>
        <v>นางสาว</v>
      </c>
      <c r="J387" s="1" t="str">
        <f>IFERROR(__xludf.DUMMYFUNCTION("""COMPUTED_VALUE"""),"สุภาวดี")</f>
        <v>สุภาวดี</v>
      </c>
      <c r="K387" s="1" t="str">
        <f>IFERROR(__xludf.DUMMYFUNCTION("""COMPUTED_VALUE"""),"แก้วถึง")</f>
        <v>แก้วถึง</v>
      </c>
      <c r="L387" s="1" t="str">
        <f>IFERROR(__xludf.DUMMYFUNCTION("""COMPUTED_VALUE"""),"ม.2")</f>
        <v>ม.2</v>
      </c>
      <c r="M387" s="1" t="str">
        <f>IFERROR(__xludf.DUMMYFUNCTION("""COMPUTED_VALUE"""),"สังคมศึกษา")</f>
        <v>สังคมศึกษา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>
        <f>IFERROR(__xludf.DUMMYFUNCTION("""COMPUTED_VALUE"""),3.0)</f>
        <v>3</v>
      </c>
      <c r="B388" s="1">
        <f>IFERROR(__xludf.DUMMYFUNCTION("""COMPUTED_VALUE"""),1.0)</f>
        <v>1</v>
      </c>
      <c r="C388" s="1" t="str">
        <f>IFERROR(__xludf.DUMMYFUNCTION("""COMPUTED_VALUE"""),"ส22102")</f>
        <v>ส22102</v>
      </c>
      <c r="D388" s="1" t="str">
        <f>IFERROR(__xludf.DUMMYFUNCTION("""COMPUTED_VALUE"""),"ประวัติศาสตร์ 3")</f>
        <v>ประวัติศาสตร์ 3</v>
      </c>
      <c r="E388" s="1">
        <f>IFERROR(__xludf.DUMMYFUNCTION("""COMPUTED_VALUE"""),0.5)</f>
        <v>0.5</v>
      </c>
      <c r="F388" s="1">
        <f>IFERROR(__xludf.DUMMYFUNCTION("""COMPUTED_VALUE"""),2569.0)</f>
        <v>2569</v>
      </c>
      <c r="G388" s="1">
        <f>IFERROR(__xludf.DUMMYFUNCTION("""COMPUTED_VALUE"""),1.0)</f>
        <v>1</v>
      </c>
      <c r="H388" s="1">
        <f>IFERROR(__xludf.DUMMYFUNCTION("""COMPUTED_VALUE"""),416.0)</f>
        <v>416</v>
      </c>
      <c r="I388" s="1" t="str">
        <f>IFERROR(__xludf.DUMMYFUNCTION("""COMPUTED_VALUE"""),"นางสาว")</f>
        <v>นางสาว</v>
      </c>
      <c r="J388" s="1" t="str">
        <f>IFERROR(__xludf.DUMMYFUNCTION("""COMPUTED_VALUE"""),"สุภาวดี")</f>
        <v>สุภาวดี</v>
      </c>
      <c r="K388" s="1" t="str">
        <f>IFERROR(__xludf.DUMMYFUNCTION("""COMPUTED_VALUE"""),"แก้วถึง")</f>
        <v>แก้วถึง</v>
      </c>
      <c r="L388" s="1" t="str">
        <f>IFERROR(__xludf.DUMMYFUNCTION("""COMPUTED_VALUE"""),"ม.2")</f>
        <v>ม.2</v>
      </c>
      <c r="M388" s="1" t="str">
        <f>IFERROR(__xludf.DUMMYFUNCTION("""COMPUTED_VALUE"""),"สังคมศึกษา")</f>
        <v>สังคมศึกษา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>
        <f>IFERROR(__xludf.DUMMYFUNCTION("""COMPUTED_VALUE"""),5.0)</f>
        <v>5</v>
      </c>
      <c r="B389" s="1">
        <f>IFERROR(__xludf.DUMMYFUNCTION("""COMPUTED_VALUE"""),1.0)</f>
        <v>1</v>
      </c>
      <c r="C389" s="1" t="str">
        <f>IFERROR(__xludf.DUMMYFUNCTION("""COMPUTED_VALUE"""),"ส22102")</f>
        <v>ส22102</v>
      </c>
      <c r="D389" s="1" t="str">
        <f>IFERROR(__xludf.DUMMYFUNCTION("""COMPUTED_VALUE"""),"ประวัติศาสตร์ 3")</f>
        <v>ประวัติศาสตร์ 3</v>
      </c>
      <c r="E389" s="1">
        <f>IFERROR(__xludf.DUMMYFUNCTION("""COMPUTED_VALUE"""),0.5)</f>
        <v>0.5</v>
      </c>
      <c r="F389" s="1">
        <f>IFERROR(__xludf.DUMMYFUNCTION("""COMPUTED_VALUE"""),2569.0)</f>
        <v>2569</v>
      </c>
      <c r="G389" s="1">
        <f>IFERROR(__xludf.DUMMYFUNCTION("""COMPUTED_VALUE"""),1.0)</f>
        <v>1</v>
      </c>
      <c r="H389" s="1">
        <f>IFERROR(__xludf.DUMMYFUNCTION("""COMPUTED_VALUE"""),416.0)</f>
        <v>416</v>
      </c>
      <c r="I389" s="1" t="str">
        <f>IFERROR(__xludf.DUMMYFUNCTION("""COMPUTED_VALUE"""),"นางสาว")</f>
        <v>นางสาว</v>
      </c>
      <c r="J389" s="1" t="str">
        <f>IFERROR(__xludf.DUMMYFUNCTION("""COMPUTED_VALUE"""),"สุภาวดี")</f>
        <v>สุภาวดี</v>
      </c>
      <c r="K389" s="1" t="str">
        <f>IFERROR(__xludf.DUMMYFUNCTION("""COMPUTED_VALUE"""),"แก้วถึง")</f>
        <v>แก้วถึง</v>
      </c>
      <c r="L389" s="1" t="str">
        <f>IFERROR(__xludf.DUMMYFUNCTION("""COMPUTED_VALUE"""),"ม.2")</f>
        <v>ม.2</v>
      </c>
      <c r="M389" s="1" t="str">
        <f>IFERROR(__xludf.DUMMYFUNCTION("""COMPUTED_VALUE"""),"สังคมศึกษา")</f>
        <v>สังคมศึกษา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>
        <f>IFERROR(__xludf.DUMMYFUNCTION("""COMPUTED_VALUE"""),7.0)</f>
        <v>7</v>
      </c>
      <c r="B390" s="1">
        <f>IFERROR(__xludf.DUMMYFUNCTION("""COMPUTED_VALUE"""),1.0)</f>
        <v>1</v>
      </c>
      <c r="C390" s="1" t="str">
        <f>IFERROR(__xludf.DUMMYFUNCTION("""COMPUTED_VALUE"""),"ส22102")</f>
        <v>ส22102</v>
      </c>
      <c r="D390" s="1" t="str">
        <f>IFERROR(__xludf.DUMMYFUNCTION("""COMPUTED_VALUE"""),"ประวัติศาสตร์ 3")</f>
        <v>ประวัติศาสตร์ 3</v>
      </c>
      <c r="E390" s="1">
        <f>IFERROR(__xludf.DUMMYFUNCTION("""COMPUTED_VALUE"""),0.5)</f>
        <v>0.5</v>
      </c>
      <c r="F390" s="1">
        <f>IFERROR(__xludf.DUMMYFUNCTION("""COMPUTED_VALUE"""),2569.0)</f>
        <v>2569</v>
      </c>
      <c r="G390" s="1">
        <f>IFERROR(__xludf.DUMMYFUNCTION("""COMPUTED_VALUE"""),1.0)</f>
        <v>1</v>
      </c>
      <c r="H390" s="1">
        <f>IFERROR(__xludf.DUMMYFUNCTION("""COMPUTED_VALUE"""),416.0)</f>
        <v>416</v>
      </c>
      <c r="I390" s="1" t="str">
        <f>IFERROR(__xludf.DUMMYFUNCTION("""COMPUTED_VALUE"""),"นางสาว")</f>
        <v>นางสาว</v>
      </c>
      <c r="J390" s="1" t="str">
        <f>IFERROR(__xludf.DUMMYFUNCTION("""COMPUTED_VALUE"""),"สุภาวดี")</f>
        <v>สุภาวดี</v>
      </c>
      <c r="K390" s="1" t="str">
        <f>IFERROR(__xludf.DUMMYFUNCTION("""COMPUTED_VALUE"""),"แก้วถึง")</f>
        <v>แก้วถึง</v>
      </c>
      <c r="L390" s="1" t="str">
        <f>IFERROR(__xludf.DUMMYFUNCTION("""COMPUTED_VALUE"""),"ม.2")</f>
        <v>ม.2</v>
      </c>
      <c r="M390" s="1" t="str">
        <f>IFERROR(__xludf.DUMMYFUNCTION("""COMPUTED_VALUE"""),"สังคมศึกษา")</f>
        <v>สังคมศึกษา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>
        <f>IFERROR(__xludf.DUMMYFUNCTION("""COMPUTED_VALUE"""),2.0)</f>
        <v>2</v>
      </c>
      <c r="B391" s="1">
        <f>IFERROR(__xludf.DUMMYFUNCTION("""COMPUTED_VALUE"""),1.0)</f>
        <v>1</v>
      </c>
      <c r="C391" s="1" t="str">
        <f>IFERROR(__xludf.DUMMYFUNCTION("""COMPUTED_VALUE"""),"ส23101")</f>
        <v>ส23101</v>
      </c>
      <c r="D391" s="1" t="str">
        <f>IFERROR(__xludf.DUMMYFUNCTION("""COMPUTED_VALUE"""),"สังคมศึกษาฯ 5")</f>
        <v>สังคมศึกษาฯ 5</v>
      </c>
      <c r="E391" s="1">
        <f>IFERROR(__xludf.DUMMYFUNCTION("""COMPUTED_VALUE"""),1.5)</f>
        <v>1.5</v>
      </c>
      <c r="F391" s="1">
        <f>IFERROR(__xludf.DUMMYFUNCTION("""COMPUTED_VALUE"""),2569.0)</f>
        <v>2569</v>
      </c>
      <c r="G391" s="1">
        <f>IFERROR(__xludf.DUMMYFUNCTION("""COMPUTED_VALUE"""),1.0)</f>
        <v>1</v>
      </c>
      <c r="H391" s="1">
        <f>IFERROR(__xludf.DUMMYFUNCTION("""COMPUTED_VALUE"""),416.0)</f>
        <v>416</v>
      </c>
      <c r="I391" s="1" t="str">
        <f>IFERROR(__xludf.DUMMYFUNCTION("""COMPUTED_VALUE"""),"นางสาว")</f>
        <v>นางสาว</v>
      </c>
      <c r="J391" s="1" t="str">
        <f>IFERROR(__xludf.DUMMYFUNCTION("""COMPUTED_VALUE"""),"สุภาวดี")</f>
        <v>สุภาวดี</v>
      </c>
      <c r="K391" s="1" t="str">
        <f>IFERROR(__xludf.DUMMYFUNCTION("""COMPUTED_VALUE"""),"แก้วถึง")</f>
        <v>แก้วถึง</v>
      </c>
      <c r="L391" s="1" t="str">
        <f>IFERROR(__xludf.DUMMYFUNCTION("""COMPUTED_VALUE"""),"ม.3")</f>
        <v>ม.3</v>
      </c>
      <c r="M391" s="1" t="str">
        <f>IFERROR(__xludf.DUMMYFUNCTION("""COMPUTED_VALUE"""),"สังคมศึกษา")</f>
        <v>สังคมศึกษา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>
        <f>IFERROR(__xludf.DUMMYFUNCTION("""COMPUTED_VALUE"""),4.0)</f>
        <v>4</v>
      </c>
      <c r="B392" s="1">
        <f>IFERROR(__xludf.DUMMYFUNCTION("""COMPUTED_VALUE"""),1.0)</f>
        <v>1</v>
      </c>
      <c r="C392" s="1" t="str">
        <f>IFERROR(__xludf.DUMMYFUNCTION("""COMPUTED_VALUE"""),"ส23101")</f>
        <v>ส23101</v>
      </c>
      <c r="D392" s="1" t="str">
        <f>IFERROR(__xludf.DUMMYFUNCTION("""COMPUTED_VALUE"""),"สังคมศึกษาฯ 5")</f>
        <v>สังคมศึกษาฯ 5</v>
      </c>
      <c r="E392" s="1">
        <f>IFERROR(__xludf.DUMMYFUNCTION("""COMPUTED_VALUE"""),1.5)</f>
        <v>1.5</v>
      </c>
      <c r="F392" s="1">
        <f>IFERROR(__xludf.DUMMYFUNCTION("""COMPUTED_VALUE"""),2569.0)</f>
        <v>2569</v>
      </c>
      <c r="G392" s="1">
        <f>IFERROR(__xludf.DUMMYFUNCTION("""COMPUTED_VALUE"""),1.0)</f>
        <v>1</v>
      </c>
      <c r="H392" s="1">
        <f>IFERROR(__xludf.DUMMYFUNCTION("""COMPUTED_VALUE"""),416.0)</f>
        <v>416</v>
      </c>
      <c r="I392" s="1" t="str">
        <f>IFERROR(__xludf.DUMMYFUNCTION("""COMPUTED_VALUE"""),"นางสาว")</f>
        <v>นางสาว</v>
      </c>
      <c r="J392" s="1" t="str">
        <f>IFERROR(__xludf.DUMMYFUNCTION("""COMPUTED_VALUE"""),"สุภาวดี")</f>
        <v>สุภาวดี</v>
      </c>
      <c r="K392" s="1" t="str">
        <f>IFERROR(__xludf.DUMMYFUNCTION("""COMPUTED_VALUE"""),"แก้วถึง")</f>
        <v>แก้วถึง</v>
      </c>
      <c r="L392" s="1" t="str">
        <f>IFERROR(__xludf.DUMMYFUNCTION("""COMPUTED_VALUE"""),"ม.3")</f>
        <v>ม.3</v>
      </c>
      <c r="M392" s="1" t="str">
        <f>IFERROR(__xludf.DUMMYFUNCTION("""COMPUTED_VALUE"""),"สังคมศึกษา")</f>
        <v>สังคมศึกษา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>
        <f>IFERROR(__xludf.DUMMYFUNCTION("""COMPUTED_VALUE"""),6.0)</f>
        <v>6</v>
      </c>
      <c r="B393" s="1">
        <f>IFERROR(__xludf.DUMMYFUNCTION("""COMPUTED_VALUE"""),1.0)</f>
        <v>1</v>
      </c>
      <c r="C393" s="1" t="str">
        <f>IFERROR(__xludf.DUMMYFUNCTION("""COMPUTED_VALUE"""),"ส23101")</f>
        <v>ส23101</v>
      </c>
      <c r="D393" s="1" t="str">
        <f>IFERROR(__xludf.DUMMYFUNCTION("""COMPUTED_VALUE"""),"สังคมศึกษาฯ 5")</f>
        <v>สังคมศึกษาฯ 5</v>
      </c>
      <c r="E393" s="1">
        <f>IFERROR(__xludf.DUMMYFUNCTION("""COMPUTED_VALUE"""),1.5)</f>
        <v>1.5</v>
      </c>
      <c r="F393" s="1">
        <f>IFERROR(__xludf.DUMMYFUNCTION("""COMPUTED_VALUE"""),2569.0)</f>
        <v>2569</v>
      </c>
      <c r="G393" s="1">
        <f>IFERROR(__xludf.DUMMYFUNCTION("""COMPUTED_VALUE"""),1.0)</f>
        <v>1</v>
      </c>
      <c r="H393" s="1">
        <f>IFERROR(__xludf.DUMMYFUNCTION("""COMPUTED_VALUE"""),416.0)</f>
        <v>416</v>
      </c>
      <c r="I393" s="1" t="str">
        <f>IFERROR(__xludf.DUMMYFUNCTION("""COMPUTED_VALUE"""),"นางสาว")</f>
        <v>นางสาว</v>
      </c>
      <c r="J393" s="1" t="str">
        <f>IFERROR(__xludf.DUMMYFUNCTION("""COMPUTED_VALUE"""),"สุภาวดี")</f>
        <v>สุภาวดี</v>
      </c>
      <c r="K393" s="1" t="str">
        <f>IFERROR(__xludf.DUMMYFUNCTION("""COMPUTED_VALUE"""),"แก้วถึง")</f>
        <v>แก้วถึง</v>
      </c>
      <c r="L393" s="1" t="str">
        <f>IFERROR(__xludf.DUMMYFUNCTION("""COMPUTED_VALUE"""),"ม.3")</f>
        <v>ม.3</v>
      </c>
      <c r="M393" s="1" t="str">
        <f>IFERROR(__xludf.DUMMYFUNCTION("""COMPUTED_VALUE"""),"สังคมศึกษา")</f>
        <v>สังคมศึกษา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>
        <f>IFERROR(__xludf.DUMMYFUNCTION("""COMPUTED_VALUE"""),8.0)</f>
        <v>8</v>
      </c>
      <c r="B394" s="1">
        <f>IFERROR(__xludf.DUMMYFUNCTION("""COMPUTED_VALUE"""),1.0)</f>
        <v>1</v>
      </c>
      <c r="C394" s="1" t="str">
        <f>IFERROR(__xludf.DUMMYFUNCTION("""COMPUTED_VALUE"""),"ส23101")</f>
        <v>ส23101</v>
      </c>
      <c r="D394" s="1" t="str">
        <f>IFERROR(__xludf.DUMMYFUNCTION("""COMPUTED_VALUE"""),"สังคมศึกษาฯ 5")</f>
        <v>สังคมศึกษาฯ 5</v>
      </c>
      <c r="E394" s="1">
        <f>IFERROR(__xludf.DUMMYFUNCTION("""COMPUTED_VALUE"""),1.5)</f>
        <v>1.5</v>
      </c>
      <c r="F394" s="1">
        <f>IFERROR(__xludf.DUMMYFUNCTION("""COMPUTED_VALUE"""),2569.0)</f>
        <v>2569</v>
      </c>
      <c r="G394" s="1">
        <f>IFERROR(__xludf.DUMMYFUNCTION("""COMPUTED_VALUE"""),1.0)</f>
        <v>1</v>
      </c>
      <c r="H394" s="1">
        <f>IFERROR(__xludf.DUMMYFUNCTION("""COMPUTED_VALUE"""),416.0)</f>
        <v>416</v>
      </c>
      <c r="I394" s="1" t="str">
        <f>IFERROR(__xludf.DUMMYFUNCTION("""COMPUTED_VALUE"""),"นางสาว")</f>
        <v>นางสาว</v>
      </c>
      <c r="J394" s="1" t="str">
        <f>IFERROR(__xludf.DUMMYFUNCTION("""COMPUTED_VALUE"""),"สุภาวดี")</f>
        <v>สุภาวดี</v>
      </c>
      <c r="K394" s="1" t="str">
        <f>IFERROR(__xludf.DUMMYFUNCTION("""COMPUTED_VALUE"""),"แก้วถึง")</f>
        <v>แก้วถึง</v>
      </c>
      <c r="L394" s="1" t="str">
        <f>IFERROR(__xludf.DUMMYFUNCTION("""COMPUTED_VALUE"""),"ม.3")</f>
        <v>ม.3</v>
      </c>
      <c r="M394" s="1" t="str">
        <f>IFERROR(__xludf.DUMMYFUNCTION("""COMPUTED_VALUE"""),"สังคมศึกษา")</f>
        <v>สังคมศึกษา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>
        <f>IFERROR(__xludf.DUMMYFUNCTION("""COMPUTED_VALUE"""),8.0)</f>
        <v>8</v>
      </c>
      <c r="B395" s="1">
        <f>IFERROR(__xludf.DUMMYFUNCTION("""COMPUTED_VALUE"""),2.0)</f>
        <v>2</v>
      </c>
      <c r="C395" s="1" t="str">
        <f>IFERROR(__xludf.DUMMYFUNCTION("""COMPUTED_VALUE"""),"ส30251")</f>
        <v>ส30251</v>
      </c>
      <c r="D395" s="1" t="str">
        <f>IFERROR(__xludf.DUMMYFUNCTION("""COMPUTED_VALUE"""),"การป้องกันการทุจริต 5")</f>
        <v>การป้องกันการทุจริต 5</v>
      </c>
      <c r="E395" s="1">
        <f>IFERROR(__xludf.DUMMYFUNCTION("""COMPUTED_VALUE"""),0.5)</f>
        <v>0.5</v>
      </c>
      <c r="F395" s="1">
        <f>IFERROR(__xludf.DUMMYFUNCTION("""COMPUTED_VALUE"""),2569.0)</f>
        <v>2569</v>
      </c>
      <c r="G395" s="1">
        <f>IFERROR(__xludf.DUMMYFUNCTION("""COMPUTED_VALUE"""),1.0)</f>
        <v>1</v>
      </c>
      <c r="H395" s="1">
        <f>IFERROR(__xludf.DUMMYFUNCTION("""COMPUTED_VALUE"""),416.0)</f>
        <v>416</v>
      </c>
      <c r="I395" s="1" t="str">
        <f>IFERROR(__xludf.DUMMYFUNCTION("""COMPUTED_VALUE"""),"นางสาว")</f>
        <v>นางสาว</v>
      </c>
      <c r="J395" s="1" t="str">
        <f>IFERROR(__xludf.DUMMYFUNCTION("""COMPUTED_VALUE"""),"สุภาวดี")</f>
        <v>สุภาวดี</v>
      </c>
      <c r="K395" s="1" t="str">
        <f>IFERROR(__xludf.DUMMYFUNCTION("""COMPUTED_VALUE"""),"แก้วถึง")</f>
        <v>แก้วถึง</v>
      </c>
      <c r="L395" s="1" t="str">
        <f>IFERROR(__xludf.DUMMYFUNCTION("""COMPUTED_VALUE"""),"ม.6")</f>
        <v>ม.6</v>
      </c>
      <c r="M395" s="1" t="str">
        <f>IFERROR(__xludf.DUMMYFUNCTION("""COMPUTED_VALUE"""),"สังคมศึกษา")</f>
        <v>สังคมศึกษา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>
        <f>IFERROR(__xludf.DUMMYFUNCTION("""COMPUTED_VALUE"""),1.0)</f>
        <v>1</v>
      </c>
      <c r="B396" s="1">
        <f>IFERROR(__xludf.DUMMYFUNCTION("""COMPUTED_VALUE"""),1.0)</f>
        <v>1</v>
      </c>
      <c r="C396" s="1" t="str">
        <f>IFERROR(__xludf.DUMMYFUNCTION("""COMPUTED_VALUE"""),"ส20201")</f>
        <v>ส20201</v>
      </c>
      <c r="D396" s="1" t="str">
        <f>IFERROR(__xludf.DUMMYFUNCTION("""COMPUTED_VALUE"""),"สิทธิเด็กพื้นฐานที่ควรรู้")</f>
        <v>สิทธิเด็กพื้นฐานที่ควรรู้</v>
      </c>
      <c r="E396" s="1">
        <f>IFERROR(__xludf.DUMMYFUNCTION("""COMPUTED_VALUE"""),0.5)</f>
        <v>0.5</v>
      </c>
      <c r="F396" s="1">
        <f>IFERROR(__xludf.DUMMYFUNCTION("""COMPUTED_VALUE"""),2569.0)</f>
        <v>2569</v>
      </c>
      <c r="G396" s="1">
        <f>IFERROR(__xludf.DUMMYFUNCTION("""COMPUTED_VALUE"""),1.0)</f>
        <v>1</v>
      </c>
      <c r="H396" s="1">
        <f>IFERROR(__xludf.DUMMYFUNCTION("""COMPUTED_VALUE"""),421.0)</f>
        <v>421</v>
      </c>
      <c r="I396" s="1" t="str">
        <f>IFERROR(__xludf.DUMMYFUNCTION("""COMPUTED_VALUE"""),"นางสาว")</f>
        <v>นางสาว</v>
      </c>
      <c r="J396" s="1" t="str">
        <f>IFERROR(__xludf.DUMMYFUNCTION("""COMPUTED_VALUE"""),"อัจฉรา")</f>
        <v>อัจฉรา</v>
      </c>
      <c r="K396" s="1" t="str">
        <f>IFERROR(__xludf.DUMMYFUNCTION("""COMPUTED_VALUE"""),"จันทร์ผ่อง")</f>
        <v>จันทร์ผ่อง</v>
      </c>
      <c r="L396" s="1" t="str">
        <f>IFERROR(__xludf.DUMMYFUNCTION("""COMPUTED_VALUE"""),"ม.2")</f>
        <v>ม.2</v>
      </c>
      <c r="M396" s="1" t="str">
        <f>IFERROR(__xludf.DUMMYFUNCTION("""COMPUTED_VALUE"""),"สังคมศึกษา")</f>
        <v>สังคมศึกษา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>
        <f>IFERROR(__xludf.DUMMYFUNCTION("""COMPUTED_VALUE"""),1.0)</f>
        <v>1</v>
      </c>
      <c r="B397" s="1">
        <f>IFERROR(__xludf.DUMMYFUNCTION("""COMPUTED_VALUE"""),1.0)</f>
        <v>1</v>
      </c>
      <c r="C397" s="1" t="str">
        <f>IFERROR(__xludf.DUMMYFUNCTION("""COMPUTED_VALUE"""),"ส21101")</f>
        <v>ส21101</v>
      </c>
      <c r="D397" s="1" t="str">
        <f>IFERROR(__xludf.DUMMYFUNCTION("""COMPUTED_VALUE"""),"สังคมศึกษาฯ 1")</f>
        <v>สังคมศึกษาฯ 1</v>
      </c>
      <c r="E397" s="1">
        <f>IFERROR(__xludf.DUMMYFUNCTION("""COMPUTED_VALUE"""),1.5)</f>
        <v>1.5</v>
      </c>
      <c r="F397" s="1">
        <f>IFERROR(__xludf.DUMMYFUNCTION("""COMPUTED_VALUE"""),2569.0)</f>
        <v>2569</v>
      </c>
      <c r="G397" s="1">
        <f>IFERROR(__xludf.DUMMYFUNCTION("""COMPUTED_VALUE"""),1.0)</f>
        <v>1</v>
      </c>
      <c r="H397" s="1">
        <f>IFERROR(__xludf.DUMMYFUNCTION("""COMPUTED_VALUE"""),421.0)</f>
        <v>421</v>
      </c>
      <c r="I397" s="1" t="str">
        <f>IFERROR(__xludf.DUMMYFUNCTION("""COMPUTED_VALUE"""),"นางสาว")</f>
        <v>นางสาว</v>
      </c>
      <c r="J397" s="1" t="str">
        <f>IFERROR(__xludf.DUMMYFUNCTION("""COMPUTED_VALUE"""),"อัจฉรา")</f>
        <v>อัจฉรา</v>
      </c>
      <c r="K397" s="1" t="str">
        <f>IFERROR(__xludf.DUMMYFUNCTION("""COMPUTED_VALUE"""),"จันทร์ผ่อง")</f>
        <v>จันทร์ผ่อง</v>
      </c>
      <c r="L397" s="1" t="str">
        <f>IFERROR(__xludf.DUMMYFUNCTION("""COMPUTED_VALUE"""),"ม.1")</f>
        <v>ม.1</v>
      </c>
      <c r="M397" s="1" t="str">
        <f>IFERROR(__xludf.DUMMYFUNCTION("""COMPUTED_VALUE"""),"สังคมศึกษา")</f>
        <v>สังคมศึกษา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>
        <f>IFERROR(__xludf.DUMMYFUNCTION("""COMPUTED_VALUE"""),3.0)</f>
        <v>3</v>
      </c>
      <c r="B398" s="1">
        <f>IFERROR(__xludf.DUMMYFUNCTION("""COMPUTED_VALUE"""),1.0)</f>
        <v>1</v>
      </c>
      <c r="C398" s="1" t="str">
        <f>IFERROR(__xludf.DUMMYFUNCTION("""COMPUTED_VALUE"""),"ส21101")</f>
        <v>ส21101</v>
      </c>
      <c r="D398" s="1" t="str">
        <f>IFERROR(__xludf.DUMMYFUNCTION("""COMPUTED_VALUE"""),"สังคมศึกษาฯ 1")</f>
        <v>สังคมศึกษาฯ 1</v>
      </c>
      <c r="E398" s="1">
        <f>IFERROR(__xludf.DUMMYFUNCTION("""COMPUTED_VALUE"""),1.5)</f>
        <v>1.5</v>
      </c>
      <c r="F398" s="1">
        <f>IFERROR(__xludf.DUMMYFUNCTION("""COMPUTED_VALUE"""),2569.0)</f>
        <v>2569</v>
      </c>
      <c r="G398" s="1">
        <f>IFERROR(__xludf.DUMMYFUNCTION("""COMPUTED_VALUE"""),1.0)</f>
        <v>1</v>
      </c>
      <c r="H398" s="1">
        <f>IFERROR(__xludf.DUMMYFUNCTION("""COMPUTED_VALUE"""),421.0)</f>
        <v>421</v>
      </c>
      <c r="I398" s="1" t="str">
        <f>IFERROR(__xludf.DUMMYFUNCTION("""COMPUTED_VALUE"""),"นางสาว")</f>
        <v>นางสาว</v>
      </c>
      <c r="J398" s="1" t="str">
        <f>IFERROR(__xludf.DUMMYFUNCTION("""COMPUTED_VALUE"""),"อัจฉรา")</f>
        <v>อัจฉรา</v>
      </c>
      <c r="K398" s="1" t="str">
        <f>IFERROR(__xludf.DUMMYFUNCTION("""COMPUTED_VALUE"""),"จันทร์ผ่อง")</f>
        <v>จันทร์ผ่อง</v>
      </c>
      <c r="L398" s="1" t="str">
        <f>IFERROR(__xludf.DUMMYFUNCTION("""COMPUTED_VALUE"""),"ม.1")</f>
        <v>ม.1</v>
      </c>
      <c r="M398" s="1" t="str">
        <f>IFERROR(__xludf.DUMMYFUNCTION("""COMPUTED_VALUE"""),"สังคมศึกษา")</f>
        <v>สังคมศึกษา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>
        <f>IFERROR(__xludf.DUMMYFUNCTION("""COMPUTED_VALUE"""),5.0)</f>
        <v>5</v>
      </c>
      <c r="B399" s="1">
        <f>IFERROR(__xludf.DUMMYFUNCTION("""COMPUTED_VALUE"""),1.0)</f>
        <v>1</v>
      </c>
      <c r="C399" s="1" t="str">
        <f>IFERROR(__xludf.DUMMYFUNCTION("""COMPUTED_VALUE"""),"ส21101")</f>
        <v>ส21101</v>
      </c>
      <c r="D399" s="1" t="str">
        <f>IFERROR(__xludf.DUMMYFUNCTION("""COMPUTED_VALUE"""),"สังคมศึกษาฯ 1")</f>
        <v>สังคมศึกษาฯ 1</v>
      </c>
      <c r="E399" s="1">
        <f>IFERROR(__xludf.DUMMYFUNCTION("""COMPUTED_VALUE"""),1.5)</f>
        <v>1.5</v>
      </c>
      <c r="F399" s="1">
        <f>IFERROR(__xludf.DUMMYFUNCTION("""COMPUTED_VALUE"""),2569.0)</f>
        <v>2569</v>
      </c>
      <c r="G399" s="1">
        <f>IFERROR(__xludf.DUMMYFUNCTION("""COMPUTED_VALUE"""),1.0)</f>
        <v>1</v>
      </c>
      <c r="H399" s="1">
        <f>IFERROR(__xludf.DUMMYFUNCTION("""COMPUTED_VALUE"""),421.0)</f>
        <v>421</v>
      </c>
      <c r="I399" s="1" t="str">
        <f>IFERROR(__xludf.DUMMYFUNCTION("""COMPUTED_VALUE"""),"นางสาว")</f>
        <v>นางสาว</v>
      </c>
      <c r="J399" s="1" t="str">
        <f>IFERROR(__xludf.DUMMYFUNCTION("""COMPUTED_VALUE"""),"อัจฉรา")</f>
        <v>อัจฉรา</v>
      </c>
      <c r="K399" s="1" t="str">
        <f>IFERROR(__xludf.DUMMYFUNCTION("""COMPUTED_VALUE"""),"จันทร์ผ่อง")</f>
        <v>จันทร์ผ่อง</v>
      </c>
      <c r="L399" s="1" t="str">
        <f>IFERROR(__xludf.DUMMYFUNCTION("""COMPUTED_VALUE"""),"ม.1")</f>
        <v>ม.1</v>
      </c>
      <c r="M399" s="1" t="str">
        <f>IFERROR(__xludf.DUMMYFUNCTION("""COMPUTED_VALUE"""),"สังคมศึกษา")</f>
        <v>สังคมศึกษา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>
        <f>IFERROR(__xludf.DUMMYFUNCTION("""COMPUTED_VALUE"""),8.0)</f>
        <v>8</v>
      </c>
      <c r="B400" s="1">
        <f>IFERROR(__xludf.DUMMYFUNCTION("""COMPUTED_VALUE"""),1.0)</f>
        <v>1</v>
      </c>
      <c r="C400" s="1" t="str">
        <f>IFERROR(__xludf.DUMMYFUNCTION("""COMPUTED_VALUE"""),"ส30247")</f>
        <v>ส30247</v>
      </c>
      <c r="D400" s="1" t="str">
        <f>IFERROR(__xludf.DUMMYFUNCTION("""COMPUTED_VALUE"""),"การป้องกันการทุจริต 1")</f>
        <v>การป้องกันการทุจริต 1</v>
      </c>
      <c r="E400" s="1">
        <f>IFERROR(__xludf.DUMMYFUNCTION("""COMPUTED_VALUE"""),0.5)</f>
        <v>0.5</v>
      </c>
      <c r="F400" s="1">
        <f>IFERROR(__xludf.DUMMYFUNCTION("""COMPUTED_VALUE"""),2569.0)</f>
        <v>2569</v>
      </c>
      <c r="G400" s="1">
        <f>IFERROR(__xludf.DUMMYFUNCTION("""COMPUTED_VALUE"""),1.0)</f>
        <v>1</v>
      </c>
      <c r="H400" s="1">
        <f>IFERROR(__xludf.DUMMYFUNCTION("""COMPUTED_VALUE"""),421.0)</f>
        <v>421</v>
      </c>
      <c r="I400" s="1" t="str">
        <f>IFERROR(__xludf.DUMMYFUNCTION("""COMPUTED_VALUE"""),"นางสาว")</f>
        <v>นางสาว</v>
      </c>
      <c r="J400" s="1" t="str">
        <f>IFERROR(__xludf.DUMMYFUNCTION("""COMPUTED_VALUE"""),"อัจฉรา")</f>
        <v>อัจฉรา</v>
      </c>
      <c r="K400" s="1" t="str">
        <f>IFERROR(__xludf.DUMMYFUNCTION("""COMPUTED_VALUE"""),"จันทร์ผ่อง")</f>
        <v>จันทร์ผ่อง</v>
      </c>
      <c r="L400" s="1" t="str">
        <f>IFERROR(__xludf.DUMMYFUNCTION("""COMPUTED_VALUE"""),"ม.4")</f>
        <v>ม.4</v>
      </c>
      <c r="M400" s="1" t="str">
        <f>IFERROR(__xludf.DUMMYFUNCTION("""COMPUTED_VALUE"""),"สังคมศึกษา")</f>
        <v>สังคมศึกษา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>
        <f>IFERROR(__xludf.DUMMYFUNCTION("""COMPUTED_VALUE"""),8.0)</f>
        <v>8</v>
      </c>
      <c r="B401" s="1">
        <f>IFERROR(__xludf.DUMMYFUNCTION("""COMPUTED_VALUE"""),1.0)</f>
        <v>1</v>
      </c>
      <c r="C401" s="1" t="str">
        <f>IFERROR(__xludf.DUMMYFUNCTION("""COMPUTED_VALUE"""),"ส33202")</f>
        <v>ส33202</v>
      </c>
      <c r="D401" s="1" t="str">
        <f>IFERROR(__xludf.DUMMYFUNCTION("""COMPUTED_VALUE"""),"กฎหมายที่ประชาชนควรรู้")</f>
        <v>กฎหมายที่ประชาชนควรรู้</v>
      </c>
      <c r="E401" s="1">
        <f>IFERROR(__xludf.DUMMYFUNCTION("""COMPUTED_VALUE"""),1.0)</f>
        <v>1</v>
      </c>
      <c r="F401" s="1">
        <f>IFERROR(__xludf.DUMMYFUNCTION("""COMPUTED_VALUE"""),2569.0)</f>
        <v>2569</v>
      </c>
      <c r="G401" s="1">
        <f>IFERROR(__xludf.DUMMYFUNCTION("""COMPUTED_VALUE"""),1.0)</f>
        <v>1</v>
      </c>
      <c r="H401" s="1">
        <f>IFERROR(__xludf.DUMMYFUNCTION("""COMPUTED_VALUE"""),421.0)</f>
        <v>421</v>
      </c>
      <c r="I401" s="1" t="str">
        <f>IFERROR(__xludf.DUMMYFUNCTION("""COMPUTED_VALUE"""),"นางสาว")</f>
        <v>นางสาว</v>
      </c>
      <c r="J401" s="1" t="str">
        <f>IFERROR(__xludf.DUMMYFUNCTION("""COMPUTED_VALUE"""),"อัจฉรา")</f>
        <v>อัจฉรา</v>
      </c>
      <c r="K401" s="1" t="str">
        <f>IFERROR(__xludf.DUMMYFUNCTION("""COMPUTED_VALUE"""),"จันทร์ผ่อง")</f>
        <v>จันทร์ผ่อง</v>
      </c>
      <c r="L401" s="1" t="str">
        <f>IFERROR(__xludf.DUMMYFUNCTION("""COMPUTED_VALUE"""),"ม.6")</f>
        <v>ม.6</v>
      </c>
      <c r="M401" s="1" t="str">
        <f>IFERROR(__xludf.DUMMYFUNCTION("""COMPUTED_VALUE"""),"สังคมศึกษา")</f>
        <v>สังคมศึกษา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>
        <f>IFERROR(__xludf.DUMMYFUNCTION("""COMPUTED_VALUE"""),9.0)</f>
        <v>9</v>
      </c>
      <c r="B402" s="1">
        <f>IFERROR(__xludf.DUMMYFUNCTION("""COMPUTED_VALUE"""),1.0)</f>
        <v>1</v>
      </c>
      <c r="C402" s="1" t="str">
        <f>IFERROR(__xludf.DUMMYFUNCTION("""COMPUTED_VALUE"""),"ส33202")</f>
        <v>ส33202</v>
      </c>
      <c r="D402" s="1" t="str">
        <f>IFERROR(__xludf.DUMMYFUNCTION("""COMPUTED_VALUE"""),"กฎหมายที่ประชาชนควรรู้")</f>
        <v>กฎหมายที่ประชาชนควรรู้</v>
      </c>
      <c r="E402" s="1">
        <f>IFERROR(__xludf.DUMMYFUNCTION("""COMPUTED_VALUE"""),1.0)</f>
        <v>1</v>
      </c>
      <c r="F402" s="1">
        <f>IFERROR(__xludf.DUMMYFUNCTION("""COMPUTED_VALUE"""),2569.0)</f>
        <v>2569</v>
      </c>
      <c r="G402" s="1">
        <f>IFERROR(__xludf.DUMMYFUNCTION("""COMPUTED_VALUE"""),1.0)</f>
        <v>1</v>
      </c>
      <c r="H402" s="1">
        <f>IFERROR(__xludf.DUMMYFUNCTION("""COMPUTED_VALUE"""),421.0)</f>
        <v>421</v>
      </c>
      <c r="I402" s="1" t="str">
        <f>IFERROR(__xludf.DUMMYFUNCTION("""COMPUTED_VALUE"""),"นางสาว")</f>
        <v>นางสาว</v>
      </c>
      <c r="J402" s="1" t="str">
        <f>IFERROR(__xludf.DUMMYFUNCTION("""COMPUTED_VALUE"""),"อัจฉรา")</f>
        <v>อัจฉรา</v>
      </c>
      <c r="K402" s="1" t="str">
        <f>IFERROR(__xludf.DUMMYFUNCTION("""COMPUTED_VALUE"""),"จันทร์ผ่อง")</f>
        <v>จันทร์ผ่อง</v>
      </c>
      <c r="L402" s="1" t="str">
        <f>IFERROR(__xludf.DUMMYFUNCTION("""COMPUTED_VALUE"""),"ม.6")</f>
        <v>ม.6</v>
      </c>
      <c r="M402" s="1" t="str">
        <f>IFERROR(__xludf.DUMMYFUNCTION("""COMPUTED_VALUE"""),"สังคมศึกษา")</f>
        <v>สังคมศึกษา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>
        <f>IFERROR(__xludf.DUMMYFUNCTION("""COMPUTED_VALUE"""),10.0)</f>
        <v>10</v>
      </c>
      <c r="B403" s="1">
        <f>IFERROR(__xludf.DUMMYFUNCTION("""COMPUTED_VALUE"""),1.0)</f>
        <v>1</v>
      </c>
      <c r="C403" s="1" t="str">
        <f>IFERROR(__xludf.DUMMYFUNCTION("""COMPUTED_VALUE"""),"ส33202")</f>
        <v>ส33202</v>
      </c>
      <c r="D403" s="1" t="str">
        <f>IFERROR(__xludf.DUMMYFUNCTION("""COMPUTED_VALUE"""),"กฎหมายที่ประชาชนควรรู้")</f>
        <v>กฎหมายที่ประชาชนควรรู้</v>
      </c>
      <c r="E403" s="1">
        <f>IFERROR(__xludf.DUMMYFUNCTION("""COMPUTED_VALUE"""),1.0)</f>
        <v>1</v>
      </c>
      <c r="F403" s="1">
        <f>IFERROR(__xludf.DUMMYFUNCTION("""COMPUTED_VALUE"""),2569.0)</f>
        <v>2569</v>
      </c>
      <c r="G403" s="1">
        <f>IFERROR(__xludf.DUMMYFUNCTION("""COMPUTED_VALUE"""),1.0)</f>
        <v>1</v>
      </c>
      <c r="H403" s="1">
        <f>IFERROR(__xludf.DUMMYFUNCTION("""COMPUTED_VALUE"""),421.0)</f>
        <v>421</v>
      </c>
      <c r="I403" s="1" t="str">
        <f>IFERROR(__xludf.DUMMYFUNCTION("""COMPUTED_VALUE"""),"นางสาว")</f>
        <v>นางสาว</v>
      </c>
      <c r="J403" s="1" t="str">
        <f>IFERROR(__xludf.DUMMYFUNCTION("""COMPUTED_VALUE"""),"อัจฉรา")</f>
        <v>อัจฉรา</v>
      </c>
      <c r="K403" s="1" t="str">
        <f>IFERROR(__xludf.DUMMYFUNCTION("""COMPUTED_VALUE"""),"จันทร์ผ่อง")</f>
        <v>จันทร์ผ่อง</v>
      </c>
      <c r="L403" s="1" t="str">
        <f>IFERROR(__xludf.DUMMYFUNCTION("""COMPUTED_VALUE"""),"ม.6")</f>
        <v>ม.6</v>
      </c>
      <c r="M403" s="1" t="str">
        <f>IFERROR(__xludf.DUMMYFUNCTION("""COMPUTED_VALUE"""),"สังคมศึกษา")</f>
        <v>สังคมศึกษา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>
        <f>IFERROR(__xludf.DUMMYFUNCTION("""COMPUTED_VALUE"""),5.0)</f>
        <v>5</v>
      </c>
      <c r="B404" s="1">
        <f>IFERROR(__xludf.DUMMYFUNCTION("""COMPUTED_VALUE"""),1.0)</f>
        <v>1</v>
      </c>
      <c r="C404" s="1" t="str">
        <f>IFERROR(__xludf.DUMMYFUNCTION("""COMPUTED_VALUE"""),"ส20223")</f>
        <v>ส20223</v>
      </c>
      <c r="D404" s="1" t="str">
        <f>IFERROR(__xludf.DUMMYFUNCTION("""COMPUTED_VALUE"""),"การป้องกันการทุจริต 1")</f>
        <v>การป้องกันการทุจริต 1</v>
      </c>
      <c r="E404" s="1">
        <f>IFERROR(__xludf.DUMMYFUNCTION("""COMPUTED_VALUE"""),0.5)</f>
        <v>0.5</v>
      </c>
      <c r="F404" s="1">
        <f>IFERROR(__xludf.DUMMYFUNCTION("""COMPUTED_VALUE"""),2569.0)</f>
        <v>2569</v>
      </c>
      <c r="G404" s="1">
        <f>IFERROR(__xludf.DUMMYFUNCTION("""COMPUTED_VALUE"""),1.0)</f>
        <v>1</v>
      </c>
      <c r="H404" s="1">
        <f>IFERROR(__xludf.DUMMYFUNCTION("""COMPUTED_VALUE"""),432.0)</f>
        <v>432</v>
      </c>
      <c r="I404" s="1" t="str">
        <f>IFERROR(__xludf.DUMMYFUNCTION("""COMPUTED_VALUE"""),"นางสาว")</f>
        <v>นางสาว</v>
      </c>
      <c r="J404" s="1" t="str">
        <f>IFERROR(__xludf.DUMMYFUNCTION("""COMPUTED_VALUE"""),"รุ่งรัตน์")</f>
        <v>รุ่งรัตน์</v>
      </c>
      <c r="K404" s="1" t="str">
        <f>IFERROR(__xludf.DUMMYFUNCTION("""COMPUTED_VALUE"""),"สวัสดิ์สุข")</f>
        <v>สวัสดิ์สุข</v>
      </c>
      <c r="L404" s="1" t="str">
        <f>IFERROR(__xludf.DUMMYFUNCTION("""COMPUTED_VALUE"""),"ม.1")</f>
        <v>ม.1</v>
      </c>
      <c r="M404" s="1" t="str">
        <f>IFERROR(__xludf.DUMMYFUNCTION("""COMPUTED_VALUE"""),"สังคมศึกษา")</f>
        <v>สังคมศึกษา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>
        <f>IFERROR(__xludf.DUMMYFUNCTION("""COMPUTED_VALUE"""),10.0)</f>
        <v>10</v>
      </c>
      <c r="B405" s="1">
        <f>IFERROR(__xludf.DUMMYFUNCTION("""COMPUTED_VALUE"""),1.0)</f>
        <v>1</v>
      </c>
      <c r="C405" s="1" t="str">
        <f>IFERROR(__xludf.DUMMYFUNCTION("""COMPUTED_VALUE"""),"ส30253")</f>
        <v>ส30253</v>
      </c>
      <c r="D405" s="1" t="str">
        <f>IFERROR(__xludf.DUMMYFUNCTION("""COMPUTED_VALUE"""),"รัฐศาสตร์เบื้องต้น")</f>
        <v>รัฐศาสตร์เบื้องต้น</v>
      </c>
      <c r="E405" s="1">
        <f>IFERROR(__xludf.DUMMYFUNCTION("""COMPUTED_VALUE"""),1.0)</f>
        <v>1</v>
      </c>
      <c r="F405" s="1">
        <f>IFERROR(__xludf.DUMMYFUNCTION("""COMPUTED_VALUE"""),2569.0)</f>
        <v>2569</v>
      </c>
      <c r="G405" s="1">
        <f>IFERROR(__xludf.DUMMYFUNCTION("""COMPUTED_VALUE"""),1.0)</f>
        <v>1</v>
      </c>
      <c r="H405" s="1">
        <f>IFERROR(__xludf.DUMMYFUNCTION("""COMPUTED_VALUE"""),432.0)</f>
        <v>432</v>
      </c>
      <c r="I405" s="1" t="str">
        <f>IFERROR(__xludf.DUMMYFUNCTION("""COMPUTED_VALUE"""),"นางสาว")</f>
        <v>นางสาว</v>
      </c>
      <c r="J405" s="1" t="str">
        <f>IFERROR(__xludf.DUMMYFUNCTION("""COMPUTED_VALUE"""),"รุ่งรัตน์")</f>
        <v>รุ่งรัตน์</v>
      </c>
      <c r="K405" s="1" t="str">
        <f>IFERROR(__xludf.DUMMYFUNCTION("""COMPUTED_VALUE"""),"สวัสดิ์สุข")</f>
        <v>สวัสดิ์สุข</v>
      </c>
      <c r="L405" s="1" t="str">
        <f>IFERROR(__xludf.DUMMYFUNCTION("""COMPUTED_VALUE"""),"ม.4")</f>
        <v>ม.4</v>
      </c>
      <c r="M405" s="1" t="str">
        <f>IFERROR(__xludf.DUMMYFUNCTION("""COMPUTED_VALUE"""),"สังคมศึกษา")</f>
        <v>สังคมศึกษา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>
        <f>IFERROR(__xludf.DUMMYFUNCTION("""COMPUTED_VALUE"""),1.0)</f>
        <v>1</v>
      </c>
      <c r="B406" s="1">
        <f>IFERROR(__xludf.DUMMYFUNCTION("""COMPUTED_VALUE"""),1.0)</f>
        <v>1</v>
      </c>
      <c r="C406" s="1" t="str">
        <f>IFERROR(__xludf.DUMMYFUNCTION("""COMPUTED_VALUE"""),"ส31102")</f>
        <v>ส31102</v>
      </c>
      <c r="D406" s="1" t="str">
        <f>IFERROR(__xludf.DUMMYFUNCTION("""COMPUTED_VALUE"""),"ประวัติศาสตร์ 1")</f>
        <v>ประวัติศาสตร์ 1</v>
      </c>
      <c r="E406" s="1">
        <f>IFERROR(__xludf.DUMMYFUNCTION("""COMPUTED_VALUE"""),0.5)</f>
        <v>0.5</v>
      </c>
      <c r="F406" s="1">
        <f>IFERROR(__xludf.DUMMYFUNCTION("""COMPUTED_VALUE"""),2569.0)</f>
        <v>2569</v>
      </c>
      <c r="G406" s="1">
        <f>IFERROR(__xludf.DUMMYFUNCTION("""COMPUTED_VALUE"""),1.0)</f>
        <v>1</v>
      </c>
      <c r="H406" s="1">
        <f>IFERROR(__xludf.DUMMYFUNCTION("""COMPUTED_VALUE"""),432.0)</f>
        <v>432</v>
      </c>
      <c r="I406" s="1" t="str">
        <f>IFERROR(__xludf.DUMMYFUNCTION("""COMPUTED_VALUE"""),"นางสาว")</f>
        <v>นางสาว</v>
      </c>
      <c r="J406" s="1" t="str">
        <f>IFERROR(__xludf.DUMMYFUNCTION("""COMPUTED_VALUE"""),"รุ่งรัตน์")</f>
        <v>รุ่งรัตน์</v>
      </c>
      <c r="K406" s="1" t="str">
        <f>IFERROR(__xludf.DUMMYFUNCTION("""COMPUTED_VALUE"""),"สวัสดิ์สุข")</f>
        <v>สวัสดิ์สุข</v>
      </c>
      <c r="L406" s="1" t="str">
        <f>IFERROR(__xludf.DUMMYFUNCTION("""COMPUTED_VALUE"""),"ม.4")</f>
        <v>ม.4</v>
      </c>
      <c r="M406" s="1" t="str">
        <f>IFERROR(__xludf.DUMMYFUNCTION("""COMPUTED_VALUE"""),"สังคมศึกษา")</f>
        <v>สังคมศึกษา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>
        <f>IFERROR(__xludf.DUMMYFUNCTION("""COMPUTED_VALUE"""),3.0)</f>
        <v>3</v>
      </c>
      <c r="B407" s="1">
        <f>IFERROR(__xludf.DUMMYFUNCTION("""COMPUTED_VALUE"""),1.0)</f>
        <v>1</v>
      </c>
      <c r="C407" s="1" t="str">
        <f>IFERROR(__xludf.DUMMYFUNCTION("""COMPUTED_VALUE"""),"ส31102")</f>
        <v>ส31102</v>
      </c>
      <c r="D407" s="1" t="str">
        <f>IFERROR(__xludf.DUMMYFUNCTION("""COMPUTED_VALUE"""),"ประวัติศาสตร์ 1")</f>
        <v>ประวัติศาสตร์ 1</v>
      </c>
      <c r="E407" s="1">
        <f>IFERROR(__xludf.DUMMYFUNCTION("""COMPUTED_VALUE"""),0.5)</f>
        <v>0.5</v>
      </c>
      <c r="F407" s="1">
        <f>IFERROR(__xludf.DUMMYFUNCTION("""COMPUTED_VALUE"""),2569.0)</f>
        <v>2569</v>
      </c>
      <c r="G407" s="1">
        <f>IFERROR(__xludf.DUMMYFUNCTION("""COMPUTED_VALUE"""),1.0)</f>
        <v>1</v>
      </c>
      <c r="H407" s="1">
        <f>IFERROR(__xludf.DUMMYFUNCTION("""COMPUTED_VALUE"""),432.0)</f>
        <v>432</v>
      </c>
      <c r="I407" s="1" t="str">
        <f>IFERROR(__xludf.DUMMYFUNCTION("""COMPUTED_VALUE"""),"นางสาว")</f>
        <v>นางสาว</v>
      </c>
      <c r="J407" s="1" t="str">
        <f>IFERROR(__xludf.DUMMYFUNCTION("""COMPUTED_VALUE"""),"รุ่งรัตน์")</f>
        <v>รุ่งรัตน์</v>
      </c>
      <c r="K407" s="1" t="str">
        <f>IFERROR(__xludf.DUMMYFUNCTION("""COMPUTED_VALUE"""),"สวัสดิ์สุข")</f>
        <v>สวัสดิ์สุข</v>
      </c>
      <c r="L407" s="1" t="str">
        <f>IFERROR(__xludf.DUMMYFUNCTION("""COMPUTED_VALUE"""),"ม.4")</f>
        <v>ม.4</v>
      </c>
      <c r="M407" s="1" t="str">
        <f>IFERROR(__xludf.DUMMYFUNCTION("""COMPUTED_VALUE"""),"สังคมศึกษา")</f>
        <v>สังคมศึกษา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>
        <f>IFERROR(__xludf.DUMMYFUNCTION("""COMPUTED_VALUE"""),5.0)</f>
        <v>5</v>
      </c>
      <c r="B408" s="1">
        <f>IFERROR(__xludf.DUMMYFUNCTION("""COMPUTED_VALUE"""),1.0)</f>
        <v>1</v>
      </c>
      <c r="C408" s="1" t="str">
        <f>IFERROR(__xludf.DUMMYFUNCTION("""COMPUTED_VALUE"""),"ส31102")</f>
        <v>ส31102</v>
      </c>
      <c r="D408" s="1" t="str">
        <f>IFERROR(__xludf.DUMMYFUNCTION("""COMPUTED_VALUE"""),"ประวัติศาสตร์ 1")</f>
        <v>ประวัติศาสตร์ 1</v>
      </c>
      <c r="E408" s="1">
        <f>IFERROR(__xludf.DUMMYFUNCTION("""COMPUTED_VALUE"""),0.5)</f>
        <v>0.5</v>
      </c>
      <c r="F408" s="1">
        <f>IFERROR(__xludf.DUMMYFUNCTION("""COMPUTED_VALUE"""),2569.0)</f>
        <v>2569</v>
      </c>
      <c r="G408" s="1">
        <f>IFERROR(__xludf.DUMMYFUNCTION("""COMPUTED_VALUE"""),1.0)</f>
        <v>1</v>
      </c>
      <c r="H408" s="1">
        <f>IFERROR(__xludf.DUMMYFUNCTION("""COMPUTED_VALUE"""),432.0)</f>
        <v>432</v>
      </c>
      <c r="I408" s="1" t="str">
        <f>IFERROR(__xludf.DUMMYFUNCTION("""COMPUTED_VALUE"""),"นางสาว")</f>
        <v>นางสาว</v>
      </c>
      <c r="J408" s="1" t="str">
        <f>IFERROR(__xludf.DUMMYFUNCTION("""COMPUTED_VALUE"""),"รุ่งรัตน์")</f>
        <v>รุ่งรัตน์</v>
      </c>
      <c r="K408" s="1" t="str">
        <f>IFERROR(__xludf.DUMMYFUNCTION("""COMPUTED_VALUE"""),"สวัสดิ์สุข")</f>
        <v>สวัสดิ์สุข</v>
      </c>
      <c r="L408" s="1" t="str">
        <f>IFERROR(__xludf.DUMMYFUNCTION("""COMPUTED_VALUE"""),"ม.4")</f>
        <v>ม.4</v>
      </c>
      <c r="M408" s="1" t="str">
        <f>IFERROR(__xludf.DUMMYFUNCTION("""COMPUTED_VALUE"""),"สังคมศึกษา")</f>
        <v>สังคมศึกษา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>
        <f>IFERROR(__xludf.DUMMYFUNCTION("""COMPUTED_VALUE"""),7.0)</f>
        <v>7</v>
      </c>
      <c r="B409" s="1">
        <f>IFERROR(__xludf.DUMMYFUNCTION("""COMPUTED_VALUE"""),1.0)</f>
        <v>1</v>
      </c>
      <c r="C409" s="1" t="str">
        <f>IFERROR(__xludf.DUMMYFUNCTION("""COMPUTED_VALUE"""),"ส31102")</f>
        <v>ส31102</v>
      </c>
      <c r="D409" s="1" t="str">
        <f>IFERROR(__xludf.DUMMYFUNCTION("""COMPUTED_VALUE"""),"ประวัติศาสตร์ 1")</f>
        <v>ประวัติศาสตร์ 1</v>
      </c>
      <c r="E409" s="1">
        <f>IFERROR(__xludf.DUMMYFUNCTION("""COMPUTED_VALUE"""),0.5)</f>
        <v>0.5</v>
      </c>
      <c r="F409" s="1">
        <f>IFERROR(__xludf.DUMMYFUNCTION("""COMPUTED_VALUE"""),2569.0)</f>
        <v>2569</v>
      </c>
      <c r="G409" s="1">
        <f>IFERROR(__xludf.DUMMYFUNCTION("""COMPUTED_VALUE"""),1.0)</f>
        <v>1</v>
      </c>
      <c r="H409" s="1">
        <f>IFERROR(__xludf.DUMMYFUNCTION("""COMPUTED_VALUE"""),432.0)</f>
        <v>432</v>
      </c>
      <c r="I409" s="1" t="str">
        <f>IFERROR(__xludf.DUMMYFUNCTION("""COMPUTED_VALUE"""),"นางสาว")</f>
        <v>นางสาว</v>
      </c>
      <c r="J409" s="1" t="str">
        <f>IFERROR(__xludf.DUMMYFUNCTION("""COMPUTED_VALUE"""),"รุ่งรัตน์")</f>
        <v>รุ่งรัตน์</v>
      </c>
      <c r="K409" s="1" t="str">
        <f>IFERROR(__xludf.DUMMYFUNCTION("""COMPUTED_VALUE"""),"สวัสดิ์สุข")</f>
        <v>สวัสดิ์สุข</v>
      </c>
      <c r="L409" s="1" t="str">
        <f>IFERROR(__xludf.DUMMYFUNCTION("""COMPUTED_VALUE"""),"ม.4")</f>
        <v>ม.4</v>
      </c>
      <c r="M409" s="1" t="str">
        <f>IFERROR(__xludf.DUMMYFUNCTION("""COMPUTED_VALUE"""),"สังคมศึกษา")</f>
        <v>สังคมศึกษา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>
        <f>IFERROR(__xludf.DUMMYFUNCTION("""COMPUTED_VALUE"""),9.0)</f>
        <v>9</v>
      </c>
      <c r="B410" s="1">
        <f>IFERROR(__xludf.DUMMYFUNCTION("""COMPUTED_VALUE"""),1.0)</f>
        <v>1</v>
      </c>
      <c r="C410" s="1" t="str">
        <f>IFERROR(__xludf.DUMMYFUNCTION("""COMPUTED_VALUE"""),"ส31102")</f>
        <v>ส31102</v>
      </c>
      <c r="D410" s="1" t="str">
        <f>IFERROR(__xludf.DUMMYFUNCTION("""COMPUTED_VALUE"""),"ประวัติศาสตร์ 1")</f>
        <v>ประวัติศาสตร์ 1</v>
      </c>
      <c r="E410" s="1">
        <f>IFERROR(__xludf.DUMMYFUNCTION("""COMPUTED_VALUE"""),0.5)</f>
        <v>0.5</v>
      </c>
      <c r="F410" s="1">
        <f>IFERROR(__xludf.DUMMYFUNCTION("""COMPUTED_VALUE"""),2569.0)</f>
        <v>2569</v>
      </c>
      <c r="G410" s="1">
        <f>IFERROR(__xludf.DUMMYFUNCTION("""COMPUTED_VALUE"""),1.0)</f>
        <v>1</v>
      </c>
      <c r="H410" s="1">
        <f>IFERROR(__xludf.DUMMYFUNCTION("""COMPUTED_VALUE"""),432.0)</f>
        <v>432</v>
      </c>
      <c r="I410" s="1" t="str">
        <f>IFERROR(__xludf.DUMMYFUNCTION("""COMPUTED_VALUE"""),"นางสาว")</f>
        <v>นางสาว</v>
      </c>
      <c r="J410" s="1" t="str">
        <f>IFERROR(__xludf.DUMMYFUNCTION("""COMPUTED_VALUE"""),"รุ่งรัตน์")</f>
        <v>รุ่งรัตน์</v>
      </c>
      <c r="K410" s="1" t="str">
        <f>IFERROR(__xludf.DUMMYFUNCTION("""COMPUTED_VALUE"""),"สวัสดิ์สุข")</f>
        <v>สวัสดิ์สุข</v>
      </c>
      <c r="L410" s="1" t="str">
        <f>IFERROR(__xludf.DUMMYFUNCTION("""COMPUTED_VALUE"""),"ม.4")</f>
        <v>ม.4</v>
      </c>
      <c r="M410" s="1" t="str">
        <f>IFERROR(__xludf.DUMMYFUNCTION("""COMPUTED_VALUE"""),"สังคมศึกษา")</f>
        <v>สังคมศึกษา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>
        <f>IFERROR(__xludf.DUMMYFUNCTION("""COMPUTED_VALUE"""),1.0)</f>
        <v>1</v>
      </c>
      <c r="B411" s="1">
        <f>IFERROR(__xludf.DUMMYFUNCTION("""COMPUTED_VALUE"""),2.0)</f>
        <v>2</v>
      </c>
      <c r="C411" s="1" t="str">
        <f>IFERROR(__xludf.DUMMYFUNCTION("""COMPUTED_VALUE"""),"ส20227")</f>
        <v>ส20227</v>
      </c>
      <c r="D411" s="1" t="str">
        <f>IFERROR(__xludf.DUMMYFUNCTION("""COMPUTED_VALUE"""),"การป้องกันการทุจริต 5")</f>
        <v>การป้องกันการทุจริต 5</v>
      </c>
      <c r="E411" s="1">
        <f>IFERROR(__xludf.DUMMYFUNCTION("""COMPUTED_VALUE"""),0.5)</f>
        <v>0.5</v>
      </c>
      <c r="F411" s="1">
        <f>IFERROR(__xludf.DUMMYFUNCTION("""COMPUTED_VALUE"""),2569.0)</f>
        <v>2569</v>
      </c>
      <c r="G411" s="1">
        <f>IFERROR(__xludf.DUMMYFUNCTION("""COMPUTED_VALUE"""),1.0)</f>
        <v>1</v>
      </c>
      <c r="H411" s="1">
        <f>IFERROR(__xludf.DUMMYFUNCTION("""COMPUTED_VALUE"""),435.0)</f>
        <v>435</v>
      </c>
      <c r="I411" s="1" t="str">
        <f>IFERROR(__xludf.DUMMYFUNCTION("""COMPUTED_VALUE"""),"นางสาว")</f>
        <v>นางสาว</v>
      </c>
      <c r="J411" s="1" t="str">
        <f>IFERROR(__xludf.DUMMYFUNCTION("""COMPUTED_VALUE"""),"ปรารถนา")</f>
        <v>ปรารถนา</v>
      </c>
      <c r="K411" s="1" t="str">
        <f>IFERROR(__xludf.DUMMYFUNCTION("""COMPUTED_VALUE"""),"คำสีทิพย์")</f>
        <v>คำสีทิพย์</v>
      </c>
      <c r="L411" s="1" t="str">
        <f>IFERROR(__xludf.DUMMYFUNCTION("""COMPUTED_VALUE"""),"ม.3")</f>
        <v>ม.3</v>
      </c>
      <c r="M411" s="1" t="str">
        <f>IFERROR(__xludf.DUMMYFUNCTION("""COMPUTED_VALUE"""),"สังคมศึกษา")</f>
        <v>สังคมศึกษา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>
        <f>IFERROR(__xludf.DUMMYFUNCTION("""COMPUTED_VALUE"""),1.0)</f>
        <v>1</v>
      </c>
      <c r="B412" s="1">
        <f>IFERROR(__xludf.DUMMYFUNCTION("""COMPUTED_VALUE"""),1.0)</f>
        <v>1</v>
      </c>
      <c r="C412" s="1" t="str">
        <f>IFERROR(__xludf.DUMMYFUNCTION("""COMPUTED_VALUE"""),"ส21102")</f>
        <v>ส21102</v>
      </c>
      <c r="D412" s="1" t="str">
        <f>IFERROR(__xludf.DUMMYFUNCTION("""COMPUTED_VALUE"""),"ประวัติศาสตร์ 1")</f>
        <v>ประวัติศาสตร์ 1</v>
      </c>
      <c r="E412" s="1">
        <f>IFERROR(__xludf.DUMMYFUNCTION("""COMPUTED_VALUE"""),0.5)</f>
        <v>0.5</v>
      </c>
      <c r="F412" s="1">
        <f>IFERROR(__xludf.DUMMYFUNCTION("""COMPUTED_VALUE"""),2569.0)</f>
        <v>2569</v>
      </c>
      <c r="G412" s="1">
        <f>IFERROR(__xludf.DUMMYFUNCTION("""COMPUTED_VALUE"""),1.0)</f>
        <v>1</v>
      </c>
      <c r="H412" s="1">
        <f>IFERROR(__xludf.DUMMYFUNCTION("""COMPUTED_VALUE"""),435.0)</f>
        <v>435</v>
      </c>
      <c r="I412" s="1" t="str">
        <f>IFERROR(__xludf.DUMMYFUNCTION("""COMPUTED_VALUE"""),"นางสาว")</f>
        <v>นางสาว</v>
      </c>
      <c r="J412" s="1" t="str">
        <f>IFERROR(__xludf.DUMMYFUNCTION("""COMPUTED_VALUE"""),"ปรารถนา")</f>
        <v>ปรารถนา</v>
      </c>
      <c r="K412" s="1" t="str">
        <f>IFERROR(__xludf.DUMMYFUNCTION("""COMPUTED_VALUE"""),"คำสีทิพย์")</f>
        <v>คำสีทิพย์</v>
      </c>
      <c r="L412" s="1" t="str">
        <f>IFERROR(__xludf.DUMMYFUNCTION("""COMPUTED_VALUE"""),"ม.1")</f>
        <v>ม.1</v>
      </c>
      <c r="M412" s="1" t="str">
        <f>IFERROR(__xludf.DUMMYFUNCTION("""COMPUTED_VALUE"""),"สังคมศึกษา")</f>
        <v>สังคมศึกษา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>
        <f>IFERROR(__xludf.DUMMYFUNCTION("""COMPUTED_VALUE"""),2.0)</f>
        <v>2</v>
      </c>
      <c r="B413" s="1">
        <f>IFERROR(__xludf.DUMMYFUNCTION("""COMPUTED_VALUE"""),1.0)</f>
        <v>1</v>
      </c>
      <c r="C413" s="1" t="str">
        <f>IFERROR(__xludf.DUMMYFUNCTION("""COMPUTED_VALUE"""),"ส21102")</f>
        <v>ส21102</v>
      </c>
      <c r="D413" s="1" t="str">
        <f>IFERROR(__xludf.DUMMYFUNCTION("""COMPUTED_VALUE"""),"ประวัติศาสตร์ 1")</f>
        <v>ประวัติศาสตร์ 1</v>
      </c>
      <c r="E413" s="1">
        <f>IFERROR(__xludf.DUMMYFUNCTION("""COMPUTED_VALUE"""),0.5)</f>
        <v>0.5</v>
      </c>
      <c r="F413" s="1">
        <f>IFERROR(__xludf.DUMMYFUNCTION("""COMPUTED_VALUE"""),2569.0)</f>
        <v>2569</v>
      </c>
      <c r="G413" s="1">
        <f>IFERROR(__xludf.DUMMYFUNCTION("""COMPUTED_VALUE"""),1.0)</f>
        <v>1</v>
      </c>
      <c r="H413" s="1">
        <f>IFERROR(__xludf.DUMMYFUNCTION("""COMPUTED_VALUE"""),435.0)</f>
        <v>435</v>
      </c>
      <c r="I413" s="1" t="str">
        <f>IFERROR(__xludf.DUMMYFUNCTION("""COMPUTED_VALUE"""),"นางสาว")</f>
        <v>นางสาว</v>
      </c>
      <c r="J413" s="1" t="str">
        <f>IFERROR(__xludf.DUMMYFUNCTION("""COMPUTED_VALUE"""),"ปรารถนา")</f>
        <v>ปรารถนา</v>
      </c>
      <c r="K413" s="1" t="str">
        <f>IFERROR(__xludf.DUMMYFUNCTION("""COMPUTED_VALUE"""),"คำสีทิพย์")</f>
        <v>คำสีทิพย์</v>
      </c>
      <c r="L413" s="1" t="str">
        <f>IFERROR(__xludf.DUMMYFUNCTION("""COMPUTED_VALUE"""),"ม.1")</f>
        <v>ม.1</v>
      </c>
      <c r="M413" s="1" t="str">
        <f>IFERROR(__xludf.DUMMYFUNCTION("""COMPUTED_VALUE"""),"สังคมศึกษา")</f>
        <v>สังคมศึกษา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>
        <f>IFERROR(__xludf.DUMMYFUNCTION("""COMPUTED_VALUE"""),4.0)</f>
        <v>4</v>
      </c>
      <c r="B414" s="1">
        <f>IFERROR(__xludf.DUMMYFUNCTION("""COMPUTED_VALUE"""),1.0)</f>
        <v>1</v>
      </c>
      <c r="C414" s="1" t="str">
        <f>IFERROR(__xludf.DUMMYFUNCTION("""COMPUTED_VALUE"""),"ส21102")</f>
        <v>ส21102</v>
      </c>
      <c r="D414" s="1" t="str">
        <f>IFERROR(__xludf.DUMMYFUNCTION("""COMPUTED_VALUE"""),"ประวัติศาสตร์ 1")</f>
        <v>ประวัติศาสตร์ 1</v>
      </c>
      <c r="E414" s="1">
        <f>IFERROR(__xludf.DUMMYFUNCTION("""COMPUTED_VALUE"""),0.5)</f>
        <v>0.5</v>
      </c>
      <c r="F414" s="1">
        <f>IFERROR(__xludf.DUMMYFUNCTION("""COMPUTED_VALUE"""),2569.0)</f>
        <v>2569</v>
      </c>
      <c r="G414" s="1">
        <f>IFERROR(__xludf.DUMMYFUNCTION("""COMPUTED_VALUE"""),1.0)</f>
        <v>1</v>
      </c>
      <c r="H414" s="1">
        <f>IFERROR(__xludf.DUMMYFUNCTION("""COMPUTED_VALUE"""),435.0)</f>
        <v>435</v>
      </c>
      <c r="I414" s="1" t="str">
        <f>IFERROR(__xludf.DUMMYFUNCTION("""COMPUTED_VALUE"""),"นางสาว")</f>
        <v>นางสาว</v>
      </c>
      <c r="J414" s="1" t="str">
        <f>IFERROR(__xludf.DUMMYFUNCTION("""COMPUTED_VALUE"""),"ปรารถนา")</f>
        <v>ปรารถนา</v>
      </c>
      <c r="K414" s="1" t="str">
        <f>IFERROR(__xludf.DUMMYFUNCTION("""COMPUTED_VALUE"""),"คำสีทิพย์")</f>
        <v>คำสีทิพย์</v>
      </c>
      <c r="L414" s="1" t="str">
        <f>IFERROR(__xludf.DUMMYFUNCTION("""COMPUTED_VALUE"""),"ม.1")</f>
        <v>ม.1</v>
      </c>
      <c r="M414" s="1" t="str">
        <f>IFERROR(__xludf.DUMMYFUNCTION("""COMPUTED_VALUE"""),"สังคมศึกษา")</f>
        <v>สังคมศึกษา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>
        <f>IFERROR(__xludf.DUMMYFUNCTION("""COMPUTED_VALUE"""),6.0)</f>
        <v>6</v>
      </c>
      <c r="B415" s="1">
        <f>IFERROR(__xludf.DUMMYFUNCTION("""COMPUTED_VALUE"""),1.0)</f>
        <v>1</v>
      </c>
      <c r="C415" s="1" t="str">
        <f>IFERROR(__xludf.DUMMYFUNCTION("""COMPUTED_VALUE"""),"ส21102")</f>
        <v>ส21102</v>
      </c>
      <c r="D415" s="1" t="str">
        <f>IFERROR(__xludf.DUMMYFUNCTION("""COMPUTED_VALUE"""),"ประวัติศาสตร์ 1")</f>
        <v>ประวัติศาสตร์ 1</v>
      </c>
      <c r="E415" s="1">
        <f>IFERROR(__xludf.DUMMYFUNCTION("""COMPUTED_VALUE"""),0.5)</f>
        <v>0.5</v>
      </c>
      <c r="F415" s="1">
        <f>IFERROR(__xludf.DUMMYFUNCTION("""COMPUTED_VALUE"""),2569.0)</f>
        <v>2569</v>
      </c>
      <c r="G415" s="1">
        <f>IFERROR(__xludf.DUMMYFUNCTION("""COMPUTED_VALUE"""),1.0)</f>
        <v>1</v>
      </c>
      <c r="H415" s="1">
        <f>IFERROR(__xludf.DUMMYFUNCTION("""COMPUTED_VALUE"""),435.0)</f>
        <v>435</v>
      </c>
      <c r="I415" s="1" t="str">
        <f>IFERROR(__xludf.DUMMYFUNCTION("""COMPUTED_VALUE"""),"นางสาว")</f>
        <v>นางสาว</v>
      </c>
      <c r="J415" s="1" t="str">
        <f>IFERROR(__xludf.DUMMYFUNCTION("""COMPUTED_VALUE"""),"ปรารถนา")</f>
        <v>ปรารถนา</v>
      </c>
      <c r="K415" s="1" t="str">
        <f>IFERROR(__xludf.DUMMYFUNCTION("""COMPUTED_VALUE"""),"คำสีทิพย์")</f>
        <v>คำสีทิพย์</v>
      </c>
      <c r="L415" s="1" t="str">
        <f>IFERROR(__xludf.DUMMYFUNCTION("""COMPUTED_VALUE"""),"ม.1")</f>
        <v>ม.1</v>
      </c>
      <c r="M415" s="1" t="str">
        <f>IFERROR(__xludf.DUMMYFUNCTION("""COMPUTED_VALUE"""),"สังคมศึกษา")</f>
        <v>สังคมศึกษา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>
        <f>IFERROR(__xludf.DUMMYFUNCTION("""COMPUTED_VALUE"""),7.0)</f>
        <v>7</v>
      </c>
      <c r="B416" s="1">
        <f>IFERROR(__xludf.DUMMYFUNCTION("""COMPUTED_VALUE"""),1.0)</f>
        <v>1</v>
      </c>
      <c r="C416" s="1" t="str">
        <f>IFERROR(__xludf.DUMMYFUNCTION("""COMPUTED_VALUE"""),"ส21102")</f>
        <v>ส21102</v>
      </c>
      <c r="D416" s="1" t="str">
        <f>IFERROR(__xludf.DUMMYFUNCTION("""COMPUTED_VALUE"""),"ประวัติศาสตร์ 1")</f>
        <v>ประวัติศาสตร์ 1</v>
      </c>
      <c r="E416" s="1">
        <f>IFERROR(__xludf.DUMMYFUNCTION("""COMPUTED_VALUE"""),0.5)</f>
        <v>0.5</v>
      </c>
      <c r="F416" s="1">
        <f>IFERROR(__xludf.DUMMYFUNCTION("""COMPUTED_VALUE"""),2569.0)</f>
        <v>2569</v>
      </c>
      <c r="G416" s="1">
        <f>IFERROR(__xludf.DUMMYFUNCTION("""COMPUTED_VALUE"""),1.0)</f>
        <v>1</v>
      </c>
      <c r="H416" s="1">
        <f>IFERROR(__xludf.DUMMYFUNCTION("""COMPUTED_VALUE"""),435.0)</f>
        <v>435</v>
      </c>
      <c r="I416" s="1" t="str">
        <f>IFERROR(__xludf.DUMMYFUNCTION("""COMPUTED_VALUE"""),"นางสาว")</f>
        <v>นางสาว</v>
      </c>
      <c r="J416" s="1" t="str">
        <f>IFERROR(__xludf.DUMMYFUNCTION("""COMPUTED_VALUE"""),"ปรารถนา")</f>
        <v>ปรารถนา</v>
      </c>
      <c r="K416" s="1" t="str">
        <f>IFERROR(__xludf.DUMMYFUNCTION("""COMPUTED_VALUE"""),"คำสีทิพย์")</f>
        <v>คำสีทิพย์</v>
      </c>
      <c r="L416" s="1" t="str">
        <f>IFERROR(__xludf.DUMMYFUNCTION("""COMPUTED_VALUE"""),"ม.1")</f>
        <v>ม.1</v>
      </c>
      <c r="M416" s="1" t="str">
        <f>IFERROR(__xludf.DUMMYFUNCTION("""COMPUTED_VALUE"""),"สังคมศึกษา")</f>
        <v>สังคมศึกษา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>
        <f>IFERROR(__xludf.DUMMYFUNCTION("""COMPUTED_VALUE"""),2.0)</f>
        <v>2</v>
      </c>
      <c r="B417" s="1">
        <f>IFERROR(__xludf.DUMMYFUNCTION("""COMPUTED_VALUE"""),1.0)</f>
        <v>1</v>
      </c>
      <c r="C417" s="1" t="str">
        <f>IFERROR(__xludf.DUMMYFUNCTION("""COMPUTED_VALUE"""),"ส22101")</f>
        <v>ส22101</v>
      </c>
      <c r="D417" s="1" t="str">
        <f>IFERROR(__xludf.DUMMYFUNCTION("""COMPUTED_VALUE"""),"สังคมศึกษาฯ 3")</f>
        <v>สังคมศึกษาฯ 3</v>
      </c>
      <c r="E417" s="1">
        <f>IFERROR(__xludf.DUMMYFUNCTION("""COMPUTED_VALUE"""),1.5)</f>
        <v>1.5</v>
      </c>
      <c r="F417" s="1">
        <f>IFERROR(__xludf.DUMMYFUNCTION("""COMPUTED_VALUE"""),2569.0)</f>
        <v>2569</v>
      </c>
      <c r="G417" s="1">
        <f>IFERROR(__xludf.DUMMYFUNCTION("""COMPUTED_VALUE"""),1.0)</f>
        <v>1</v>
      </c>
      <c r="H417" s="1">
        <f>IFERROR(__xludf.DUMMYFUNCTION("""COMPUTED_VALUE"""),435.0)</f>
        <v>435</v>
      </c>
      <c r="I417" s="1" t="str">
        <f>IFERROR(__xludf.DUMMYFUNCTION("""COMPUTED_VALUE"""),"นางสาว")</f>
        <v>นางสาว</v>
      </c>
      <c r="J417" s="1" t="str">
        <f>IFERROR(__xludf.DUMMYFUNCTION("""COMPUTED_VALUE"""),"ปรารถนา")</f>
        <v>ปรารถนา</v>
      </c>
      <c r="K417" s="1" t="str">
        <f>IFERROR(__xludf.DUMMYFUNCTION("""COMPUTED_VALUE"""),"คำสีทิพย์")</f>
        <v>คำสีทิพย์</v>
      </c>
      <c r="L417" s="1" t="str">
        <f>IFERROR(__xludf.DUMMYFUNCTION("""COMPUTED_VALUE"""),"ม.2")</f>
        <v>ม.2</v>
      </c>
      <c r="M417" s="1" t="str">
        <f>IFERROR(__xludf.DUMMYFUNCTION("""COMPUTED_VALUE"""),"สังคมศึกษา")</f>
        <v>สังคมศึกษา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>
        <f>IFERROR(__xludf.DUMMYFUNCTION("""COMPUTED_VALUE"""),4.0)</f>
        <v>4</v>
      </c>
      <c r="B418" s="1">
        <f>IFERROR(__xludf.DUMMYFUNCTION("""COMPUTED_VALUE"""),1.0)</f>
        <v>1</v>
      </c>
      <c r="C418" s="1" t="str">
        <f>IFERROR(__xludf.DUMMYFUNCTION("""COMPUTED_VALUE"""),"ส22101")</f>
        <v>ส22101</v>
      </c>
      <c r="D418" s="1" t="str">
        <f>IFERROR(__xludf.DUMMYFUNCTION("""COMPUTED_VALUE"""),"สังคมศึกษาฯ 3")</f>
        <v>สังคมศึกษาฯ 3</v>
      </c>
      <c r="E418" s="1">
        <f>IFERROR(__xludf.DUMMYFUNCTION("""COMPUTED_VALUE"""),1.5)</f>
        <v>1.5</v>
      </c>
      <c r="F418" s="1">
        <f>IFERROR(__xludf.DUMMYFUNCTION("""COMPUTED_VALUE"""),2569.0)</f>
        <v>2569</v>
      </c>
      <c r="G418" s="1">
        <f>IFERROR(__xludf.DUMMYFUNCTION("""COMPUTED_VALUE"""),1.0)</f>
        <v>1</v>
      </c>
      <c r="H418" s="1">
        <f>IFERROR(__xludf.DUMMYFUNCTION("""COMPUTED_VALUE"""),435.0)</f>
        <v>435</v>
      </c>
      <c r="I418" s="1" t="str">
        <f>IFERROR(__xludf.DUMMYFUNCTION("""COMPUTED_VALUE"""),"นางสาว")</f>
        <v>นางสาว</v>
      </c>
      <c r="J418" s="1" t="str">
        <f>IFERROR(__xludf.DUMMYFUNCTION("""COMPUTED_VALUE"""),"ปรารถนา")</f>
        <v>ปรารถนา</v>
      </c>
      <c r="K418" s="1" t="str">
        <f>IFERROR(__xludf.DUMMYFUNCTION("""COMPUTED_VALUE"""),"คำสีทิพย์")</f>
        <v>คำสีทิพย์</v>
      </c>
      <c r="L418" s="1" t="str">
        <f>IFERROR(__xludf.DUMMYFUNCTION("""COMPUTED_VALUE"""),"ม.2")</f>
        <v>ม.2</v>
      </c>
      <c r="M418" s="1" t="str">
        <f>IFERROR(__xludf.DUMMYFUNCTION("""COMPUTED_VALUE"""),"สังคมศึกษา")</f>
        <v>สังคมศึกษา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>
        <f>IFERROR(__xludf.DUMMYFUNCTION("""COMPUTED_VALUE"""),6.0)</f>
        <v>6</v>
      </c>
      <c r="B419" s="1">
        <f>IFERROR(__xludf.DUMMYFUNCTION("""COMPUTED_VALUE"""),1.0)</f>
        <v>1</v>
      </c>
      <c r="C419" s="1" t="str">
        <f>IFERROR(__xludf.DUMMYFUNCTION("""COMPUTED_VALUE"""),"ส22101")</f>
        <v>ส22101</v>
      </c>
      <c r="D419" s="1" t="str">
        <f>IFERROR(__xludf.DUMMYFUNCTION("""COMPUTED_VALUE"""),"สังคมศึกษาฯ 3")</f>
        <v>สังคมศึกษาฯ 3</v>
      </c>
      <c r="E419" s="1">
        <f>IFERROR(__xludf.DUMMYFUNCTION("""COMPUTED_VALUE"""),1.5)</f>
        <v>1.5</v>
      </c>
      <c r="F419" s="1">
        <f>IFERROR(__xludf.DUMMYFUNCTION("""COMPUTED_VALUE"""),2569.0)</f>
        <v>2569</v>
      </c>
      <c r="G419" s="1">
        <f>IFERROR(__xludf.DUMMYFUNCTION("""COMPUTED_VALUE"""),1.0)</f>
        <v>1</v>
      </c>
      <c r="H419" s="1">
        <f>IFERROR(__xludf.DUMMYFUNCTION("""COMPUTED_VALUE"""),435.0)</f>
        <v>435</v>
      </c>
      <c r="I419" s="1" t="str">
        <f>IFERROR(__xludf.DUMMYFUNCTION("""COMPUTED_VALUE"""),"นางสาว")</f>
        <v>นางสาว</v>
      </c>
      <c r="J419" s="1" t="str">
        <f>IFERROR(__xludf.DUMMYFUNCTION("""COMPUTED_VALUE"""),"ปรารถนา")</f>
        <v>ปรารถนา</v>
      </c>
      <c r="K419" s="1" t="str">
        <f>IFERROR(__xludf.DUMMYFUNCTION("""COMPUTED_VALUE"""),"คำสีทิพย์")</f>
        <v>คำสีทิพย์</v>
      </c>
      <c r="L419" s="1" t="str">
        <f>IFERROR(__xludf.DUMMYFUNCTION("""COMPUTED_VALUE"""),"ม.2")</f>
        <v>ม.2</v>
      </c>
      <c r="M419" s="1" t="str">
        <f>IFERROR(__xludf.DUMMYFUNCTION("""COMPUTED_VALUE"""),"สังคมศึกษา")</f>
        <v>สังคมศึกษา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>
        <f>IFERROR(__xludf.DUMMYFUNCTION("""COMPUTED_VALUE"""),7.0)</f>
        <v>7</v>
      </c>
      <c r="B420" s="1">
        <f>IFERROR(__xludf.DUMMYFUNCTION("""COMPUTED_VALUE"""),1.0)</f>
        <v>1</v>
      </c>
      <c r="C420" s="1" t="str">
        <f>IFERROR(__xludf.DUMMYFUNCTION("""COMPUTED_VALUE"""),"ส22101")</f>
        <v>ส22101</v>
      </c>
      <c r="D420" s="1" t="str">
        <f>IFERROR(__xludf.DUMMYFUNCTION("""COMPUTED_VALUE"""),"สังคมศึกษาฯ 3")</f>
        <v>สังคมศึกษาฯ 3</v>
      </c>
      <c r="E420" s="1">
        <f>IFERROR(__xludf.DUMMYFUNCTION("""COMPUTED_VALUE"""),1.5)</f>
        <v>1.5</v>
      </c>
      <c r="F420" s="1">
        <f>IFERROR(__xludf.DUMMYFUNCTION("""COMPUTED_VALUE"""),2569.0)</f>
        <v>2569</v>
      </c>
      <c r="G420" s="1">
        <f>IFERROR(__xludf.DUMMYFUNCTION("""COMPUTED_VALUE"""),1.0)</f>
        <v>1</v>
      </c>
      <c r="H420" s="1">
        <f>IFERROR(__xludf.DUMMYFUNCTION("""COMPUTED_VALUE"""),435.0)</f>
        <v>435</v>
      </c>
      <c r="I420" s="1" t="str">
        <f>IFERROR(__xludf.DUMMYFUNCTION("""COMPUTED_VALUE"""),"นางสาว")</f>
        <v>นางสาว</v>
      </c>
      <c r="J420" s="1" t="str">
        <f>IFERROR(__xludf.DUMMYFUNCTION("""COMPUTED_VALUE"""),"ปรารถนา")</f>
        <v>ปรารถนา</v>
      </c>
      <c r="K420" s="1" t="str">
        <f>IFERROR(__xludf.DUMMYFUNCTION("""COMPUTED_VALUE"""),"คำสีทิพย์")</f>
        <v>คำสีทิพย์</v>
      </c>
      <c r="L420" s="1" t="str">
        <f>IFERROR(__xludf.DUMMYFUNCTION("""COMPUTED_VALUE"""),"ม.2")</f>
        <v>ม.2</v>
      </c>
      <c r="M420" s="1" t="str">
        <f>IFERROR(__xludf.DUMMYFUNCTION("""COMPUTED_VALUE"""),"สังคมศึกษา")</f>
        <v>สังคมศึกษา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>
        <f>IFERROR(__xludf.DUMMYFUNCTION("""COMPUTED_VALUE"""),7.0)</f>
        <v>7</v>
      </c>
      <c r="B421" s="1">
        <f>IFERROR(__xludf.DUMMYFUNCTION("""COMPUTED_VALUE"""),2.0)</f>
        <v>2</v>
      </c>
      <c r="C421" s="1" t="str">
        <f>IFERROR(__xludf.DUMMYFUNCTION("""COMPUTED_VALUE"""),"ส30247")</f>
        <v>ส30247</v>
      </c>
      <c r="D421" s="1" t="str">
        <f>IFERROR(__xludf.DUMMYFUNCTION("""COMPUTED_VALUE"""),"การป้องกันการทุจริต 1")</f>
        <v>การป้องกันการทุจริต 1</v>
      </c>
      <c r="E421" s="1">
        <f>IFERROR(__xludf.DUMMYFUNCTION("""COMPUTED_VALUE"""),0.5)</f>
        <v>0.5</v>
      </c>
      <c r="F421" s="1">
        <f>IFERROR(__xludf.DUMMYFUNCTION("""COMPUTED_VALUE"""),2569.0)</f>
        <v>2569</v>
      </c>
      <c r="G421" s="1">
        <f>IFERROR(__xludf.DUMMYFUNCTION("""COMPUTED_VALUE"""),1.0)</f>
        <v>1</v>
      </c>
      <c r="H421" s="1">
        <f>IFERROR(__xludf.DUMMYFUNCTION("""COMPUTED_VALUE"""),436.0)</f>
        <v>436</v>
      </c>
      <c r="I421" s="1" t="str">
        <f>IFERROR(__xludf.DUMMYFUNCTION("""COMPUTED_VALUE"""),"นาย")</f>
        <v>นาย</v>
      </c>
      <c r="J421" s="1" t="str">
        <f>IFERROR(__xludf.DUMMYFUNCTION("""COMPUTED_VALUE"""),"จักรกฤษณ์")</f>
        <v>จักรกฤษณ์</v>
      </c>
      <c r="K421" s="1" t="str">
        <f>IFERROR(__xludf.DUMMYFUNCTION("""COMPUTED_VALUE"""),"โพธิ์ภาสี")</f>
        <v>โพธิ์ภาสี</v>
      </c>
      <c r="L421" s="1" t="str">
        <f>IFERROR(__xludf.DUMMYFUNCTION("""COMPUTED_VALUE"""),"ม.4")</f>
        <v>ม.4</v>
      </c>
      <c r="M421" s="1" t="str">
        <f>IFERROR(__xludf.DUMMYFUNCTION("""COMPUTED_VALUE"""),"สังคมศึกษา")</f>
        <v>สังคมศึกษา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>
        <f>IFERROR(__xludf.DUMMYFUNCTION("""COMPUTED_VALUE"""),1.0)</f>
        <v>1</v>
      </c>
      <c r="B422" s="1">
        <f>IFERROR(__xludf.DUMMYFUNCTION("""COMPUTED_VALUE"""),1.0)</f>
        <v>1</v>
      </c>
      <c r="C422" s="1" t="str">
        <f>IFERROR(__xludf.DUMMYFUNCTION("""COMPUTED_VALUE"""),"ส32102")</f>
        <v>ส32102</v>
      </c>
      <c r="D422" s="1" t="str">
        <f>IFERROR(__xludf.DUMMYFUNCTION("""COMPUTED_VALUE"""),"ประวัติศาสตร์ 3")</f>
        <v>ประวัติศาสตร์ 3</v>
      </c>
      <c r="E422" s="1">
        <f>IFERROR(__xludf.DUMMYFUNCTION("""COMPUTED_VALUE"""),0.5)</f>
        <v>0.5</v>
      </c>
      <c r="F422" s="1">
        <f>IFERROR(__xludf.DUMMYFUNCTION("""COMPUTED_VALUE"""),2569.0)</f>
        <v>2569</v>
      </c>
      <c r="G422" s="1">
        <f>IFERROR(__xludf.DUMMYFUNCTION("""COMPUTED_VALUE"""),1.0)</f>
        <v>1</v>
      </c>
      <c r="H422" s="1">
        <f>IFERROR(__xludf.DUMMYFUNCTION("""COMPUTED_VALUE"""),436.0)</f>
        <v>436</v>
      </c>
      <c r="I422" s="1" t="str">
        <f>IFERROR(__xludf.DUMMYFUNCTION("""COMPUTED_VALUE"""),"นาย")</f>
        <v>นาย</v>
      </c>
      <c r="J422" s="1" t="str">
        <f>IFERROR(__xludf.DUMMYFUNCTION("""COMPUTED_VALUE"""),"จักรกฤษณ์")</f>
        <v>จักรกฤษณ์</v>
      </c>
      <c r="K422" s="1" t="str">
        <f>IFERROR(__xludf.DUMMYFUNCTION("""COMPUTED_VALUE"""),"โพธิ์ภาสี")</f>
        <v>โพธิ์ภาสี</v>
      </c>
      <c r="L422" s="1" t="str">
        <f>IFERROR(__xludf.DUMMYFUNCTION("""COMPUTED_VALUE"""),"ม.5")</f>
        <v>ม.5</v>
      </c>
      <c r="M422" s="1" t="str">
        <f>IFERROR(__xludf.DUMMYFUNCTION("""COMPUTED_VALUE"""),"สังคมศึกษา")</f>
        <v>สังคมศึกษา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>
        <f>IFERROR(__xludf.DUMMYFUNCTION("""COMPUTED_VALUE"""),3.0)</f>
        <v>3</v>
      </c>
      <c r="B423" s="1">
        <f>IFERROR(__xludf.DUMMYFUNCTION("""COMPUTED_VALUE"""),1.0)</f>
        <v>1</v>
      </c>
      <c r="C423" s="1" t="str">
        <f>IFERROR(__xludf.DUMMYFUNCTION("""COMPUTED_VALUE"""),"ส32102")</f>
        <v>ส32102</v>
      </c>
      <c r="D423" s="1" t="str">
        <f>IFERROR(__xludf.DUMMYFUNCTION("""COMPUTED_VALUE"""),"ประวัติศาสตร์ 3")</f>
        <v>ประวัติศาสตร์ 3</v>
      </c>
      <c r="E423" s="1">
        <f>IFERROR(__xludf.DUMMYFUNCTION("""COMPUTED_VALUE"""),0.5)</f>
        <v>0.5</v>
      </c>
      <c r="F423" s="1">
        <f>IFERROR(__xludf.DUMMYFUNCTION("""COMPUTED_VALUE"""),2569.0)</f>
        <v>2569</v>
      </c>
      <c r="G423" s="1">
        <f>IFERROR(__xludf.DUMMYFUNCTION("""COMPUTED_VALUE"""),1.0)</f>
        <v>1</v>
      </c>
      <c r="H423" s="1">
        <f>IFERROR(__xludf.DUMMYFUNCTION("""COMPUTED_VALUE"""),436.0)</f>
        <v>436</v>
      </c>
      <c r="I423" s="1" t="str">
        <f>IFERROR(__xludf.DUMMYFUNCTION("""COMPUTED_VALUE"""),"นาย")</f>
        <v>นาย</v>
      </c>
      <c r="J423" s="1" t="str">
        <f>IFERROR(__xludf.DUMMYFUNCTION("""COMPUTED_VALUE"""),"จักรกฤษณ์")</f>
        <v>จักรกฤษณ์</v>
      </c>
      <c r="K423" s="1" t="str">
        <f>IFERROR(__xludf.DUMMYFUNCTION("""COMPUTED_VALUE"""),"โพธิ์ภาสี")</f>
        <v>โพธิ์ภาสี</v>
      </c>
      <c r="L423" s="1" t="str">
        <f>IFERROR(__xludf.DUMMYFUNCTION("""COMPUTED_VALUE"""),"ม.5")</f>
        <v>ม.5</v>
      </c>
      <c r="M423" s="1" t="str">
        <f>IFERROR(__xludf.DUMMYFUNCTION("""COMPUTED_VALUE"""),"สังคมศึกษา")</f>
        <v>สังคมศึกษา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>
        <f>IFERROR(__xludf.DUMMYFUNCTION("""COMPUTED_VALUE"""),4.0)</f>
        <v>4</v>
      </c>
      <c r="B424" s="1">
        <f>IFERROR(__xludf.DUMMYFUNCTION("""COMPUTED_VALUE"""),1.0)</f>
        <v>1</v>
      </c>
      <c r="C424" s="1" t="str">
        <f>IFERROR(__xludf.DUMMYFUNCTION("""COMPUTED_VALUE"""),"ส32102")</f>
        <v>ส32102</v>
      </c>
      <c r="D424" s="1" t="str">
        <f>IFERROR(__xludf.DUMMYFUNCTION("""COMPUTED_VALUE"""),"ประวัติศาสตร์ 3")</f>
        <v>ประวัติศาสตร์ 3</v>
      </c>
      <c r="E424" s="1">
        <f>IFERROR(__xludf.DUMMYFUNCTION("""COMPUTED_VALUE"""),0.5)</f>
        <v>0.5</v>
      </c>
      <c r="F424" s="1">
        <f>IFERROR(__xludf.DUMMYFUNCTION("""COMPUTED_VALUE"""),2569.0)</f>
        <v>2569</v>
      </c>
      <c r="G424" s="1">
        <f>IFERROR(__xludf.DUMMYFUNCTION("""COMPUTED_VALUE"""),1.0)</f>
        <v>1</v>
      </c>
      <c r="H424" s="1">
        <f>IFERROR(__xludf.DUMMYFUNCTION("""COMPUTED_VALUE"""),436.0)</f>
        <v>436</v>
      </c>
      <c r="I424" s="1" t="str">
        <f>IFERROR(__xludf.DUMMYFUNCTION("""COMPUTED_VALUE"""),"นาย")</f>
        <v>นาย</v>
      </c>
      <c r="J424" s="1" t="str">
        <f>IFERROR(__xludf.DUMMYFUNCTION("""COMPUTED_VALUE"""),"จักรกฤษณ์")</f>
        <v>จักรกฤษณ์</v>
      </c>
      <c r="K424" s="1" t="str">
        <f>IFERROR(__xludf.DUMMYFUNCTION("""COMPUTED_VALUE"""),"โพธิ์ภาสี")</f>
        <v>โพธิ์ภาสี</v>
      </c>
      <c r="L424" s="1" t="str">
        <f>IFERROR(__xludf.DUMMYFUNCTION("""COMPUTED_VALUE"""),"ม.5")</f>
        <v>ม.5</v>
      </c>
      <c r="M424" s="1" t="str">
        <f>IFERROR(__xludf.DUMMYFUNCTION("""COMPUTED_VALUE"""),"สังคมศึกษา")</f>
        <v>สังคมศึกษา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>
        <f>IFERROR(__xludf.DUMMYFUNCTION("""COMPUTED_VALUE"""),6.0)</f>
        <v>6</v>
      </c>
      <c r="B425" s="1">
        <f>IFERROR(__xludf.DUMMYFUNCTION("""COMPUTED_VALUE"""),1.0)</f>
        <v>1</v>
      </c>
      <c r="C425" s="1" t="str">
        <f>IFERROR(__xludf.DUMMYFUNCTION("""COMPUTED_VALUE"""),"ส32102")</f>
        <v>ส32102</v>
      </c>
      <c r="D425" s="1" t="str">
        <f>IFERROR(__xludf.DUMMYFUNCTION("""COMPUTED_VALUE"""),"ประวัติศาสตร์ 3")</f>
        <v>ประวัติศาสตร์ 3</v>
      </c>
      <c r="E425" s="1">
        <f>IFERROR(__xludf.DUMMYFUNCTION("""COMPUTED_VALUE"""),0.5)</f>
        <v>0.5</v>
      </c>
      <c r="F425" s="1">
        <f>IFERROR(__xludf.DUMMYFUNCTION("""COMPUTED_VALUE"""),2569.0)</f>
        <v>2569</v>
      </c>
      <c r="G425" s="1">
        <f>IFERROR(__xludf.DUMMYFUNCTION("""COMPUTED_VALUE"""),1.0)</f>
        <v>1</v>
      </c>
      <c r="H425" s="1">
        <f>IFERROR(__xludf.DUMMYFUNCTION("""COMPUTED_VALUE"""),436.0)</f>
        <v>436</v>
      </c>
      <c r="I425" s="1" t="str">
        <f>IFERROR(__xludf.DUMMYFUNCTION("""COMPUTED_VALUE"""),"นาย")</f>
        <v>นาย</v>
      </c>
      <c r="J425" s="1" t="str">
        <f>IFERROR(__xludf.DUMMYFUNCTION("""COMPUTED_VALUE"""),"จักรกฤษณ์")</f>
        <v>จักรกฤษณ์</v>
      </c>
      <c r="K425" s="1" t="str">
        <f>IFERROR(__xludf.DUMMYFUNCTION("""COMPUTED_VALUE"""),"โพธิ์ภาสี")</f>
        <v>โพธิ์ภาสี</v>
      </c>
      <c r="L425" s="1" t="str">
        <f>IFERROR(__xludf.DUMMYFUNCTION("""COMPUTED_VALUE"""),"ม.5")</f>
        <v>ม.5</v>
      </c>
      <c r="M425" s="1" t="str">
        <f>IFERROR(__xludf.DUMMYFUNCTION("""COMPUTED_VALUE"""),"สังคมศึกษา")</f>
        <v>สังคมศึกษา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>
        <f>IFERROR(__xludf.DUMMYFUNCTION("""COMPUTED_VALUE"""),8.0)</f>
        <v>8</v>
      </c>
      <c r="B426" s="1">
        <f>IFERROR(__xludf.DUMMYFUNCTION("""COMPUTED_VALUE"""),1.0)</f>
        <v>1</v>
      </c>
      <c r="C426" s="1" t="str">
        <f>IFERROR(__xludf.DUMMYFUNCTION("""COMPUTED_VALUE"""),"ส32102")</f>
        <v>ส32102</v>
      </c>
      <c r="D426" s="1" t="str">
        <f>IFERROR(__xludf.DUMMYFUNCTION("""COMPUTED_VALUE"""),"ประวัติศาสตร์ 3")</f>
        <v>ประวัติศาสตร์ 3</v>
      </c>
      <c r="E426" s="1">
        <f>IFERROR(__xludf.DUMMYFUNCTION("""COMPUTED_VALUE"""),0.5)</f>
        <v>0.5</v>
      </c>
      <c r="F426" s="1">
        <f>IFERROR(__xludf.DUMMYFUNCTION("""COMPUTED_VALUE"""),2569.0)</f>
        <v>2569</v>
      </c>
      <c r="G426" s="1">
        <f>IFERROR(__xludf.DUMMYFUNCTION("""COMPUTED_VALUE"""),1.0)</f>
        <v>1</v>
      </c>
      <c r="H426" s="1">
        <f>IFERROR(__xludf.DUMMYFUNCTION("""COMPUTED_VALUE"""),436.0)</f>
        <v>436</v>
      </c>
      <c r="I426" s="1" t="str">
        <f>IFERROR(__xludf.DUMMYFUNCTION("""COMPUTED_VALUE"""),"นาย")</f>
        <v>นาย</v>
      </c>
      <c r="J426" s="1" t="str">
        <f>IFERROR(__xludf.DUMMYFUNCTION("""COMPUTED_VALUE"""),"จักรกฤษณ์")</f>
        <v>จักรกฤษณ์</v>
      </c>
      <c r="K426" s="1" t="str">
        <f>IFERROR(__xludf.DUMMYFUNCTION("""COMPUTED_VALUE"""),"โพธิ์ภาสี")</f>
        <v>โพธิ์ภาสี</v>
      </c>
      <c r="L426" s="1" t="str">
        <f>IFERROR(__xludf.DUMMYFUNCTION("""COMPUTED_VALUE"""),"ม.5")</f>
        <v>ม.5</v>
      </c>
      <c r="M426" s="1" t="str">
        <f>IFERROR(__xludf.DUMMYFUNCTION("""COMPUTED_VALUE"""),"สังคมศึกษา")</f>
        <v>สังคมศึกษา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>
        <f>IFERROR(__xludf.DUMMYFUNCTION("""COMPUTED_VALUE"""),11.0)</f>
        <v>11</v>
      </c>
      <c r="B427" s="1">
        <f>IFERROR(__xludf.DUMMYFUNCTION("""COMPUTED_VALUE"""),1.0)</f>
        <v>1</v>
      </c>
      <c r="C427" s="1" t="str">
        <f>IFERROR(__xludf.DUMMYFUNCTION("""COMPUTED_VALUE"""),"ส32102")</f>
        <v>ส32102</v>
      </c>
      <c r="D427" s="1" t="str">
        <f>IFERROR(__xludf.DUMMYFUNCTION("""COMPUTED_VALUE"""),"ประวัติศาสตร์ 3")</f>
        <v>ประวัติศาสตร์ 3</v>
      </c>
      <c r="E427" s="1">
        <f>IFERROR(__xludf.DUMMYFUNCTION("""COMPUTED_VALUE"""),0.5)</f>
        <v>0.5</v>
      </c>
      <c r="F427" s="1">
        <f>IFERROR(__xludf.DUMMYFUNCTION("""COMPUTED_VALUE"""),2569.0)</f>
        <v>2569</v>
      </c>
      <c r="G427" s="1">
        <f>IFERROR(__xludf.DUMMYFUNCTION("""COMPUTED_VALUE"""),1.0)</f>
        <v>1</v>
      </c>
      <c r="H427" s="1">
        <f>IFERROR(__xludf.DUMMYFUNCTION("""COMPUTED_VALUE"""),436.0)</f>
        <v>436</v>
      </c>
      <c r="I427" s="1" t="str">
        <f>IFERROR(__xludf.DUMMYFUNCTION("""COMPUTED_VALUE"""),"นาย")</f>
        <v>นาย</v>
      </c>
      <c r="J427" s="1" t="str">
        <f>IFERROR(__xludf.DUMMYFUNCTION("""COMPUTED_VALUE"""),"จักรกฤษณ์")</f>
        <v>จักรกฤษณ์</v>
      </c>
      <c r="K427" s="1" t="str">
        <f>IFERROR(__xludf.DUMMYFUNCTION("""COMPUTED_VALUE"""),"โพธิ์ภาสี")</f>
        <v>โพธิ์ภาสี</v>
      </c>
      <c r="L427" s="1" t="str">
        <f>IFERROR(__xludf.DUMMYFUNCTION("""COMPUTED_VALUE"""),"ม.5")</f>
        <v>ม.5</v>
      </c>
      <c r="M427" s="1" t="str">
        <f>IFERROR(__xludf.DUMMYFUNCTION("""COMPUTED_VALUE"""),"สังคมศึกษา")</f>
        <v>สังคมศึกษา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>
        <f>IFERROR(__xludf.DUMMYFUNCTION("""COMPUTED_VALUE"""),2.0)</f>
        <v>2</v>
      </c>
      <c r="B428" s="1">
        <f>IFERROR(__xludf.DUMMYFUNCTION("""COMPUTED_VALUE"""),1.0)</f>
        <v>1</v>
      </c>
      <c r="C428" s="1" t="str">
        <f>IFERROR(__xludf.DUMMYFUNCTION("""COMPUTED_VALUE"""),"ส33101")</f>
        <v>ส33101</v>
      </c>
      <c r="D428" s="1" t="str">
        <f>IFERROR(__xludf.DUMMYFUNCTION("""COMPUTED_VALUE"""),"สังคมศึกษาฯ 5")</f>
        <v>สังคมศึกษาฯ 5</v>
      </c>
      <c r="E428" s="1">
        <f>IFERROR(__xludf.DUMMYFUNCTION("""COMPUTED_VALUE"""),1.0)</f>
        <v>1</v>
      </c>
      <c r="F428" s="1">
        <f>IFERROR(__xludf.DUMMYFUNCTION("""COMPUTED_VALUE"""),2569.0)</f>
        <v>2569</v>
      </c>
      <c r="G428" s="1">
        <f>IFERROR(__xludf.DUMMYFUNCTION("""COMPUTED_VALUE"""),1.0)</f>
        <v>1</v>
      </c>
      <c r="H428" s="1">
        <f>IFERROR(__xludf.DUMMYFUNCTION("""COMPUTED_VALUE"""),436.0)</f>
        <v>436</v>
      </c>
      <c r="I428" s="1" t="str">
        <f>IFERROR(__xludf.DUMMYFUNCTION("""COMPUTED_VALUE"""),"นาย")</f>
        <v>นาย</v>
      </c>
      <c r="J428" s="1" t="str">
        <f>IFERROR(__xludf.DUMMYFUNCTION("""COMPUTED_VALUE"""),"จักรกฤษณ์")</f>
        <v>จักรกฤษณ์</v>
      </c>
      <c r="K428" s="1" t="str">
        <f>IFERROR(__xludf.DUMMYFUNCTION("""COMPUTED_VALUE"""),"โพธิ์ภาสี")</f>
        <v>โพธิ์ภาสี</v>
      </c>
      <c r="L428" s="1" t="str">
        <f>IFERROR(__xludf.DUMMYFUNCTION("""COMPUTED_VALUE"""),"ม.6")</f>
        <v>ม.6</v>
      </c>
      <c r="M428" s="1" t="str">
        <f>IFERROR(__xludf.DUMMYFUNCTION("""COMPUTED_VALUE"""),"สังคมศึกษา")</f>
        <v>สังคมศึกษา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>
        <f>IFERROR(__xludf.DUMMYFUNCTION("""COMPUTED_VALUE"""),4.0)</f>
        <v>4</v>
      </c>
      <c r="B429" s="1">
        <f>IFERROR(__xludf.DUMMYFUNCTION("""COMPUTED_VALUE"""),1.0)</f>
        <v>1</v>
      </c>
      <c r="C429" s="1" t="str">
        <f>IFERROR(__xludf.DUMMYFUNCTION("""COMPUTED_VALUE"""),"ส33101")</f>
        <v>ส33101</v>
      </c>
      <c r="D429" s="1" t="str">
        <f>IFERROR(__xludf.DUMMYFUNCTION("""COMPUTED_VALUE"""),"สังคมศึกษาฯ 5")</f>
        <v>สังคมศึกษาฯ 5</v>
      </c>
      <c r="E429" s="1">
        <f>IFERROR(__xludf.DUMMYFUNCTION("""COMPUTED_VALUE"""),1.0)</f>
        <v>1</v>
      </c>
      <c r="F429" s="1">
        <f>IFERROR(__xludf.DUMMYFUNCTION("""COMPUTED_VALUE"""),2569.0)</f>
        <v>2569</v>
      </c>
      <c r="G429" s="1">
        <f>IFERROR(__xludf.DUMMYFUNCTION("""COMPUTED_VALUE"""),1.0)</f>
        <v>1</v>
      </c>
      <c r="H429" s="1">
        <f>IFERROR(__xludf.DUMMYFUNCTION("""COMPUTED_VALUE"""),436.0)</f>
        <v>436</v>
      </c>
      <c r="I429" s="1" t="str">
        <f>IFERROR(__xludf.DUMMYFUNCTION("""COMPUTED_VALUE"""),"นาย")</f>
        <v>นาย</v>
      </c>
      <c r="J429" s="1" t="str">
        <f>IFERROR(__xludf.DUMMYFUNCTION("""COMPUTED_VALUE"""),"จักรกฤษณ์")</f>
        <v>จักรกฤษณ์</v>
      </c>
      <c r="K429" s="1" t="str">
        <f>IFERROR(__xludf.DUMMYFUNCTION("""COMPUTED_VALUE"""),"โพธิ์ภาสี")</f>
        <v>โพธิ์ภาสี</v>
      </c>
      <c r="L429" s="1" t="str">
        <f>IFERROR(__xludf.DUMMYFUNCTION("""COMPUTED_VALUE"""),"ม.6")</f>
        <v>ม.6</v>
      </c>
      <c r="M429" s="1" t="str">
        <f>IFERROR(__xludf.DUMMYFUNCTION("""COMPUTED_VALUE"""),"สังคมศึกษา")</f>
        <v>สังคมศึกษา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>
        <f>IFERROR(__xludf.DUMMYFUNCTION("""COMPUTED_VALUE"""),6.0)</f>
        <v>6</v>
      </c>
      <c r="B430" s="1">
        <f>IFERROR(__xludf.DUMMYFUNCTION("""COMPUTED_VALUE"""),1.0)</f>
        <v>1</v>
      </c>
      <c r="C430" s="1" t="str">
        <f>IFERROR(__xludf.DUMMYFUNCTION("""COMPUTED_VALUE"""),"ส33101")</f>
        <v>ส33101</v>
      </c>
      <c r="D430" s="1" t="str">
        <f>IFERROR(__xludf.DUMMYFUNCTION("""COMPUTED_VALUE"""),"สังคมศึกษาฯ 5")</f>
        <v>สังคมศึกษาฯ 5</v>
      </c>
      <c r="E430" s="1">
        <f>IFERROR(__xludf.DUMMYFUNCTION("""COMPUTED_VALUE"""),1.0)</f>
        <v>1</v>
      </c>
      <c r="F430" s="1">
        <f>IFERROR(__xludf.DUMMYFUNCTION("""COMPUTED_VALUE"""),2569.0)</f>
        <v>2569</v>
      </c>
      <c r="G430" s="1">
        <f>IFERROR(__xludf.DUMMYFUNCTION("""COMPUTED_VALUE"""),1.0)</f>
        <v>1</v>
      </c>
      <c r="H430" s="1">
        <f>IFERROR(__xludf.DUMMYFUNCTION("""COMPUTED_VALUE"""),436.0)</f>
        <v>436</v>
      </c>
      <c r="I430" s="1" t="str">
        <f>IFERROR(__xludf.DUMMYFUNCTION("""COMPUTED_VALUE"""),"นาย")</f>
        <v>นาย</v>
      </c>
      <c r="J430" s="1" t="str">
        <f>IFERROR(__xludf.DUMMYFUNCTION("""COMPUTED_VALUE"""),"จักรกฤษณ์")</f>
        <v>จักรกฤษณ์</v>
      </c>
      <c r="K430" s="1" t="str">
        <f>IFERROR(__xludf.DUMMYFUNCTION("""COMPUTED_VALUE"""),"โพธิ์ภาสี")</f>
        <v>โพธิ์ภาสี</v>
      </c>
      <c r="L430" s="1" t="str">
        <f>IFERROR(__xludf.DUMMYFUNCTION("""COMPUTED_VALUE"""),"ม.6")</f>
        <v>ม.6</v>
      </c>
      <c r="M430" s="1" t="str">
        <f>IFERROR(__xludf.DUMMYFUNCTION("""COMPUTED_VALUE"""),"สังคมศึกษา")</f>
        <v>สังคมศึกษา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>
        <f>IFERROR(__xludf.DUMMYFUNCTION("""COMPUTED_VALUE"""),8.0)</f>
        <v>8</v>
      </c>
      <c r="B431" s="1">
        <f>IFERROR(__xludf.DUMMYFUNCTION("""COMPUTED_VALUE"""),1.0)</f>
        <v>1</v>
      </c>
      <c r="C431" s="1" t="str">
        <f>IFERROR(__xludf.DUMMYFUNCTION("""COMPUTED_VALUE"""),"ส33101")</f>
        <v>ส33101</v>
      </c>
      <c r="D431" s="1" t="str">
        <f>IFERROR(__xludf.DUMMYFUNCTION("""COMPUTED_VALUE"""),"สังคมศึกษาฯ 5")</f>
        <v>สังคมศึกษาฯ 5</v>
      </c>
      <c r="E431" s="1">
        <f>IFERROR(__xludf.DUMMYFUNCTION("""COMPUTED_VALUE"""),1.0)</f>
        <v>1</v>
      </c>
      <c r="F431" s="1">
        <f>IFERROR(__xludf.DUMMYFUNCTION("""COMPUTED_VALUE"""),2569.0)</f>
        <v>2569</v>
      </c>
      <c r="G431" s="1">
        <f>IFERROR(__xludf.DUMMYFUNCTION("""COMPUTED_VALUE"""),1.0)</f>
        <v>1</v>
      </c>
      <c r="H431" s="1">
        <f>IFERROR(__xludf.DUMMYFUNCTION("""COMPUTED_VALUE"""),436.0)</f>
        <v>436</v>
      </c>
      <c r="I431" s="1" t="str">
        <f>IFERROR(__xludf.DUMMYFUNCTION("""COMPUTED_VALUE"""),"นาย")</f>
        <v>นาย</v>
      </c>
      <c r="J431" s="1" t="str">
        <f>IFERROR(__xludf.DUMMYFUNCTION("""COMPUTED_VALUE"""),"จักรกฤษณ์")</f>
        <v>จักรกฤษณ์</v>
      </c>
      <c r="K431" s="1" t="str">
        <f>IFERROR(__xludf.DUMMYFUNCTION("""COMPUTED_VALUE"""),"โพธิ์ภาสี")</f>
        <v>โพธิ์ภาสี</v>
      </c>
      <c r="L431" s="1" t="str">
        <f>IFERROR(__xludf.DUMMYFUNCTION("""COMPUTED_VALUE"""),"ม.6")</f>
        <v>ม.6</v>
      </c>
      <c r="M431" s="1" t="str">
        <f>IFERROR(__xludf.DUMMYFUNCTION("""COMPUTED_VALUE"""),"สังคมศึกษา")</f>
        <v>สังคมศึกษา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>
        <f>IFERROR(__xludf.DUMMYFUNCTION("""COMPUTED_VALUE"""),10.0)</f>
        <v>10</v>
      </c>
      <c r="B432" s="1">
        <f>IFERROR(__xludf.DUMMYFUNCTION("""COMPUTED_VALUE"""),1.0)</f>
        <v>1</v>
      </c>
      <c r="C432" s="1" t="str">
        <f>IFERROR(__xludf.DUMMYFUNCTION("""COMPUTED_VALUE"""),"ส33101")</f>
        <v>ส33101</v>
      </c>
      <c r="D432" s="1" t="str">
        <f>IFERROR(__xludf.DUMMYFUNCTION("""COMPUTED_VALUE"""),"สังคมศึกษาฯ 5")</f>
        <v>สังคมศึกษาฯ 5</v>
      </c>
      <c r="E432" s="1">
        <f>IFERROR(__xludf.DUMMYFUNCTION("""COMPUTED_VALUE"""),1.0)</f>
        <v>1</v>
      </c>
      <c r="F432" s="1">
        <f>IFERROR(__xludf.DUMMYFUNCTION("""COMPUTED_VALUE"""),2569.0)</f>
        <v>2569</v>
      </c>
      <c r="G432" s="1">
        <f>IFERROR(__xludf.DUMMYFUNCTION("""COMPUTED_VALUE"""),1.0)</f>
        <v>1</v>
      </c>
      <c r="H432" s="1">
        <f>IFERROR(__xludf.DUMMYFUNCTION("""COMPUTED_VALUE"""),436.0)</f>
        <v>436</v>
      </c>
      <c r="I432" s="1" t="str">
        <f>IFERROR(__xludf.DUMMYFUNCTION("""COMPUTED_VALUE"""),"นาย")</f>
        <v>นาย</v>
      </c>
      <c r="J432" s="1" t="str">
        <f>IFERROR(__xludf.DUMMYFUNCTION("""COMPUTED_VALUE"""),"จักรกฤษณ์")</f>
        <v>จักรกฤษณ์</v>
      </c>
      <c r="K432" s="1" t="str">
        <f>IFERROR(__xludf.DUMMYFUNCTION("""COMPUTED_VALUE"""),"โพธิ์ภาสี")</f>
        <v>โพธิ์ภาสี</v>
      </c>
      <c r="L432" s="1" t="str">
        <f>IFERROR(__xludf.DUMMYFUNCTION("""COMPUTED_VALUE"""),"ม.6")</f>
        <v>ม.6</v>
      </c>
      <c r="M432" s="1" t="str">
        <f>IFERROR(__xludf.DUMMYFUNCTION("""COMPUTED_VALUE"""),"สังคมศึกษา")</f>
        <v>สังคมศึกษา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>
        <f>IFERROR(__xludf.DUMMYFUNCTION("""COMPUTED_VALUE"""),1.0)</f>
        <v>1</v>
      </c>
      <c r="B433" s="1">
        <f>IFERROR(__xludf.DUMMYFUNCTION("""COMPUTED_VALUE"""),1.0)</f>
        <v>1</v>
      </c>
      <c r="C433" s="1" t="str">
        <f>IFERROR(__xludf.DUMMYFUNCTION("""COMPUTED_VALUE"""),"ส23102")</f>
        <v>ส23102</v>
      </c>
      <c r="D433" s="1" t="str">
        <f>IFERROR(__xludf.DUMMYFUNCTION("""COMPUTED_VALUE"""),"ประวัติศาสตร์ 5")</f>
        <v>ประวัติศาสตร์ 5</v>
      </c>
      <c r="E433" s="1">
        <f>IFERROR(__xludf.DUMMYFUNCTION("""COMPUTED_VALUE"""),0.5)</f>
        <v>0.5</v>
      </c>
      <c r="F433" s="1">
        <f>IFERROR(__xludf.DUMMYFUNCTION("""COMPUTED_VALUE"""),2569.0)</f>
        <v>2569</v>
      </c>
      <c r="G433" s="1">
        <f>IFERROR(__xludf.DUMMYFUNCTION("""COMPUTED_VALUE"""),1.0)</f>
        <v>1</v>
      </c>
      <c r="H433" s="1">
        <f>IFERROR(__xludf.DUMMYFUNCTION("""COMPUTED_VALUE"""),438.0)</f>
        <v>438</v>
      </c>
      <c r="I433" s="1" t="str">
        <f>IFERROR(__xludf.DUMMYFUNCTION("""COMPUTED_VALUE"""),"นางสาว")</f>
        <v>นางสาว</v>
      </c>
      <c r="J433" s="1" t="str">
        <f>IFERROR(__xludf.DUMMYFUNCTION("""COMPUTED_VALUE"""),"พรปวีณา")</f>
        <v>พรปวีณา</v>
      </c>
      <c r="K433" s="1" t="str">
        <f>IFERROR(__xludf.DUMMYFUNCTION("""COMPUTED_VALUE"""),"แจ่มสุวรรณ")</f>
        <v>แจ่มสุวรรณ</v>
      </c>
      <c r="L433" s="1" t="str">
        <f>IFERROR(__xludf.DUMMYFUNCTION("""COMPUTED_VALUE"""),"ม.3")</f>
        <v>ม.3</v>
      </c>
      <c r="M433" s="1" t="str">
        <f>IFERROR(__xludf.DUMMYFUNCTION("""COMPUTED_VALUE"""),"สังคมศึกษา")</f>
        <v>สังคมศึกษา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>
        <f>IFERROR(__xludf.DUMMYFUNCTION("""COMPUTED_VALUE"""),3.0)</f>
        <v>3</v>
      </c>
      <c r="B434" s="1">
        <f>IFERROR(__xludf.DUMMYFUNCTION("""COMPUTED_VALUE"""),1.0)</f>
        <v>1</v>
      </c>
      <c r="C434" s="1" t="str">
        <f>IFERROR(__xludf.DUMMYFUNCTION("""COMPUTED_VALUE"""),"ส23102")</f>
        <v>ส23102</v>
      </c>
      <c r="D434" s="1" t="str">
        <f>IFERROR(__xludf.DUMMYFUNCTION("""COMPUTED_VALUE"""),"ประวัติศาสตร์ 5")</f>
        <v>ประวัติศาสตร์ 5</v>
      </c>
      <c r="E434" s="1">
        <f>IFERROR(__xludf.DUMMYFUNCTION("""COMPUTED_VALUE"""),0.5)</f>
        <v>0.5</v>
      </c>
      <c r="F434" s="1">
        <f>IFERROR(__xludf.DUMMYFUNCTION("""COMPUTED_VALUE"""),2569.0)</f>
        <v>2569</v>
      </c>
      <c r="G434" s="1">
        <f>IFERROR(__xludf.DUMMYFUNCTION("""COMPUTED_VALUE"""),1.0)</f>
        <v>1</v>
      </c>
      <c r="H434" s="1">
        <f>IFERROR(__xludf.DUMMYFUNCTION("""COMPUTED_VALUE"""),438.0)</f>
        <v>438</v>
      </c>
      <c r="I434" s="1" t="str">
        <f>IFERROR(__xludf.DUMMYFUNCTION("""COMPUTED_VALUE"""),"นางสาว")</f>
        <v>นางสาว</v>
      </c>
      <c r="J434" s="1" t="str">
        <f>IFERROR(__xludf.DUMMYFUNCTION("""COMPUTED_VALUE"""),"พรปวีณา")</f>
        <v>พรปวีณา</v>
      </c>
      <c r="K434" s="1" t="str">
        <f>IFERROR(__xludf.DUMMYFUNCTION("""COMPUTED_VALUE"""),"แจ่มสุวรรณ")</f>
        <v>แจ่มสุวรรณ</v>
      </c>
      <c r="L434" s="1" t="str">
        <f>IFERROR(__xludf.DUMMYFUNCTION("""COMPUTED_VALUE"""),"ม.3")</f>
        <v>ม.3</v>
      </c>
      <c r="M434" s="1" t="str">
        <f>IFERROR(__xludf.DUMMYFUNCTION("""COMPUTED_VALUE"""),"สังคมศึกษา")</f>
        <v>สังคมศึกษา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>
        <f>IFERROR(__xludf.DUMMYFUNCTION("""COMPUTED_VALUE"""),5.0)</f>
        <v>5</v>
      </c>
      <c r="B435" s="1">
        <f>IFERROR(__xludf.DUMMYFUNCTION("""COMPUTED_VALUE"""),1.0)</f>
        <v>1</v>
      </c>
      <c r="C435" s="1" t="str">
        <f>IFERROR(__xludf.DUMMYFUNCTION("""COMPUTED_VALUE"""),"ส23102")</f>
        <v>ส23102</v>
      </c>
      <c r="D435" s="1" t="str">
        <f>IFERROR(__xludf.DUMMYFUNCTION("""COMPUTED_VALUE"""),"ประวัติศาสตร์ 5")</f>
        <v>ประวัติศาสตร์ 5</v>
      </c>
      <c r="E435" s="1">
        <f>IFERROR(__xludf.DUMMYFUNCTION("""COMPUTED_VALUE"""),0.5)</f>
        <v>0.5</v>
      </c>
      <c r="F435" s="1">
        <f>IFERROR(__xludf.DUMMYFUNCTION("""COMPUTED_VALUE"""),2569.0)</f>
        <v>2569</v>
      </c>
      <c r="G435" s="1">
        <f>IFERROR(__xludf.DUMMYFUNCTION("""COMPUTED_VALUE"""),1.0)</f>
        <v>1</v>
      </c>
      <c r="H435" s="1">
        <f>IFERROR(__xludf.DUMMYFUNCTION("""COMPUTED_VALUE"""),438.0)</f>
        <v>438</v>
      </c>
      <c r="I435" s="1" t="str">
        <f>IFERROR(__xludf.DUMMYFUNCTION("""COMPUTED_VALUE"""),"นางสาว")</f>
        <v>นางสาว</v>
      </c>
      <c r="J435" s="1" t="str">
        <f>IFERROR(__xludf.DUMMYFUNCTION("""COMPUTED_VALUE"""),"พรปวีณา")</f>
        <v>พรปวีณา</v>
      </c>
      <c r="K435" s="1" t="str">
        <f>IFERROR(__xludf.DUMMYFUNCTION("""COMPUTED_VALUE"""),"แจ่มสุวรรณ")</f>
        <v>แจ่มสุวรรณ</v>
      </c>
      <c r="L435" s="1" t="str">
        <f>IFERROR(__xludf.DUMMYFUNCTION("""COMPUTED_VALUE"""),"ม.3")</f>
        <v>ม.3</v>
      </c>
      <c r="M435" s="1" t="str">
        <f>IFERROR(__xludf.DUMMYFUNCTION("""COMPUTED_VALUE"""),"สังคมศึกษา")</f>
        <v>สังคมศึกษา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>
        <f>IFERROR(__xludf.DUMMYFUNCTION("""COMPUTED_VALUE"""),7.0)</f>
        <v>7</v>
      </c>
      <c r="B436" s="1">
        <f>IFERROR(__xludf.DUMMYFUNCTION("""COMPUTED_VALUE"""),1.0)</f>
        <v>1</v>
      </c>
      <c r="C436" s="1" t="str">
        <f>IFERROR(__xludf.DUMMYFUNCTION("""COMPUTED_VALUE"""),"ส23102")</f>
        <v>ส23102</v>
      </c>
      <c r="D436" s="1" t="str">
        <f>IFERROR(__xludf.DUMMYFUNCTION("""COMPUTED_VALUE"""),"ประวัติศาสตร์ 5")</f>
        <v>ประวัติศาสตร์ 5</v>
      </c>
      <c r="E436" s="1">
        <f>IFERROR(__xludf.DUMMYFUNCTION("""COMPUTED_VALUE"""),0.5)</f>
        <v>0.5</v>
      </c>
      <c r="F436" s="1">
        <f>IFERROR(__xludf.DUMMYFUNCTION("""COMPUTED_VALUE"""),2569.0)</f>
        <v>2569</v>
      </c>
      <c r="G436" s="1">
        <f>IFERROR(__xludf.DUMMYFUNCTION("""COMPUTED_VALUE"""),1.0)</f>
        <v>1</v>
      </c>
      <c r="H436" s="1">
        <f>IFERROR(__xludf.DUMMYFUNCTION("""COMPUTED_VALUE"""),438.0)</f>
        <v>438</v>
      </c>
      <c r="I436" s="1" t="str">
        <f>IFERROR(__xludf.DUMMYFUNCTION("""COMPUTED_VALUE"""),"นางสาว")</f>
        <v>นางสาว</v>
      </c>
      <c r="J436" s="1" t="str">
        <f>IFERROR(__xludf.DUMMYFUNCTION("""COMPUTED_VALUE"""),"พรปวีณา")</f>
        <v>พรปวีณา</v>
      </c>
      <c r="K436" s="1" t="str">
        <f>IFERROR(__xludf.DUMMYFUNCTION("""COMPUTED_VALUE"""),"แจ่มสุวรรณ")</f>
        <v>แจ่มสุวรรณ</v>
      </c>
      <c r="L436" s="1" t="str">
        <f>IFERROR(__xludf.DUMMYFUNCTION("""COMPUTED_VALUE"""),"ม.3")</f>
        <v>ม.3</v>
      </c>
      <c r="M436" s="1" t="str">
        <f>IFERROR(__xludf.DUMMYFUNCTION("""COMPUTED_VALUE"""),"สังคมศึกษา")</f>
        <v>สังคมศึกษา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>
        <f>IFERROR(__xludf.DUMMYFUNCTION("""COMPUTED_VALUE"""),1.0)</f>
        <v>1</v>
      </c>
      <c r="B437" s="1">
        <f>IFERROR(__xludf.DUMMYFUNCTION("""COMPUTED_VALUE"""),1.0)</f>
        <v>1</v>
      </c>
      <c r="C437" s="1" t="str">
        <f>IFERROR(__xludf.DUMMYFUNCTION("""COMPUTED_VALUE"""),"ส30244")</f>
        <v>ส30244</v>
      </c>
      <c r="D437" s="1" t="str">
        <f>IFERROR(__xludf.DUMMYFUNCTION("""COMPUTED_VALUE"""),"การป้องกันตัวจากศาสตร์มืด")</f>
        <v>การป้องกันตัวจากศาสตร์มืด</v>
      </c>
      <c r="E437" s="1">
        <f>IFERROR(__xludf.DUMMYFUNCTION("""COMPUTED_VALUE"""),0.5)</f>
        <v>0.5</v>
      </c>
      <c r="F437" s="1">
        <f>IFERROR(__xludf.DUMMYFUNCTION("""COMPUTED_VALUE"""),2569.0)</f>
        <v>2569</v>
      </c>
      <c r="G437" s="1">
        <f>IFERROR(__xludf.DUMMYFUNCTION("""COMPUTED_VALUE"""),1.0)</f>
        <v>1</v>
      </c>
      <c r="H437" s="1">
        <f>IFERROR(__xludf.DUMMYFUNCTION("""COMPUTED_VALUE"""),438.0)</f>
        <v>438</v>
      </c>
      <c r="I437" s="1" t="str">
        <f>IFERROR(__xludf.DUMMYFUNCTION("""COMPUTED_VALUE"""),"นางสาว")</f>
        <v>นางสาว</v>
      </c>
      <c r="J437" s="1" t="str">
        <f>IFERROR(__xludf.DUMMYFUNCTION("""COMPUTED_VALUE"""),"พรปวีณา")</f>
        <v>พรปวีณา</v>
      </c>
      <c r="K437" s="1" t="str">
        <f>IFERROR(__xludf.DUMMYFUNCTION("""COMPUTED_VALUE"""),"แจ่มสุวรรณ")</f>
        <v>แจ่มสุวรรณ</v>
      </c>
      <c r="L437" s="1" t="str">
        <f>IFERROR(__xludf.DUMMYFUNCTION("""COMPUTED_VALUE"""),"ม.6")</f>
        <v>ม.6</v>
      </c>
      <c r="M437" s="1" t="str">
        <f>IFERROR(__xludf.DUMMYFUNCTION("""COMPUTED_VALUE"""),"สังคมศึกษา")</f>
        <v>สังคมศึกษา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>
        <f>IFERROR(__xludf.DUMMYFUNCTION("""COMPUTED_VALUE"""),8.0)</f>
        <v>8</v>
      </c>
      <c r="B438" s="1">
        <f>IFERROR(__xludf.DUMMYFUNCTION("""COMPUTED_VALUE"""),2.0)</f>
        <v>2</v>
      </c>
      <c r="C438" s="1" t="str">
        <f>IFERROR(__xludf.DUMMYFUNCTION("""COMPUTED_VALUE"""),"ส30249")</f>
        <v>ส30249</v>
      </c>
      <c r="D438" s="1" t="str">
        <f>IFERROR(__xludf.DUMMYFUNCTION("""COMPUTED_VALUE"""),"การป้องกันการทุจริต 3")</f>
        <v>การป้องกันการทุจริต 3</v>
      </c>
      <c r="E438" s="1">
        <f>IFERROR(__xludf.DUMMYFUNCTION("""COMPUTED_VALUE"""),0.5)</f>
        <v>0.5</v>
      </c>
      <c r="F438" s="1">
        <f>IFERROR(__xludf.DUMMYFUNCTION("""COMPUTED_VALUE"""),2569.0)</f>
        <v>2569</v>
      </c>
      <c r="G438" s="1">
        <f>IFERROR(__xludf.DUMMYFUNCTION("""COMPUTED_VALUE"""),1.0)</f>
        <v>1</v>
      </c>
      <c r="H438" s="1">
        <f>IFERROR(__xludf.DUMMYFUNCTION("""COMPUTED_VALUE"""),438.0)</f>
        <v>438</v>
      </c>
      <c r="I438" s="1" t="str">
        <f>IFERROR(__xludf.DUMMYFUNCTION("""COMPUTED_VALUE"""),"นางสาว")</f>
        <v>นางสาว</v>
      </c>
      <c r="J438" s="1" t="str">
        <f>IFERROR(__xludf.DUMMYFUNCTION("""COMPUTED_VALUE"""),"พรปวีณา")</f>
        <v>พรปวีณา</v>
      </c>
      <c r="K438" s="1" t="str">
        <f>IFERROR(__xludf.DUMMYFUNCTION("""COMPUTED_VALUE"""),"แจ่มสุวรรณ")</f>
        <v>แจ่มสุวรรณ</v>
      </c>
      <c r="L438" s="1" t="str">
        <f>IFERROR(__xludf.DUMMYFUNCTION("""COMPUTED_VALUE"""),"ม.5")</f>
        <v>ม.5</v>
      </c>
      <c r="M438" s="1" t="str">
        <f>IFERROR(__xludf.DUMMYFUNCTION("""COMPUTED_VALUE"""),"สังคมศึกษา")</f>
        <v>สังคมศึกษา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>
        <f>IFERROR(__xludf.DUMMYFUNCTION("""COMPUTED_VALUE"""),7.0)</f>
        <v>7</v>
      </c>
      <c r="B439" s="1">
        <f>IFERROR(__xludf.DUMMYFUNCTION("""COMPUTED_VALUE"""),1.0)</f>
        <v>1</v>
      </c>
      <c r="C439" s="1" t="str">
        <f>IFERROR(__xludf.DUMMYFUNCTION("""COMPUTED_VALUE"""),"ส31207")</f>
        <v>ส31207</v>
      </c>
      <c r="D439" s="1" t="str">
        <f>IFERROR(__xludf.DUMMYFUNCTION("""COMPUTED_VALUE"""),"วาทพระพุทธ")</f>
        <v>วาทพระพุทธ</v>
      </c>
      <c r="E439" s="1">
        <f>IFERROR(__xludf.DUMMYFUNCTION("""COMPUTED_VALUE"""),1.0)</f>
        <v>1</v>
      </c>
      <c r="F439" s="1">
        <f>IFERROR(__xludf.DUMMYFUNCTION("""COMPUTED_VALUE"""),2569.0)</f>
        <v>2569</v>
      </c>
      <c r="G439" s="1">
        <f>IFERROR(__xludf.DUMMYFUNCTION("""COMPUTED_VALUE"""),1.0)</f>
        <v>1</v>
      </c>
      <c r="H439" s="1">
        <f>IFERROR(__xludf.DUMMYFUNCTION("""COMPUTED_VALUE"""),438.0)</f>
        <v>438</v>
      </c>
      <c r="I439" s="1" t="str">
        <f>IFERROR(__xludf.DUMMYFUNCTION("""COMPUTED_VALUE"""),"นางสาว")</f>
        <v>นางสาว</v>
      </c>
      <c r="J439" s="1" t="str">
        <f>IFERROR(__xludf.DUMMYFUNCTION("""COMPUTED_VALUE"""),"พรปวีณา")</f>
        <v>พรปวีณา</v>
      </c>
      <c r="K439" s="1" t="str">
        <f>IFERROR(__xludf.DUMMYFUNCTION("""COMPUTED_VALUE"""),"แจ่มสุวรรณ")</f>
        <v>แจ่มสุวรรณ</v>
      </c>
      <c r="L439" s="1" t="str">
        <f>IFERROR(__xludf.DUMMYFUNCTION("""COMPUTED_VALUE"""),"ม.4")</f>
        <v>ม.4</v>
      </c>
      <c r="M439" s="1" t="str">
        <f>IFERROR(__xludf.DUMMYFUNCTION("""COMPUTED_VALUE"""),"สังคมศึกษา")</f>
        <v>สังคมศึกษา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>
        <f>IFERROR(__xludf.DUMMYFUNCTION("""COMPUTED_VALUE"""),8.0)</f>
        <v>8</v>
      </c>
      <c r="B440" s="1">
        <f>IFERROR(__xludf.DUMMYFUNCTION("""COMPUTED_VALUE"""),1.0)</f>
        <v>1</v>
      </c>
      <c r="C440" s="1" t="str">
        <f>IFERROR(__xludf.DUMMYFUNCTION("""COMPUTED_VALUE"""),"ส31207")</f>
        <v>ส31207</v>
      </c>
      <c r="D440" s="1" t="str">
        <f>IFERROR(__xludf.DUMMYFUNCTION("""COMPUTED_VALUE"""),"วาทพระพุทธ")</f>
        <v>วาทพระพุทธ</v>
      </c>
      <c r="E440" s="1">
        <f>IFERROR(__xludf.DUMMYFUNCTION("""COMPUTED_VALUE"""),1.0)</f>
        <v>1</v>
      </c>
      <c r="F440" s="1">
        <f>IFERROR(__xludf.DUMMYFUNCTION("""COMPUTED_VALUE"""),2569.0)</f>
        <v>2569</v>
      </c>
      <c r="G440" s="1">
        <f>IFERROR(__xludf.DUMMYFUNCTION("""COMPUTED_VALUE"""),1.0)</f>
        <v>1</v>
      </c>
      <c r="H440" s="1">
        <f>IFERROR(__xludf.DUMMYFUNCTION("""COMPUTED_VALUE"""),438.0)</f>
        <v>438</v>
      </c>
      <c r="I440" s="1" t="str">
        <f>IFERROR(__xludf.DUMMYFUNCTION("""COMPUTED_VALUE"""),"นางสาว")</f>
        <v>นางสาว</v>
      </c>
      <c r="J440" s="1" t="str">
        <f>IFERROR(__xludf.DUMMYFUNCTION("""COMPUTED_VALUE"""),"พรปวีณา")</f>
        <v>พรปวีณา</v>
      </c>
      <c r="K440" s="1" t="str">
        <f>IFERROR(__xludf.DUMMYFUNCTION("""COMPUTED_VALUE"""),"แจ่มสุวรรณ")</f>
        <v>แจ่มสุวรรณ</v>
      </c>
      <c r="L440" s="1" t="str">
        <f>IFERROR(__xludf.DUMMYFUNCTION("""COMPUTED_VALUE"""),"ม.4")</f>
        <v>ม.4</v>
      </c>
      <c r="M440" s="1" t="str">
        <f>IFERROR(__xludf.DUMMYFUNCTION("""COMPUTED_VALUE"""),"สังคมศึกษา")</f>
        <v>สังคมศึกษา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>
        <f>IFERROR(__xludf.DUMMYFUNCTION("""COMPUTED_VALUE"""),1.0)</f>
        <v>1</v>
      </c>
      <c r="B441" s="1">
        <f>IFERROR(__xludf.DUMMYFUNCTION("""COMPUTED_VALUE"""),1.0)</f>
        <v>1</v>
      </c>
      <c r="C441" s="1" t="str">
        <f>IFERROR(__xludf.DUMMYFUNCTION("""COMPUTED_VALUE"""),"ส32101")</f>
        <v>ส32101</v>
      </c>
      <c r="D441" s="1" t="str">
        <f>IFERROR(__xludf.DUMMYFUNCTION("""COMPUTED_VALUE"""),"สังคมศึกษาฯ 3")</f>
        <v>สังคมศึกษาฯ 3</v>
      </c>
      <c r="E441" s="1">
        <f>IFERROR(__xludf.DUMMYFUNCTION("""COMPUTED_VALUE"""),1.0)</f>
        <v>1</v>
      </c>
      <c r="F441" s="1">
        <f>IFERROR(__xludf.DUMMYFUNCTION("""COMPUTED_VALUE"""),2569.0)</f>
        <v>2569</v>
      </c>
      <c r="G441" s="1">
        <f>IFERROR(__xludf.DUMMYFUNCTION("""COMPUTED_VALUE"""),1.0)</f>
        <v>1</v>
      </c>
      <c r="H441" s="1">
        <f>IFERROR(__xludf.DUMMYFUNCTION("""COMPUTED_VALUE"""),438.0)</f>
        <v>438</v>
      </c>
      <c r="I441" s="1" t="str">
        <f>IFERROR(__xludf.DUMMYFUNCTION("""COMPUTED_VALUE"""),"นางสาว")</f>
        <v>นางสาว</v>
      </c>
      <c r="J441" s="1" t="str">
        <f>IFERROR(__xludf.DUMMYFUNCTION("""COMPUTED_VALUE"""),"พรปวีณา")</f>
        <v>พรปวีณา</v>
      </c>
      <c r="K441" s="1" t="str">
        <f>IFERROR(__xludf.DUMMYFUNCTION("""COMPUTED_VALUE"""),"แจ่มสุวรรณ")</f>
        <v>แจ่มสุวรรณ</v>
      </c>
      <c r="L441" s="1" t="str">
        <f>IFERROR(__xludf.DUMMYFUNCTION("""COMPUTED_VALUE"""),"ม.5")</f>
        <v>ม.5</v>
      </c>
      <c r="M441" s="1" t="str">
        <f>IFERROR(__xludf.DUMMYFUNCTION("""COMPUTED_VALUE"""),"สังคมศึกษา")</f>
        <v>สังคมศึกษา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>
        <f>IFERROR(__xludf.DUMMYFUNCTION("""COMPUTED_VALUE"""),8.0)</f>
        <v>8</v>
      </c>
      <c r="B442" s="1">
        <f>IFERROR(__xludf.DUMMYFUNCTION("""COMPUTED_VALUE"""),1.0)</f>
        <v>1</v>
      </c>
      <c r="C442" s="1" t="str">
        <f>IFERROR(__xludf.DUMMYFUNCTION("""COMPUTED_VALUE"""),"ส32101")</f>
        <v>ส32101</v>
      </c>
      <c r="D442" s="1" t="str">
        <f>IFERROR(__xludf.DUMMYFUNCTION("""COMPUTED_VALUE"""),"สังคมศึกษาฯ 3")</f>
        <v>สังคมศึกษาฯ 3</v>
      </c>
      <c r="E442" s="1">
        <f>IFERROR(__xludf.DUMMYFUNCTION("""COMPUTED_VALUE"""),1.0)</f>
        <v>1</v>
      </c>
      <c r="F442" s="1">
        <f>IFERROR(__xludf.DUMMYFUNCTION("""COMPUTED_VALUE"""),2569.0)</f>
        <v>2569</v>
      </c>
      <c r="G442" s="1">
        <f>IFERROR(__xludf.DUMMYFUNCTION("""COMPUTED_VALUE"""),1.0)</f>
        <v>1</v>
      </c>
      <c r="H442" s="1">
        <f>IFERROR(__xludf.DUMMYFUNCTION("""COMPUTED_VALUE"""),438.0)</f>
        <v>438</v>
      </c>
      <c r="I442" s="1" t="str">
        <f>IFERROR(__xludf.DUMMYFUNCTION("""COMPUTED_VALUE"""),"นางสาว")</f>
        <v>นางสาว</v>
      </c>
      <c r="J442" s="1" t="str">
        <f>IFERROR(__xludf.DUMMYFUNCTION("""COMPUTED_VALUE"""),"พรปวีณา")</f>
        <v>พรปวีณา</v>
      </c>
      <c r="K442" s="1" t="str">
        <f>IFERROR(__xludf.DUMMYFUNCTION("""COMPUTED_VALUE"""),"แจ่มสุวรรณ")</f>
        <v>แจ่มสุวรรณ</v>
      </c>
      <c r="L442" s="1" t="str">
        <f>IFERROR(__xludf.DUMMYFUNCTION("""COMPUTED_VALUE"""),"ม.5")</f>
        <v>ม.5</v>
      </c>
      <c r="M442" s="1" t="str">
        <f>IFERROR(__xludf.DUMMYFUNCTION("""COMPUTED_VALUE"""),"สังคมศึกษา")</f>
        <v>สังคมศึกษา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>
        <f>IFERROR(__xludf.DUMMYFUNCTION("""COMPUTED_VALUE"""),10.0)</f>
        <v>10</v>
      </c>
      <c r="B443" s="1">
        <f>IFERROR(__xludf.DUMMYFUNCTION("""COMPUTED_VALUE"""),1.0)</f>
        <v>1</v>
      </c>
      <c r="C443" s="1" t="str">
        <f>IFERROR(__xludf.DUMMYFUNCTION("""COMPUTED_VALUE"""),"ส32101")</f>
        <v>ส32101</v>
      </c>
      <c r="D443" s="1" t="str">
        <f>IFERROR(__xludf.DUMMYFUNCTION("""COMPUTED_VALUE"""),"สังคมศึกษาฯ 3")</f>
        <v>สังคมศึกษาฯ 3</v>
      </c>
      <c r="E443" s="1">
        <f>IFERROR(__xludf.DUMMYFUNCTION("""COMPUTED_VALUE"""),1.0)</f>
        <v>1</v>
      </c>
      <c r="F443" s="1">
        <f>IFERROR(__xludf.DUMMYFUNCTION("""COMPUTED_VALUE"""),2569.0)</f>
        <v>2569</v>
      </c>
      <c r="G443" s="1">
        <f>IFERROR(__xludf.DUMMYFUNCTION("""COMPUTED_VALUE"""),1.0)</f>
        <v>1</v>
      </c>
      <c r="H443" s="1">
        <f>IFERROR(__xludf.DUMMYFUNCTION("""COMPUTED_VALUE"""),438.0)</f>
        <v>438</v>
      </c>
      <c r="I443" s="1" t="str">
        <f>IFERROR(__xludf.DUMMYFUNCTION("""COMPUTED_VALUE"""),"นางสาว")</f>
        <v>นางสาว</v>
      </c>
      <c r="J443" s="1" t="str">
        <f>IFERROR(__xludf.DUMMYFUNCTION("""COMPUTED_VALUE"""),"พรปวีณา")</f>
        <v>พรปวีณา</v>
      </c>
      <c r="K443" s="1" t="str">
        <f>IFERROR(__xludf.DUMMYFUNCTION("""COMPUTED_VALUE"""),"แจ่มสุวรรณ")</f>
        <v>แจ่มสุวรรณ</v>
      </c>
      <c r="L443" s="1" t="str">
        <f>IFERROR(__xludf.DUMMYFUNCTION("""COMPUTED_VALUE"""),"ม.5")</f>
        <v>ม.5</v>
      </c>
      <c r="M443" s="1" t="str">
        <f>IFERROR(__xludf.DUMMYFUNCTION("""COMPUTED_VALUE"""),"สังคมศึกษา")</f>
        <v>สังคมศึกษา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>
        <f>IFERROR(__xludf.DUMMYFUNCTION("""COMPUTED_VALUE"""),10.0)</f>
        <v>10</v>
      </c>
      <c r="B444" s="1">
        <f>IFERROR(__xludf.DUMMYFUNCTION("""COMPUTED_VALUE"""),1.0)</f>
        <v>1</v>
      </c>
      <c r="C444" s="1" t="str">
        <f>IFERROR(__xludf.DUMMYFUNCTION("""COMPUTED_VALUE"""),"I30201")</f>
        <v>I30201</v>
      </c>
      <c r="D444" s="1" t="str">
        <f>IFERROR(__xludf.DUMMYFUNCTION("""COMPUTED_VALUE"""),"การศึกษาค้นคว้าฯ")</f>
        <v>การศึกษาค้นคว้าฯ</v>
      </c>
      <c r="E444" s="1">
        <f>IFERROR(__xludf.DUMMYFUNCTION("""COMPUTED_VALUE"""),1.0)</f>
        <v>1</v>
      </c>
      <c r="F444" s="1">
        <f>IFERROR(__xludf.DUMMYFUNCTION("""COMPUTED_VALUE"""),2569.0)</f>
        <v>2569</v>
      </c>
      <c r="G444" s="1">
        <f>IFERROR(__xludf.DUMMYFUNCTION("""COMPUTED_VALUE"""),1.0)</f>
        <v>1</v>
      </c>
      <c r="H444" s="1">
        <f>IFERROR(__xludf.DUMMYFUNCTION("""COMPUTED_VALUE"""),438.0)</f>
        <v>438</v>
      </c>
      <c r="I444" s="1" t="str">
        <f>IFERROR(__xludf.DUMMYFUNCTION("""COMPUTED_VALUE"""),"นางสาว")</f>
        <v>นางสาว</v>
      </c>
      <c r="J444" s="1" t="str">
        <f>IFERROR(__xludf.DUMMYFUNCTION("""COMPUTED_VALUE"""),"พรปวีณา")</f>
        <v>พรปวีณา</v>
      </c>
      <c r="K444" s="1" t="str">
        <f>IFERROR(__xludf.DUMMYFUNCTION("""COMPUTED_VALUE"""),"แจ่มสุวรรณ")</f>
        <v>แจ่มสุวรรณ</v>
      </c>
      <c r="L444" s="1" t="str">
        <f>IFERROR(__xludf.DUMMYFUNCTION("""COMPUTED_VALUE"""),"ม.5")</f>
        <v>ม.5</v>
      </c>
      <c r="M444" s="1" t="str">
        <f>IFERROR(__xludf.DUMMYFUNCTION("""COMPUTED_VALUE"""),"สังคมศึกษา")</f>
        <v>สังคมศึกษา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>
        <f>IFERROR(__xludf.DUMMYFUNCTION("""COMPUTED_VALUE"""),9.0)</f>
        <v>9</v>
      </c>
      <c r="B445" s="1">
        <f>IFERROR(__xludf.DUMMYFUNCTION("""COMPUTED_VALUE"""),1.0)</f>
        <v>1</v>
      </c>
      <c r="C445" s="1" t="str">
        <f>IFERROR(__xludf.DUMMYFUNCTION("""COMPUTED_VALUE"""),"ส30249")</f>
        <v>ส30249</v>
      </c>
      <c r="D445" s="1" t="str">
        <f>IFERROR(__xludf.DUMMYFUNCTION("""COMPUTED_VALUE"""),"การป้องกันการทุจริต 3")</f>
        <v>การป้องกันการทุจริต 3</v>
      </c>
      <c r="E445" s="1">
        <f>IFERROR(__xludf.DUMMYFUNCTION("""COMPUTED_VALUE"""),0.5)</f>
        <v>0.5</v>
      </c>
      <c r="F445" s="1">
        <f>IFERROR(__xludf.DUMMYFUNCTION("""COMPUTED_VALUE"""),2569.0)</f>
        <v>2569</v>
      </c>
      <c r="G445" s="1">
        <f>IFERROR(__xludf.DUMMYFUNCTION("""COMPUTED_VALUE"""),1.0)</f>
        <v>1</v>
      </c>
      <c r="H445" s="1">
        <f>IFERROR(__xludf.DUMMYFUNCTION("""COMPUTED_VALUE"""),439.0)</f>
        <v>439</v>
      </c>
      <c r="I445" s="1" t="str">
        <f>IFERROR(__xludf.DUMMYFUNCTION("""COMPUTED_VALUE"""),"นางสาว")</f>
        <v>นางสาว</v>
      </c>
      <c r="J445" s="1" t="str">
        <f>IFERROR(__xludf.DUMMYFUNCTION("""COMPUTED_VALUE"""),"ไอลดา")</f>
        <v>ไอลดา</v>
      </c>
      <c r="K445" s="1" t="str">
        <f>IFERROR(__xludf.DUMMYFUNCTION("""COMPUTED_VALUE"""),"พิณพาทย์")</f>
        <v>พิณพาทย์</v>
      </c>
      <c r="L445" s="1" t="str">
        <f>IFERROR(__xludf.DUMMYFUNCTION("""COMPUTED_VALUE"""),"ม.5")</f>
        <v>ม.5</v>
      </c>
      <c r="M445" s="1" t="str">
        <f>IFERROR(__xludf.DUMMYFUNCTION("""COMPUTED_VALUE"""),"สังคมศึกษา")</f>
        <v>สังคมศึกษา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>
        <f>IFERROR(__xludf.DUMMYFUNCTION("""COMPUTED_VALUE"""),1.0)</f>
        <v>1</v>
      </c>
      <c r="B446" s="1">
        <f>IFERROR(__xludf.DUMMYFUNCTION("""COMPUTED_VALUE"""),1.0)</f>
        <v>1</v>
      </c>
      <c r="C446" s="1" t="str">
        <f>IFERROR(__xludf.DUMMYFUNCTION("""COMPUTED_VALUE"""),"ส31101")</f>
        <v>ส31101</v>
      </c>
      <c r="D446" s="1" t="str">
        <f>IFERROR(__xludf.DUMMYFUNCTION("""COMPUTED_VALUE"""),"สังคมศึกษาฯ1")</f>
        <v>สังคมศึกษาฯ1</v>
      </c>
      <c r="E446" s="1">
        <f>IFERROR(__xludf.DUMMYFUNCTION("""COMPUTED_VALUE"""),1.0)</f>
        <v>1</v>
      </c>
      <c r="F446" s="1">
        <f>IFERROR(__xludf.DUMMYFUNCTION("""COMPUTED_VALUE"""),2569.0)</f>
        <v>2569</v>
      </c>
      <c r="G446" s="1">
        <f>IFERROR(__xludf.DUMMYFUNCTION("""COMPUTED_VALUE"""),1.0)</f>
        <v>1</v>
      </c>
      <c r="H446" s="1">
        <f>IFERROR(__xludf.DUMMYFUNCTION("""COMPUTED_VALUE"""),439.0)</f>
        <v>439</v>
      </c>
      <c r="I446" s="1" t="str">
        <f>IFERROR(__xludf.DUMMYFUNCTION("""COMPUTED_VALUE"""),"นางสาว")</f>
        <v>นางสาว</v>
      </c>
      <c r="J446" s="1" t="str">
        <f>IFERROR(__xludf.DUMMYFUNCTION("""COMPUTED_VALUE"""),"ไอลดา")</f>
        <v>ไอลดา</v>
      </c>
      <c r="K446" s="1" t="str">
        <f>IFERROR(__xludf.DUMMYFUNCTION("""COMPUTED_VALUE"""),"พิณพาทย์")</f>
        <v>พิณพาทย์</v>
      </c>
      <c r="L446" s="1" t="str">
        <f>IFERROR(__xludf.DUMMYFUNCTION("""COMPUTED_VALUE"""),"ม.4")</f>
        <v>ม.4</v>
      </c>
      <c r="M446" s="1" t="str">
        <f>IFERROR(__xludf.DUMMYFUNCTION("""COMPUTED_VALUE"""),"สังคมศึกษา")</f>
        <v>สังคมศึกษา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>
        <f>IFERROR(__xludf.DUMMYFUNCTION("""COMPUTED_VALUE"""),5.0)</f>
        <v>5</v>
      </c>
      <c r="B447" s="1">
        <f>IFERROR(__xludf.DUMMYFUNCTION("""COMPUTED_VALUE"""),1.0)</f>
        <v>1</v>
      </c>
      <c r="C447" s="1" t="str">
        <f>IFERROR(__xludf.DUMMYFUNCTION("""COMPUTED_VALUE"""),"ส31101")</f>
        <v>ส31101</v>
      </c>
      <c r="D447" s="1" t="str">
        <f>IFERROR(__xludf.DUMMYFUNCTION("""COMPUTED_VALUE"""),"สังคมศึกษาฯ1")</f>
        <v>สังคมศึกษาฯ1</v>
      </c>
      <c r="E447" s="1">
        <f>IFERROR(__xludf.DUMMYFUNCTION("""COMPUTED_VALUE"""),1.0)</f>
        <v>1</v>
      </c>
      <c r="F447" s="1">
        <f>IFERROR(__xludf.DUMMYFUNCTION("""COMPUTED_VALUE"""),2569.0)</f>
        <v>2569</v>
      </c>
      <c r="G447" s="1">
        <f>IFERROR(__xludf.DUMMYFUNCTION("""COMPUTED_VALUE"""),1.0)</f>
        <v>1</v>
      </c>
      <c r="H447" s="1">
        <f>IFERROR(__xludf.DUMMYFUNCTION("""COMPUTED_VALUE"""),439.0)</f>
        <v>439</v>
      </c>
      <c r="I447" s="1" t="str">
        <f>IFERROR(__xludf.DUMMYFUNCTION("""COMPUTED_VALUE"""),"นางสาว")</f>
        <v>นางสาว</v>
      </c>
      <c r="J447" s="1" t="str">
        <f>IFERROR(__xludf.DUMMYFUNCTION("""COMPUTED_VALUE"""),"ไอลดา")</f>
        <v>ไอลดา</v>
      </c>
      <c r="K447" s="1" t="str">
        <f>IFERROR(__xludf.DUMMYFUNCTION("""COMPUTED_VALUE"""),"พิณพาทย์")</f>
        <v>พิณพาทย์</v>
      </c>
      <c r="L447" s="1" t="str">
        <f>IFERROR(__xludf.DUMMYFUNCTION("""COMPUTED_VALUE"""),"ม.4")</f>
        <v>ม.4</v>
      </c>
      <c r="M447" s="1" t="str">
        <f>IFERROR(__xludf.DUMMYFUNCTION("""COMPUTED_VALUE"""),"สังคมศึกษา")</f>
        <v>สังคมศึกษา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>
        <f>IFERROR(__xludf.DUMMYFUNCTION("""COMPUTED_VALUE"""),8.0)</f>
        <v>8</v>
      </c>
      <c r="B448" s="1">
        <f>IFERROR(__xludf.DUMMYFUNCTION("""COMPUTED_VALUE"""),1.0)</f>
        <v>1</v>
      </c>
      <c r="C448" s="1" t="str">
        <f>IFERROR(__xludf.DUMMYFUNCTION("""COMPUTED_VALUE"""),"ส31101")</f>
        <v>ส31101</v>
      </c>
      <c r="D448" s="1" t="str">
        <f>IFERROR(__xludf.DUMMYFUNCTION("""COMPUTED_VALUE"""),"สังคมศึกษาฯ1")</f>
        <v>สังคมศึกษาฯ1</v>
      </c>
      <c r="E448" s="1">
        <f>IFERROR(__xludf.DUMMYFUNCTION("""COMPUTED_VALUE"""),1.0)</f>
        <v>1</v>
      </c>
      <c r="F448" s="1">
        <f>IFERROR(__xludf.DUMMYFUNCTION("""COMPUTED_VALUE"""),2569.0)</f>
        <v>2569</v>
      </c>
      <c r="G448" s="1">
        <f>IFERROR(__xludf.DUMMYFUNCTION("""COMPUTED_VALUE"""),1.0)</f>
        <v>1</v>
      </c>
      <c r="H448" s="1">
        <f>IFERROR(__xludf.DUMMYFUNCTION("""COMPUTED_VALUE"""),439.0)</f>
        <v>439</v>
      </c>
      <c r="I448" s="1" t="str">
        <f>IFERROR(__xludf.DUMMYFUNCTION("""COMPUTED_VALUE"""),"นางสาว")</f>
        <v>นางสาว</v>
      </c>
      <c r="J448" s="1" t="str">
        <f>IFERROR(__xludf.DUMMYFUNCTION("""COMPUTED_VALUE"""),"ไอลดา")</f>
        <v>ไอลดา</v>
      </c>
      <c r="K448" s="1" t="str">
        <f>IFERROR(__xludf.DUMMYFUNCTION("""COMPUTED_VALUE"""),"พิณพาทย์")</f>
        <v>พิณพาทย์</v>
      </c>
      <c r="L448" s="1" t="str">
        <f>IFERROR(__xludf.DUMMYFUNCTION("""COMPUTED_VALUE"""),"ม.4")</f>
        <v>ม.4</v>
      </c>
      <c r="M448" s="1" t="str">
        <f>IFERROR(__xludf.DUMMYFUNCTION("""COMPUTED_VALUE"""),"สังคมศึกษา")</f>
        <v>สังคมศึกษา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>
        <f>IFERROR(__xludf.DUMMYFUNCTION("""COMPUTED_VALUE"""),9.0)</f>
        <v>9</v>
      </c>
      <c r="B449" s="1">
        <f>IFERROR(__xludf.DUMMYFUNCTION("""COMPUTED_VALUE"""),1.0)</f>
        <v>1</v>
      </c>
      <c r="C449" s="1" t="str">
        <f>IFERROR(__xludf.DUMMYFUNCTION("""COMPUTED_VALUE"""),"ส31101")</f>
        <v>ส31101</v>
      </c>
      <c r="D449" s="1" t="str">
        <f>IFERROR(__xludf.DUMMYFUNCTION("""COMPUTED_VALUE"""),"สังคมศึกษาฯ1")</f>
        <v>สังคมศึกษาฯ1</v>
      </c>
      <c r="E449" s="1">
        <f>IFERROR(__xludf.DUMMYFUNCTION("""COMPUTED_VALUE"""),1.0)</f>
        <v>1</v>
      </c>
      <c r="F449" s="1">
        <f>IFERROR(__xludf.DUMMYFUNCTION("""COMPUTED_VALUE"""),2569.0)</f>
        <v>2569</v>
      </c>
      <c r="G449" s="1">
        <f>IFERROR(__xludf.DUMMYFUNCTION("""COMPUTED_VALUE"""),1.0)</f>
        <v>1</v>
      </c>
      <c r="H449" s="1">
        <f>IFERROR(__xludf.DUMMYFUNCTION("""COMPUTED_VALUE"""),439.0)</f>
        <v>439</v>
      </c>
      <c r="I449" s="1" t="str">
        <f>IFERROR(__xludf.DUMMYFUNCTION("""COMPUTED_VALUE"""),"นางสาว")</f>
        <v>นางสาว</v>
      </c>
      <c r="J449" s="1" t="str">
        <f>IFERROR(__xludf.DUMMYFUNCTION("""COMPUTED_VALUE"""),"ไอลดา")</f>
        <v>ไอลดา</v>
      </c>
      <c r="K449" s="1" t="str">
        <f>IFERROR(__xludf.DUMMYFUNCTION("""COMPUTED_VALUE"""),"พิณพาทย์")</f>
        <v>พิณพาทย์</v>
      </c>
      <c r="L449" s="1" t="str">
        <f>IFERROR(__xludf.DUMMYFUNCTION("""COMPUTED_VALUE"""),"ม.4")</f>
        <v>ม.4</v>
      </c>
      <c r="M449" s="1" t="str">
        <f>IFERROR(__xludf.DUMMYFUNCTION("""COMPUTED_VALUE"""),"สังคมศึกษา")</f>
        <v>สังคมศึกษา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>
        <f>IFERROR(__xludf.DUMMYFUNCTION("""COMPUTED_VALUE"""),8.0)</f>
        <v>8</v>
      </c>
      <c r="B450" s="1">
        <f>IFERROR(__xludf.DUMMYFUNCTION("""COMPUTED_VALUE"""),1.0)</f>
        <v>1</v>
      </c>
      <c r="C450" s="1" t="str">
        <f>IFERROR(__xludf.DUMMYFUNCTION("""COMPUTED_VALUE"""),"ส33203")</f>
        <v>ส33203</v>
      </c>
      <c r="D450" s="1" t="str">
        <f>IFERROR(__xludf.DUMMYFUNCTION("""COMPUTED_VALUE"""),"เหตุการณ์ปัจจุบัน")</f>
        <v>เหตุการณ์ปัจจุบัน</v>
      </c>
      <c r="E450" s="1">
        <f>IFERROR(__xludf.DUMMYFUNCTION("""COMPUTED_VALUE"""),1.0)</f>
        <v>1</v>
      </c>
      <c r="F450" s="1">
        <f>IFERROR(__xludf.DUMMYFUNCTION("""COMPUTED_VALUE"""),2569.0)</f>
        <v>2569</v>
      </c>
      <c r="G450" s="1">
        <f>IFERROR(__xludf.DUMMYFUNCTION("""COMPUTED_VALUE"""),1.0)</f>
        <v>1</v>
      </c>
      <c r="H450" s="1">
        <f>IFERROR(__xludf.DUMMYFUNCTION("""COMPUTED_VALUE"""),439.0)</f>
        <v>439</v>
      </c>
      <c r="I450" s="1" t="str">
        <f>IFERROR(__xludf.DUMMYFUNCTION("""COMPUTED_VALUE"""),"นางสาว")</f>
        <v>นางสาว</v>
      </c>
      <c r="J450" s="1" t="str">
        <f>IFERROR(__xludf.DUMMYFUNCTION("""COMPUTED_VALUE"""),"ไอลดา")</f>
        <v>ไอลดา</v>
      </c>
      <c r="K450" s="1" t="str">
        <f>IFERROR(__xludf.DUMMYFUNCTION("""COMPUTED_VALUE"""),"พิณพาทย์")</f>
        <v>พิณพาทย์</v>
      </c>
      <c r="L450" s="1" t="str">
        <f>IFERROR(__xludf.DUMMYFUNCTION("""COMPUTED_VALUE"""),"ม.6")</f>
        <v>ม.6</v>
      </c>
      <c r="M450" s="1" t="str">
        <f>IFERROR(__xludf.DUMMYFUNCTION("""COMPUTED_VALUE"""),"สังคมศึกษา")</f>
        <v>สังคมศึกษา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>
        <f>IFERROR(__xludf.DUMMYFUNCTION("""COMPUTED_VALUE"""),9.0)</f>
        <v>9</v>
      </c>
      <c r="B451" s="1">
        <f>IFERROR(__xludf.DUMMYFUNCTION("""COMPUTED_VALUE"""),1.0)</f>
        <v>1</v>
      </c>
      <c r="C451" s="1" t="str">
        <f>IFERROR(__xludf.DUMMYFUNCTION("""COMPUTED_VALUE"""),"ส33203")</f>
        <v>ส33203</v>
      </c>
      <c r="D451" s="1" t="str">
        <f>IFERROR(__xludf.DUMMYFUNCTION("""COMPUTED_VALUE"""),"เหตุการณ์ปัจจุบัน")</f>
        <v>เหตุการณ์ปัจจุบัน</v>
      </c>
      <c r="E451" s="1">
        <f>IFERROR(__xludf.DUMMYFUNCTION("""COMPUTED_VALUE"""),1.0)</f>
        <v>1</v>
      </c>
      <c r="F451" s="1">
        <f>IFERROR(__xludf.DUMMYFUNCTION("""COMPUTED_VALUE"""),2569.0)</f>
        <v>2569</v>
      </c>
      <c r="G451" s="1">
        <f>IFERROR(__xludf.DUMMYFUNCTION("""COMPUTED_VALUE"""),1.0)</f>
        <v>1</v>
      </c>
      <c r="H451" s="1">
        <f>IFERROR(__xludf.DUMMYFUNCTION("""COMPUTED_VALUE"""),439.0)</f>
        <v>439</v>
      </c>
      <c r="I451" s="1" t="str">
        <f>IFERROR(__xludf.DUMMYFUNCTION("""COMPUTED_VALUE"""),"นางสาว")</f>
        <v>นางสาว</v>
      </c>
      <c r="J451" s="1" t="str">
        <f>IFERROR(__xludf.DUMMYFUNCTION("""COMPUTED_VALUE"""),"ไอลดา")</f>
        <v>ไอลดา</v>
      </c>
      <c r="K451" s="1" t="str">
        <f>IFERROR(__xludf.DUMMYFUNCTION("""COMPUTED_VALUE"""),"พิณพาทย์")</f>
        <v>พิณพาทย์</v>
      </c>
      <c r="L451" s="1" t="str">
        <f>IFERROR(__xludf.DUMMYFUNCTION("""COMPUTED_VALUE"""),"ม.6")</f>
        <v>ม.6</v>
      </c>
      <c r="M451" s="1" t="str">
        <f>IFERROR(__xludf.DUMMYFUNCTION("""COMPUTED_VALUE"""),"สังคมศึกษา")</f>
        <v>สังคมศึกษา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>
        <f>IFERROR(__xludf.DUMMYFUNCTION("""COMPUTED_VALUE"""),10.0)</f>
        <v>10</v>
      </c>
      <c r="B452" s="1">
        <f>IFERROR(__xludf.DUMMYFUNCTION("""COMPUTED_VALUE"""),1.0)</f>
        <v>1</v>
      </c>
      <c r="C452" s="1" t="str">
        <f>IFERROR(__xludf.DUMMYFUNCTION("""COMPUTED_VALUE"""),"ส33203")</f>
        <v>ส33203</v>
      </c>
      <c r="D452" s="1" t="str">
        <f>IFERROR(__xludf.DUMMYFUNCTION("""COMPUTED_VALUE"""),"เหตุการณ์ปัจจุบัน")</f>
        <v>เหตุการณ์ปัจจุบัน</v>
      </c>
      <c r="E452" s="1">
        <f>IFERROR(__xludf.DUMMYFUNCTION("""COMPUTED_VALUE"""),1.0)</f>
        <v>1</v>
      </c>
      <c r="F452" s="1">
        <f>IFERROR(__xludf.DUMMYFUNCTION("""COMPUTED_VALUE"""),2569.0)</f>
        <v>2569</v>
      </c>
      <c r="G452" s="1">
        <f>IFERROR(__xludf.DUMMYFUNCTION("""COMPUTED_VALUE"""),1.0)</f>
        <v>1</v>
      </c>
      <c r="H452" s="1">
        <f>IFERROR(__xludf.DUMMYFUNCTION("""COMPUTED_VALUE"""),439.0)</f>
        <v>439</v>
      </c>
      <c r="I452" s="1" t="str">
        <f>IFERROR(__xludf.DUMMYFUNCTION("""COMPUTED_VALUE"""),"นางสาว")</f>
        <v>นางสาว</v>
      </c>
      <c r="J452" s="1" t="str">
        <f>IFERROR(__xludf.DUMMYFUNCTION("""COMPUTED_VALUE"""),"ไอลดา")</f>
        <v>ไอลดา</v>
      </c>
      <c r="K452" s="1" t="str">
        <f>IFERROR(__xludf.DUMMYFUNCTION("""COMPUTED_VALUE"""),"พิณพาทย์")</f>
        <v>พิณพาทย์</v>
      </c>
      <c r="L452" s="1" t="str">
        <f>IFERROR(__xludf.DUMMYFUNCTION("""COMPUTED_VALUE"""),"ม.6")</f>
        <v>ม.6</v>
      </c>
      <c r="M452" s="1" t="str">
        <f>IFERROR(__xludf.DUMMYFUNCTION("""COMPUTED_VALUE"""),"สังคมศึกษา")</f>
        <v>สังคมศึกษา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>
        <f>IFERROR(__xludf.DUMMYFUNCTION("""COMPUTED_VALUE"""),2.0)</f>
        <v>2</v>
      </c>
      <c r="B453" s="1">
        <f>IFERROR(__xludf.DUMMYFUNCTION("""COMPUTED_VALUE"""),2.0)</f>
        <v>2</v>
      </c>
      <c r="C453" s="1" t="str">
        <f>IFERROR(__xludf.DUMMYFUNCTION("""COMPUTED_VALUE"""),"ส20225")</f>
        <v>ส20225</v>
      </c>
      <c r="D453" s="1" t="str">
        <f>IFERROR(__xludf.DUMMYFUNCTION("""COMPUTED_VALUE"""),"การป้องกันการทุจริต 3")</f>
        <v>การป้องกันการทุจริต 3</v>
      </c>
      <c r="E453" s="1">
        <f>IFERROR(__xludf.DUMMYFUNCTION("""COMPUTED_VALUE"""),0.5)</f>
        <v>0.5</v>
      </c>
      <c r="F453" s="1">
        <f>IFERROR(__xludf.DUMMYFUNCTION("""COMPUTED_VALUE"""),2569.0)</f>
        <v>2569</v>
      </c>
      <c r="G453" s="1">
        <f>IFERROR(__xludf.DUMMYFUNCTION("""COMPUTED_VALUE"""),1.0)</f>
        <v>1</v>
      </c>
      <c r="H453" s="1">
        <f>IFERROR(__xludf.DUMMYFUNCTION("""COMPUTED_VALUE"""),440.0)</f>
        <v>440</v>
      </c>
      <c r="I453" s="1" t="str">
        <f>IFERROR(__xludf.DUMMYFUNCTION("""COMPUTED_VALUE"""),"นางสาว")</f>
        <v>นางสาว</v>
      </c>
      <c r="J453" s="1" t="str">
        <f>IFERROR(__xludf.DUMMYFUNCTION("""COMPUTED_VALUE"""),"น้ำมนต์")</f>
        <v>น้ำมนต์</v>
      </c>
      <c r="K453" s="1" t="str">
        <f>IFERROR(__xludf.DUMMYFUNCTION("""COMPUTED_VALUE"""),"ฤาชัย")</f>
        <v>ฤาชัย</v>
      </c>
      <c r="L453" s="1" t="str">
        <f>IFERROR(__xludf.DUMMYFUNCTION("""COMPUTED_VALUE"""),"ม.2")</f>
        <v>ม.2</v>
      </c>
      <c r="M453" s="1" t="str">
        <f>IFERROR(__xludf.DUMMYFUNCTION("""COMPUTED_VALUE"""),"สังคมศึกษา")</f>
        <v>สังคมศึกษา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>
        <f>IFERROR(__xludf.DUMMYFUNCTION("""COMPUTED_VALUE"""),2.0)</f>
        <v>2</v>
      </c>
      <c r="B454" s="1">
        <f>IFERROR(__xludf.DUMMYFUNCTION("""COMPUTED_VALUE"""),1.0)</f>
        <v>1</v>
      </c>
      <c r="C454" s="1" t="str">
        <f>IFERROR(__xludf.DUMMYFUNCTION("""COMPUTED_VALUE"""),"ส21101")</f>
        <v>ส21101</v>
      </c>
      <c r="D454" s="1" t="str">
        <f>IFERROR(__xludf.DUMMYFUNCTION("""COMPUTED_VALUE"""),"สังคมศึกษาฯ 1")</f>
        <v>สังคมศึกษาฯ 1</v>
      </c>
      <c r="E454" s="1">
        <f>IFERROR(__xludf.DUMMYFUNCTION("""COMPUTED_VALUE"""),1.5)</f>
        <v>1.5</v>
      </c>
      <c r="F454" s="1">
        <f>IFERROR(__xludf.DUMMYFUNCTION("""COMPUTED_VALUE"""),2569.0)</f>
        <v>2569</v>
      </c>
      <c r="G454" s="1">
        <f>IFERROR(__xludf.DUMMYFUNCTION("""COMPUTED_VALUE"""),1.0)</f>
        <v>1</v>
      </c>
      <c r="H454" s="1">
        <f>IFERROR(__xludf.DUMMYFUNCTION("""COMPUTED_VALUE"""),440.0)</f>
        <v>440</v>
      </c>
      <c r="I454" s="1" t="str">
        <f>IFERROR(__xludf.DUMMYFUNCTION("""COMPUTED_VALUE"""),"นางสาว")</f>
        <v>นางสาว</v>
      </c>
      <c r="J454" s="1" t="str">
        <f>IFERROR(__xludf.DUMMYFUNCTION("""COMPUTED_VALUE"""),"น้ำมนต์")</f>
        <v>น้ำมนต์</v>
      </c>
      <c r="K454" s="1" t="str">
        <f>IFERROR(__xludf.DUMMYFUNCTION("""COMPUTED_VALUE"""),"ฤาชัย")</f>
        <v>ฤาชัย</v>
      </c>
      <c r="L454" s="1" t="str">
        <f>IFERROR(__xludf.DUMMYFUNCTION("""COMPUTED_VALUE"""),"ม.1")</f>
        <v>ม.1</v>
      </c>
      <c r="M454" s="1" t="str">
        <f>IFERROR(__xludf.DUMMYFUNCTION("""COMPUTED_VALUE"""),"สังคมศึกษา")</f>
        <v>สังคมศึกษา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>
        <f>IFERROR(__xludf.DUMMYFUNCTION("""COMPUTED_VALUE"""),4.0)</f>
        <v>4</v>
      </c>
      <c r="B455" s="1">
        <f>IFERROR(__xludf.DUMMYFUNCTION("""COMPUTED_VALUE"""),1.0)</f>
        <v>1</v>
      </c>
      <c r="C455" s="1" t="str">
        <f>IFERROR(__xludf.DUMMYFUNCTION("""COMPUTED_VALUE"""),"ส21101")</f>
        <v>ส21101</v>
      </c>
      <c r="D455" s="1" t="str">
        <f>IFERROR(__xludf.DUMMYFUNCTION("""COMPUTED_VALUE"""),"สังคมศึกษาฯ 1")</f>
        <v>สังคมศึกษาฯ 1</v>
      </c>
      <c r="E455" s="1">
        <f>IFERROR(__xludf.DUMMYFUNCTION("""COMPUTED_VALUE"""),1.5)</f>
        <v>1.5</v>
      </c>
      <c r="F455" s="1">
        <f>IFERROR(__xludf.DUMMYFUNCTION("""COMPUTED_VALUE"""),2569.0)</f>
        <v>2569</v>
      </c>
      <c r="G455" s="1">
        <f>IFERROR(__xludf.DUMMYFUNCTION("""COMPUTED_VALUE"""),1.0)</f>
        <v>1</v>
      </c>
      <c r="H455" s="1">
        <f>IFERROR(__xludf.DUMMYFUNCTION("""COMPUTED_VALUE"""),440.0)</f>
        <v>440</v>
      </c>
      <c r="I455" s="1" t="str">
        <f>IFERROR(__xludf.DUMMYFUNCTION("""COMPUTED_VALUE"""),"นางสาว")</f>
        <v>นางสาว</v>
      </c>
      <c r="J455" s="1" t="str">
        <f>IFERROR(__xludf.DUMMYFUNCTION("""COMPUTED_VALUE"""),"น้ำมนต์")</f>
        <v>น้ำมนต์</v>
      </c>
      <c r="K455" s="1" t="str">
        <f>IFERROR(__xludf.DUMMYFUNCTION("""COMPUTED_VALUE"""),"ฤาชัย")</f>
        <v>ฤาชัย</v>
      </c>
      <c r="L455" s="1" t="str">
        <f>IFERROR(__xludf.DUMMYFUNCTION("""COMPUTED_VALUE"""),"ม.1")</f>
        <v>ม.1</v>
      </c>
      <c r="M455" s="1" t="str">
        <f>IFERROR(__xludf.DUMMYFUNCTION("""COMPUTED_VALUE"""),"สังคมศึกษา")</f>
        <v>สังคมศึกษา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>
        <f>IFERROR(__xludf.DUMMYFUNCTION("""COMPUTED_VALUE"""),6.0)</f>
        <v>6</v>
      </c>
      <c r="B456" s="1">
        <f>IFERROR(__xludf.DUMMYFUNCTION("""COMPUTED_VALUE"""),1.0)</f>
        <v>1</v>
      </c>
      <c r="C456" s="1" t="str">
        <f>IFERROR(__xludf.DUMMYFUNCTION("""COMPUTED_VALUE"""),"ส21101")</f>
        <v>ส21101</v>
      </c>
      <c r="D456" s="1" t="str">
        <f>IFERROR(__xludf.DUMMYFUNCTION("""COMPUTED_VALUE"""),"สังคมศึกษาฯ 1")</f>
        <v>สังคมศึกษาฯ 1</v>
      </c>
      <c r="E456" s="1">
        <f>IFERROR(__xludf.DUMMYFUNCTION("""COMPUTED_VALUE"""),1.5)</f>
        <v>1.5</v>
      </c>
      <c r="F456" s="1">
        <f>IFERROR(__xludf.DUMMYFUNCTION("""COMPUTED_VALUE"""),2569.0)</f>
        <v>2569</v>
      </c>
      <c r="G456" s="1">
        <f>IFERROR(__xludf.DUMMYFUNCTION("""COMPUTED_VALUE"""),1.0)</f>
        <v>1</v>
      </c>
      <c r="H456" s="1">
        <f>IFERROR(__xludf.DUMMYFUNCTION("""COMPUTED_VALUE"""),440.0)</f>
        <v>440</v>
      </c>
      <c r="I456" s="1" t="str">
        <f>IFERROR(__xludf.DUMMYFUNCTION("""COMPUTED_VALUE"""),"นางสาว")</f>
        <v>นางสาว</v>
      </c>
      <c r="J456" s="1" t="str">
        <f>IFERROR(__xludf.DUMMYFUNCTION("""COMPUTED_VALUE"""),"น้ำมนต์")</f>
        <v>น้ำมนต์</v>
      </c>
      <c r="K456" s="1" t="str">
        <f>IFERROR(__xludf.DUMMYFUNCTION("""COMPUTED_VALUE"""),"ฤาชัย")</f>
        <v>ฤาชัย</v>
      </c>
      <c r="L456" s="1" t="str">
        <f>IFERROR(__xludf.DUMMYFUNCTION("""COMPUTED_VALUE"""),"ม.1")</f>
        <v>ม.1</v>
      </c>
      <c r="M456" s="1" t="str">
        <f>IFERROR(__xludf.DUMMYFUNCTION("""COMPUTED_VALUE"""),"สังคมศึกษา")</f>
        <v>สังคมศึกษา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>
        <f>IFERROR(__xludf.DUMMYFUNCTION("""COMPUTED_VALUE"""),7.0)</f>
        <v>7</v>
      </c>
      <c r="B457" s="1">
        <f>IFERROR(__xludf.DUMMYFUNCTION("""COMPUTED_VALUE"""),1.0)</f>
        <v>1</v>
      </c>
      <c r="C457" s="1" t="str">
        <f>IFERROR(__xludf.DUMMYFUNCTION("""COMPUTED_VALUE"""),"ส21101")</f>
        <v>ส21101</v>
      </c>
      <c r="D457" s="1" t="str">
        <f>IFERROR(__xludf.DUMMYFUNCTION("""COMPUTED_VALUE"""),"สังคมศึกษาฯ 1")</f>
        <v>สังคมศึกษาฯ 1</v>
      </c>
      <c r="E457" s="1">
        <f>IFERROR(__xludf.DUMMYFUNCTION("""COMPUTED_VALUE"""),1.5)</f>
        <v>1.5</v>
      </c>
      <c r="F457" s="1">
        <f>IFERROR(__xludf.DUMMYFUNCTION("""COMPUTED_VALUE"""),2569.0)</f>
        <v>2569</v>
      </c>
      <c r="G457" s="1">
        <f>IFERROR(__xludf.DUMMYFUNCTION("""COMPUTED_VALUE"""),1.0)</f>
        <v>1</v>
      </c>
      <c r="H457" s="1">
        <f>IFERROR(__xludf.DUMMYFUNCTION("""COMPUTED_VALUE"""),440.0)</f>
        <v>440</v>
      </c>
      <c r="I457" s="1" t="str">
        <f>IFERROR(__xludf.DUMMYFUNCTION("""COMPUTED_VALUE"""),"นางสาว")</f>
        <v>นางสาว</v>
      </c>
      <c r="J457" s="1" t="str">
        <f>IFERROR(__xludf.DUMMYFUNCTION("""COMPUTED_VALUE"""),"น้ำมนต์")</f>
        <v>น้ำมนต์</v>
      </c>
      <c r="K457" s="1" t="str">
        <f>IFERROR(__xludf.DUMMYFUNCTION("""COMPUTED_VALUE"""),"ฤาชัย")</f>
        <v>ฤาชัย</v>
      </c>
      <c r="L457" s="1" t="str">
        <f>IFERROR(__xludf.DUMMYFUNCTION("""COMPUTED_VALUE"""),"ม.1")</f>
        <v>ม.1</v>
      </c>
      <c r="M457" s="1" t="str">
        <f>IFERROR(__xludf.DUMMYFUNCTION("""COMPUTED_VALUE"""),"สังคมศึกษา")</f>
        <v>สังคมศึกษา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>
        <f>IFERROR(__xludf.DUMMYFUNCTION("""COMPUTED_VALUE"""),3.0)</f>
        <v>3</v>
      </c>
      <c r="B458" s="1">
        <f>IFERROR(__xludf.DUMMYFUNCTION("""COMPUTED_VALUE"""),1.0)</f>
        <v>1</v>
      </c>
      <c r="C458" s="1" t="str">
        <f>IFERROR(__xludf.DUMMYFUNCTION("""COMPUTED_VALUE"""),"ส21102")</f>
        <v>ส21102</v>
      </c>
      <c r="D458" s="1" t="str">
        <f>IFERROR(__xludf.DUMMYFUNCTION("""COMPUTED_VALUE"""),"ประวัติศาสตร์ 1")</f>
        <v>ประวัติศาสตร์ 1</v>
      </c>
      <c r="E458" s="1">
        <f>IFERROR(__xludf.DUMMYFUNCTION("""COMPUTED_VALUE"""),0.5)</f>
        <v>0.5</v>
      </c>
      <c r="F458" s="1">
        <f>IFERROR(__xludf.DUMMYFUNCTION("""COMPUTED_VALUE"""),2569.0)</f>
        <v>2569</v>
      </c>
      <c r="G458" s="1">
        <f>IFERROR(__xludf.DUMMYFUNCTION("""COMPUTED_VALUE"""),1.0)</f>
        <v>1</v>
      </c>
      <c r="H458" s="1">
        <f>IFERROR(__xludf.DUMMYFUNCTION("""COMPUTED_VALUE"""),440.0)</f>
        <v>440</v>
      </c>
      <c r="I458" s="1" t="str">
        <f>IFERROR(__xludf.DUMMYFUNCTION("""COMPUTED_VALUE"""),"นางสาว")</f>
        <v>นางสาว</v>
      </c>
      <c r="J458" s="1" t="str">
        <f>IFERROR(__xludf.DUMMYFUNCTION("""COMPUTED_VALUE"""),"น้ำมนต์")</f>
        <v>น้ำมนต์</v>
      </c>
      <c r="K458" s="1" t="str">
        <f>IFERROR(__xludf.DUMMYFUNCTION("""COMPUTED_VALUE"""),"ฤาชัย")</f>
        <v>ฤาชัย</v>
      </c>
      <c r="L458" s="1" t="str">
        <f>IFERROR(__xludf.DUMMYFUNCTION("""COMPUTED_VALUE"""),"ม.1")</f>
        <v>ม.1</v>
      </c>
      <c r="M458" s="1" t="str">
        <f>IFERROR(__xludf.DUMMYFUNCTION("""COMPUTED_VALUE"""),"สังคมศึกษา")</f>
        <v>สังคมศึกษา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>
        <f>IFERROR(__xludf.DUMMYFUNCTION("""COMPUTED_VALUE"""),5.0)</f>
        <v>5</v>
      </c>
      <c r="B459" s="1">
        <f>IFERROR(__xludf.DUMMYFUNCTION("""COMPUTED_VALUE"""),1.0)</f>
        <v>1</v>
      </c>
      <c r="C459" s="1" t="str">
        <f>IFERROR(__xludf.DUMMYFUNCTION("""COMPUTED_VALUE"""),"ส21102")</f>
        <v>ส21102</v>
      </c>
      <c r="D459" s="1" t="str">
        <f>IFERROR(__xludf.DUMMYFUNCTION("""COMPUTED_VALUE"""),"ประวัติศาสตร์ 1")</f>
        <v>ประวัติศาสตร์ 1</v>
      </c>
      <c r="E459" s="1">
        <f>IFERROR(__xludf.DUMMYFUNCTION("""COMPUTED_VALUE"""),0.5)</f>
        <v>0.5</v>
      </c>
      <c r="F459" s="1">
        <f>IFERROR(__xludf.DUMMYFUNCTION("""COMPUTED_VALUE"""),2569.0)</f>
        <v>2569</v>
      </c>
      <c r="G459" s="1">
        <f>IFERROR(__xludf.DUMMYFUNCTION("""COMPUTED_VALUE"""),1.0)</f>
        <v>1</v>
      </c>
      <c r="H459" s="1">
        <f>IFERROR(__xludf.DUMMYFUNCTION("""COMPUTED_VALUE"""),440.0)</f>
        <v>440</v>
      </c>
      <c r="I459" s="1" t="str">
        <f>IFERROR(__xludf.DUMMYFUNCTION("""COMPUTED_VALUE"""),"นางสาว")</f>
        <v>นางสาว</v>
      </c>
      <c r="J459" s="1" t="str">
        <f>IFERROR(__xludf.DUMMYFUNCTION("""COMPUTED_VALUE"""),"น้ำมนต์")</f>
        <v>น้ำมนต์</v>
      </c>
      <c r="K459" s="1" t="str">
        <f>IFERROR(__xludf.DUMMYFUNCTION("""COMPUTED_VALUE"""),"ฤาชัย")</f>
        <v>ฤาชัย</v>
      </c>
      <c r="L459" s="1" t="str">
        <f>IFERROR(__xludf.DUMMYFUNCTION("""COMPUTED_VALUE"""),"ม.1")</f>
        <v>ม.1</v>
      </c>
      <c r="M459" s="1" t="str">
        <f>IFERROR(__xludf.DUMMYFUNCTION("""COMPUTED_VALUE"""),"สังคมศึกษา")</f>
        <v>สังคมศึกษา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>
        <f>IFERROR(__xludf.DUMMYFUNCTION("""COMPUTED_VALUE"""),8.0)</f>
        <v>8</v>
      </c>
      <c r="B460" s="1">
        <f>IFERROR(__xludf.DUMMYFUNCTION("""COMPUTED_VALUE"""),1.0)</f>
        <v>1</v>
      </c>
      <c r="C460" s="1" t="str">
        <f>IFERROR(__xludf.DUMMYFUNCTION("""COMPUTED_VALUE"""),"ส32201")</f>
        <v>ส32201</v>
      </c>
      <c r="D460" s="1" t="str">
        <f>IFERROR(__xludf.DUMMYFUNCTION("""COMPUTED_VALUE"""),"ท้องถิ่นของเรา")</f>
        <v>ท้องถิ่นของเรา</v>
      </c>
      <c r="E460" s="1">
        <f>IFERROR(__xludf.DUMMYFUNCTION("""COMPUTED_VALUE"""),1.0)</f>
        <v>1</v>
      </c>
      <c r="F460" s="1">
        <f>IFERROR(__xludf.DUMMYFUNCTION("""COMPUTED_VALUE"""),2569.0)</f>
        <v>2569</v>
      </c>
      <c r="G460" s="1">
        <f>IFERROR(__xludf.DUMMYFUNCTION("""COMPUTED_VALUE"""),1.0)</f>
        <v>1</v>
      </c>
      <c r="H460" s="1">
        <f>IFERROR(__xludf.DUMMYFUNCTION("""COMPUTED_VALUE"""),440.0)</f>
        <v>440</v>
      </c>
      <c r="I460" s="1" t="str">
        <f>IFERROR(__xludf.DUMMYFUNCTION("""COMPUTED_VALUE"""),"นางสาว")</f>
        <v>นางสาว</v>
      </c>
      <c r="J460" s="1" t="str">
        <f>IFERROR(__xludf.DUMMYFUNCTION("""COMPUTED_VALUE"""),"น้ำมนต์")</f>
        <v>น้ำมนต์</v>
      </c>
      <c r="K460" s="1" t="str">
        <f>IFERROR(__xludf.DUMMYFUNCTION("""COMPUTED_VALUE"""),"ฤาชัย")</f>
        <v>ฤาชัย</v>
      </c>
      <c r="L460" s="1" t="str">
        <f>IFERROR(__xludf.DUMMYFUNCTION("""COMPUTED_VALUE"""),"ม.5")</f>
        <v>ม.5</v>
      </c>
      <c r="M460" s="1" t="str">
        <f>IFERROR(__xludf.DUMMYFUNCTION("""COMPUTED_VALUE"""),"สังคมศึกษา")</f>
        <v>สังคมศึกษา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>
        <f>IFERROR(__xludf.DUMMYFUNCTION("""COMPUTED_VALUE"""),10.0)</f>
        <v>10</v>
      </c>
      <c r="B461" s="1">
        <f>IFERROR(__xludf.DUMMYFUNCTION("""COMPUTED_VALUE"""),1.0)</f>
        <v>1</v>
      </c>
      <c r="C461" s="1" t="str">
        <f>IFERROR(__xludf.DUMMYFUNCTION("""COMPUTED_VALUE"""),"ส32201")</f>
        <v>ส32201</v>
      </c>
      <c r="D461" s="1" t="str">
        <f>IFERROR(__xludf.DUMMYFUNCTION("""COMPUTED_VALUE"""),"ท้องถิ่นของเรา")</f>
        <v>ท้องถิ่นของเรา</v>
      </c>
      <c r="E461" s="1">
        <f>IFERROR(__xludf.DUMMYFUNCTION("""COMPUTED_VALUE"""),1.0)</f>
        <v>1</v>
      </c>
      <c r="F461" s="1">
        <f>IFERROR(__xludf.DUMMYFUNCTION("""COMPUTED_VALUE"""),2569.0)</f>
        <v>2569</v>
      </c>
      <c r="G461" s="1">
        <f>IFERROR(__xludf.DUMMYFUNCTION("""COMPUTED_VALUE"""),1.0)</f>
        <v>1</v>
      </c>
      <c r="H461" s="1">
        <f>IFERROR(__xludf.DUMMYFUNCTION("""COMPUTED_VALUE"""),440.0)</f>
        <v>440</v>
      </c>
      <c r="I461" s="1" t="str">
        <f>IFERROR(__xludf.DUMMYFUNCTION("""COMPUTED_VALUE"""),"นางสาว")</f>
        <v>นางสาว</v>
      </c>
      <c r="J461" s="1" t="str">
        <f>IFERROR(__xludf.DUMMYFUNCTION("""COMPUTED_VALUE"""),"น้ำมนต์")</f>
        <v>น้ำมนต์</v>
      </c>
      <c r="K461" s="1" t="str">
        <f>IFERROR(__xludf.DUMMYFUNCTION("""COMPUTED_VALUE"""),"ฤาชัย")</f>
        <v>ฤาชัย</v>
      </c>
      <c r="L461" s="1" t="str">
        <f>IFERROR(__xludf.DUMMYFUNCTION("""COMPUTED_VALUE"""),"ม.5")</f>
        <v>ม.5</v>
      </c>
      <c r="M461" s="1" t="str">
        <f>IFERROR(__xludf.DUMMYFUNCTION("""COMPUTED_VALUE"""),"สังคมศึกษา")</f>
        <v>สังคมศึกษา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>
        <f>IFERROR(__xludf.DUMMYFUNCTION("""COMPUTED_VALUE"""),1.0)</f>
        <v>1</v>
      </c>
      <c r="B462" s="1">
        <f>IFERROR(__xludf.DUMMYFUNCTION("""COMPUTED_VALUE"""),1.0)</f>
        <v>1</v>
      </c>
      <c r="C462" s="1" t="str">
        <f>IFERROR(__xludf.DUMMYFUNCTION("""COMPUTED_VALUE"""),"ส20229")</f>
        <v>ส20229</v>
      </c>
      <c r="D462" s="1" t="str">
        <f>IFERROR(__xludf.DUMMYFUNCTION("""COMPUTED_VALUE"""),"จริยธรรมนักวิทยาศาสตร์")</f>
        <v>จริยธรรมนักวิทยาศาสตร์</v>
      </c>
      <c r="E462" s="1">
        <f>IFERROR(__xludf.DUMMYFUNCTION("""COMPUTED_VALUE"""),1.0)</f>
        <v>1</v>
      </c>
      <c r="F462" s="1">
        <f>IFERROR(__xludf.DUMMYFUNCTION("""COMPUTED_VALUE"""),2569.0)</f>
        <v>2569</v>
      </c>
      <c r="G462" s="1">
        <f>IFERROR(__xludf.DUMMYFUNCTION("""COMPUTED_VALUE"""),1.0)</f>
        <v>1</v>
      </c>
      <c r="H462" s="1">
        <f>IFERROR(__xludf.DUMMYFUNCTION("""COMPUTED_VALUE"""),441.0)</f>
        <v>441</v>
      </c>
      <c r="I462" s="1" t="str">
        <f>IFERROR(__xludf.DUMMYFUNCTION("""COMPUTED_VALUE"""),"นางสาว")</f>
        <v>นางสาว</v>
      </c>
      <c r="J462" s="1" t="str">
        <f>IFERROR(__xludf.DUMMYFUNCTION("""COMPUTED_VALUE"""),"สุนิษา")</f>
        <v>สุนิษา</v>
      </c>
      <c r="K462" s="1" t="str">
        <f>IFERROR(__xludf.DUMMYFUNCTION("""COMPUTED_VALUE"""),"อินทรโชติ")</f>
        <v>อินทรโชติ</v>
      </c>
      <c r="L462" s="1" t="str">
        <f>IFERROR(__xludf.DUMMYFUNCTION("""COMPUTED_VALUE"""),"ม.1")</f>
        <v>ม.1</v>
      </c>
      <c r="M462" s="1" t="str">
        <f>IFERROR(__xludf.DUMMYFUNCTION("""COMPUTED_VALUE"""),"สังคมศึกษา")</f>
        <v>สังคมศึกษา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>
        <f>IFERROR(__xludf.DUMMYFUNCTION("""COMPUTED_VALUE"""),10.0)</f>
        <v>10</v>
      </c>
      <c r="B463" s="1">
        <f>IFERROR(__xludf.DUMMYFUNCTION("""COMPUTED_VALUE"""),1.0)</f>
        <v>1</v>
      </c>
      <c r="C463" s="1" t="str">
        <f>IFERROR(__xludf.DUMMYFUNCTION("""COMPUTED_VALUE"""),"ส30251")</f>
        <v>ส30251</v>
      </c>
      <c r="D463" s="1" t="str">
        <f>IFERROR(__xludf.DUMMYFUNCTION("""COMPUTED_VALUE"""),"การป้องกันการทุจริต 5")</f>
        <v>การป้องกันการทุจริต 5</v>
      </c>
      <c r="E463" s="1">
        <f>IFERROR(__xludf.DUMMYFUNCTION("""COMPUTED_VALUE"""),0.5)</f>
        <v>0.5</v>
      </c>
      <c r="F463" s="1">
        <f>IFERROR(__xludf.DUMMYFUNCTION("""COMPUTED_VALUE"""),2569.0)</f>
        <v>2569</v>
      </c>
      <c r="G463" s="1">
        <f>IFERROR(__xludf.DUMMYFUNCTION("""COMPUTED_VALUE"""),1.0)</f>
        <v>1</v>
      </c>
      <c r="H463" s="1">
        <f>IFERROR(__xludf.DUMMYFUNCTION("""COMPUTED_VALUE"""),441.0)</f>
        <v>441</v>
      </c>
      <c r="I463" s="1" t="str">
        <f>IFERROR(__xludf.DUMMYFUNCTION("""COMPUTED_VALUE"""),"นางสาว")</f>
        <v>นางสาว</v>
      </c>
      <c r="J463" s="1" t="str">
        <f>IFERROR(__xludf.DUMMYFUNCTION("""COMPUTED_VALUE"""),"สุนิษา")</f>
        <v>สุนิษา</v>
      </c>
      <c r="K463" s="1" t="str">
        <f>IFERROR(__xludf.DUMMYFUNCTION("""COMPUTED_VALUE"""),"อินทรโชติ")</f>
        <v>อินทรโชติ</v>
      </c>
      <c r="L463" s="1" t="str">
        <f>IFERROR(__xludf.DUMMYFUNCTION("""COMPUTED_VALUE"""),"ม.6")</f>
        <v>ม.6</v>
      </c>
      <c r="M463" s="1" t="str">
        <f>IFERROR(__xludf.DUMMYFUNCTION("""COMPUTED_VALUE"""),"สังคมศึกษา")</f>
        <v>สังคมศึกษา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>
        <f>IFERROR(__xludf.DUMMYFUNCTION("""COMPUTED_VALUE"""),2.0)</f>
        <v>2</v>
      </c>
      <c r="B464" s="1">
        <f>IFERROR(__xludf.DUMMYFUNCTION("""COMPUTED_VALUE"""),1.0)</f>
        <v>1</v>
      </c>
      <c r="C464" s="1" t="str">
        <f>IFERROR(__xludf.DUMMYFUNCTION("""COMPUTED_VALUE"""),"ส31101")</f>
        <v>ส31101</v>
      </c>
      <c r="D464" s="1" t="str">
        <f>IFERROR(__xludf.DUMMYFUNCTION("""COMPUTED_VALUE"""),"สังคมศึกษาฯ1")</f>
        <v>สังคมศึกษาฯ1</v>
      </c>
      <c r="E464" s="1">
        <f>IFERROR(__xludf.DUMMYFUNCTION("""COMPUTED_VALUE"""),1.0)</f>
        <v>1</v>
      </c>
      <c r="F464" s="1">
        <f>IFERROR(__xludf.DUMMYFUNCTION("""COMPUTED_VALUE"""),2569.0)</f>
        <v>2569</v>
      </c>
      <c r="G464" s="1">
        <f>IFERROR(__xludf.DUMMYFUNCTION("""COMPUTED_VALUE"""),1.0)</f>
        <v>1</v>
      </c>
      <c r="H464" s="1">
        <f>IFERROR(__xludf.DUMMYFUNCTION("""COMPUTED_VALUE"""),441.0)</f>
        <v>441</v>
      </c>
      <c r="I464" s="1" t="str">
        <f>IFERROR(__xludf.DUMMYFUNCTION("""COMPUTED_VALUE"""),"นางสาว")</f>
        <v>นางสาว</v>
      </c>
      <c r="J464" s="1" t="str">
        <f>IFERROR(__xludf.DUMMYFUNCTION("""COMPUTED_VALUE"""),"สุนิษา")</f>
        <v>สุนิษา</v>
      </c>
      <c r="K464" s="1" t="str">
        <f>IFERROR(__xludf.DUMMYFUNCTION("""COMPUTED_VALUE"""),"อินทรโชติ")</f>
        <v>อินทรโชติ</v>
      </c>
      <c r="L464" s="1" t="str">
        <f>IFERROR(__xludf.DUMMYFUNCTION("""COMPUTED_VALUE"""),"ม.4")</f>
        <v>ม.4</v>
      </c>
      <c r="M464" s="1" t="str">
        <f>IFERROR(__xludf.DUMMYFUNCTION("""COMPUTED_VALUE"""),"สังคมศึกษา")</f>
        <v>สังคมศึกษา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>
        <f>IFERROR(__xludf.DUMMYFUNCTION("""COMPUTED_VALUE"""),4.0)</f>
        <v>4</v>
      </c>
      <c r="B465" s="1">
        <f>IFERROR(__xludf.DUMMYFUNCTION("""COMPUTED_VALUE"""),1.0)</f>
        <v>1</v>
      </c>
      <c r="C465" s="1" t="str">
        <f>IFERROR(__xludf.DUMMYFUNCTION("""COMPUTED_VALUE"""),"ส31101")</f>
        <v>ส31101</v>
      </c>
      <c r="D465" s="1" t="str">
        <f>IFERROR(__xludf.DUMMYFUNCTION("""COMPUTED_VALUE"""),"สังคมศึกษาฯ1")</f>
        <v>สังคมศึกษาฯ1</v>
      </c>
      <c r="E465" s="1">
        <f>IFERROR(__xludf.DUMMYFUNCTION("""COMPUTED_VALUE"""),1.0)</f>
        <v>1</v>
      </c>
      <c r="F465" s="1">
        <f>IFERROR(__xludf.DUMMYFUNCTION("""COMPUTED_VALUE"""),2569.0)</f>
        <v>2569</v>
      </c>
      <c r="G465" s="1">
        <f>IFERROR(__xludf.DUMMYFUNCTION("""COMPUTED_VALUE"""),1.0)</f>
        <v>1</v>
      </c>
      <c r="H465" s="1">
        <f>IFERROR(__xludf.DUMMYFUNCTION("""COMPUTED_VALUE"""),441.0)</f>
        <v>441</v>
      </c>
      <c r="I465" s="1" t="str">
        <f>IFERROR(__xludf.DUMMYFUNCTION("""COMPUTED_VALUE"""),"นางสาว")</f>
        <v>นางสาว</v>
      </c>
      <c r="J465" s="1" t="str">
        <f>IFERROR(__xludf.DUMMYFUNCTION("""COMPUTED_VALUE"""),"สุนิษา")</f>
        <v>สุนิษา</v>
      </c>
      <c r="K465" s="1" t="str">
        <f>IFERROR(__xludf.DUMMYFUNCTION("""COMPUTED_VALUE"""),"อินทรโชติ")</f>
        <v>อินทรโชติ</v>
      </c>
      <c r="L465" s="1" t="str">
        <f>IFERROR(__xludf.DUMMYFUNCTION("""COMPUTED_VALUE"""),"ม.4")</f>
        <v>ม.4</v>
      </c>
      <c r="M465" s="1" t="str">
        <f>IFERROR(__xludf.DUMMYFUNCTION("""COMPUTED_VALUE"""),"สังคมศึกษา")</f>
        <v>สังคมศึกษา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>
        <f>IFERROR(__xludf.DUMMYFUNCTION("""COMPUTED_VALUE"""),6.0)</f>
        <v>6</v>
      </c>
      <c r="B466" s="1">
        <f>IFERROR(__xludf.DUMMYFUNCTION("""COMPUTED_VALUE"""),1.0)</f>
        <v>1</v>
      </c>
      <c r="C466" s="1" t="str">
        <f>IFERROR(__xludf.DUMMYFUNCTION("""COMPUTED_VALUE"""),"ส31101")</f>
        <v>ส31101</v>
      </c>
      <c r="D466" s="1" t="str">
        <f>IFERROR(__xludf.DUMMYFUNCTION("""COMPUTED_VALUE"""),"สังคมศึกษาฯ1")</f>
        <v>สังคมศึกษาฯ1</v>
      </c>
      <c r="E466" s="1">
        <f>IFERROR(__xludf.DUMMYFUNCTION("""COMPUTED_VALUE"""),1.0)</f>
        <v>1</v>
      </c>
      <c r="F466" s="1">
        <f>IFERROR(__xludf.DUMMYFUNCTION("""COMPUTED_VALUE"""),2569.0)</f>
        <v>2569</v>
      </c>
      <c r="G466" s="1">
        <f>IFERROR(__xludf.DUMMYFUNCTION("""COMPUTED_VALUE"""),1.0)</f>
        <v>1</v>
      </c>
      <c r="H466" s="1">
        <f>IFERROR(__xludf.DUMMYFUNCTION("""COMPUTED_VALUE"""),441.0)</f>
        <v>441</v>
      </c>
      <c r="I466" s="1" t="str">
        <f>IFERROR(__xludf.DUMMYFUNCTION("""COMPUTED_VALUE"""),"นางสาว")</f>
        <v>นางสาว</v>
      </c>
      <c r="J466" s="1" t="str">
        <f>IFERROR(__xludf.DUMMYFUNCTION("""COMPUTED_VALUE"""),"สุนิษา")</f>
        <v>สุนิษา</v>
      </c>
      <c r="K466" s="1" t="str">
        <f>IFERROR(__xludf.DUMMYFUNCTION("""COMPUTED_VALUE"""),"อินทรโชติ")</f>
        <v>อินทรโชติ</v>
      </c>
      <c r="L466" s="1" t="str">
        <f>IFERROR(__xludf.DUMMYFUNCTION("""COMPUTED_VALUE"""),"ม.4")</f>
        <v>ม.4</v>
      </c>
      <c r="M466" s="1" t="str">
        <f>IFERROR(__xludf.DUMMYFUNCTION("""COMPUTED_VALUE"""),"สังคมศึกษา")</f>
        <v>สังคมศึกษา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>
        <f>IFERROR(__xludf.DUMMYFUNCTION("""COMPUTED_VALUE"""),10.0)</f>
        <v>10</v>
      </c>
      <c r="B467" s="1">
        <f>IFERROR(__xludf.DUMMYFUNCTION("""COMPUTED_VALUE"""),1.0)</f>
        <v>1</v>
      </c>
      <c r="C467" s="1" t="str">
        <f>IFERROR(__xludf.DUMMYFUNCTION("""COMPUTED_VALUE"""),"ส31101")</f>
        <v>ส31101</v>
      </c>
      <c r="D467" s="1" t="str">
        <f>IFERROR(__xludf.DUMMYFUNCTION("""COMPUTED_VALUE"""),"สังคมศึกษาฯ1")</f>
        <v>สังคมศึกษาฯ1</v>
      </c>
      <c r="E467" s="1">
        <f>IFERROR(__xludf.DUMMYFUNCTION("""COMPUTED_VALUE"""),1.0)</f>
        <v>1</v>
      </c>
      <c r="F467" s="1">
        <f>IFERROR(__xludf.DUMMYFUNCTION("""COMPUTED_VALUE"""),2569.0)</f>
        <v>2569</v>
      </c>
      <c r="G467" s="1">
        <f>IFERROR(__xludf.DUMMYFUNCTION("""COMPUTED_VALUE"""),1.0)</f>
        <v>1</v>
      </c>
      <c r="H467" s="1">
        <f>IFERROR(__xludf.DUMMYFUNCTION("""COMPUTED_VALUE"""),441.0)</f>
        <v>441</v>
      </c>
      <c r="I467" s="1" t="str">
        <f>IFERROR(__xludf.DUMMYFUNCTION("""COMPUTED_VALUE"""),"นางสาว")</f>
        <v>นางสาว</v>
      </c>
      <c r="J467" s="1" t="str">
        <f>IFERROR(__xludf.DUMMYFUNCTION("""COMPUTED_VALUE"""),"สุนิษา")</f>
        <v>สุนิษา</v>
      </c>
      <c r="K467" s="1" t="str">
        <f>IFERROR(__xludf.DUMMYFUNCTION("""COMPUTED_VALUE"""),"อินทรโชติ")</f>
        <v>อินทรโชติ</v>
      </c>
      <c r="L467" s="1" t="str">
        <f>IFERROR(__xludf.DUMMYFUNCTION("""COMPUTED_VALUE"""),"ม.4")</f>
        <v>ม.4</v>
      </c>
      <c r="M467" s="1" t="str">
        <f>IFERROR(__xludf.DUMMYFUNCTION("""COMPUTED_VALUE"""),"สังคมศึกษา")</f>
        <v>สังคมศึกษา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>
        <f>IFERROR(__xludf.DUMMYFUNCTION("""COMPUTED_VALUE"""),2.0)</f>
        <v>2</v>
      </c>
      <c r="B468" s="1">
        <f>IFERROR(__xludf.DUMMYFUNCTION("""COMPUTED_VALUE"""),1.0)</f>
        <v>1</v>
      </c>
      <c r="C468" s="1" t="str">
        <f>IFERROR(__xludf.DUMMYFUNCTION("""COMPUTED_VALUE"""),"ส32102")</f>
        <v>ส32102</v>
      </c>
      <c r="D468" s="1" t="str">
        <f>IFERROR(__xludf.DUMMYFUNCTION("""COMPUTED_VALUE"""),"ประวัติศาสตร์ 3")</f>
        <v>ประวัติศาสตร์ 3</v>
      </c>
      <c r="E468" s="1">
        <f>IFERROR(__xludf.DUMMYFUNCTION("""COMPUTED_VALUE"""),0.5)</f>
        <v>0.5</v>
      </c>
      <c r="F468" s="1">
        <f>IFERROR(__xludf.DUMMYFUNCTION("""COMPUTED_VALUE"""),2569.0)</f>
        <v>2569</v>
      </c>
      <c r="G468" s="1">
        <f>IFERROR(__xludf.DUMMYFUNCTION("""COMPUTED_VALUE"""),1.0)</f>
        <v>1</v>
      </c>
      <c r="H468" s="1">
        <f>IFERROR(__xludf.DUMMYFUNCTION("""COMPUTED_VALUE"""),441.0)</f>
        <v>441</v>
      </c>
      <c r="I468" s="1" t="str">
        <f>IFERROR(__xludf.DUMMYFUNCTION("""COMPUTED_VALUE"""),"นางสาว")</f>
        <v>นางสาว</v>
      </c>
      <c r="J468" s="1" t="str">
        <f>IFERROR(__xludf.DUMMYFUNCTION("""COMPUTED_VALUE"""),"สุนิษา")</f>
        <v>สุนิษา</v>
      </c>
      <c r="K468" s="1" t="str">
        <f>IFERROR(__xludf.DUMMYFUNCTION("""COMPUTED_VALUE"""),"อินทรโชติ")</f>
        <v>อินทรโชติ</v>
      </c>
      <c r="L468" s="1" t="str">
        <f>IFERROR(__xludf.DUMMYFUNCTION("""COMPUTED_VALUE"""),"ม.5")</f>
        <v>ม.5</v>
      </c>
      <c r="M468" s="1" t="str">
        <f>IFERROR(__xludf.DUMMYFUNCTION("""COMPUTED_VALUE"""),"สังคมศึกษา")</f>
        <v>สังคมศึกษา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>
        <f>IFERROR(__xludf.DUMMYFUNCTION("""COMPUTED_VALUE"""),5.0)</f>
        <v>5</v>
      </c>
      <c r="B469" s="1">
        <f>IFERROR(__xludf.DUMMYFUNCTION("""COMPUTED_VALUE"""),1.0)</f>
        <v>1</v>
      </c>
      <c r="C469" s="1" t="str">
        <f>IFERROR(__xludf.DUMMYFUNCTION("""COMPUTED_VALUE"""),"ส32102")</f>
        <v>ส32102</v>
      </c>
      <c r="D469" s="1" t="str">
        <f>IFERROR(__xludf.DUMMYFUNCTION("""COMPUTED_VALUE"""),"ประวัติศาสตร์ 3")</f>
        <v>ประวัติศาสตร์ 3</v>
      </c>
      <c r="E469" s="1">
        <f>IFERROR(__xludf.DUMMYFUNCTION("""COMPUTED_VALUE"""),0.5)</f>
        <v>0.5</v>
      </c>
      <c r="F469" s="1">
        <f>IFERROR(__xludf.DUMMYFUNCTION("""COMPUTED_VALUE"""),2569.0)</f>
        <v>2569</v>
      </c>
      <c r="G469" s="1">
        <f>IFERROR(__xludf.DUMMYFUNCTION("""COMPUTED_VALUE"""),1.0)</f>
        <v>1</v>
      </c>
      <c r="H469" s="1">
        <f>IFERROR(__xludf.DUMMYFUNCTION("""COMPUTED_VALUE"""),441.0)</f>
        <v>441</v>
      </c>
      <c r="I469" s="1" t="str">
        <f>IFERROR(__xludf.DUMMYFUNCTION("""COMPUTED_VALUE"""),"นางสาว")</f>
        <v>นางสาว</v>
      </c>
      <c r="J469" s="1" t="str">
        <f>IFERROR(__xludf.DUMMYFUNCTION("""COMPUTED_VALUE"""),"สุนิษา")</f>
        <v>สุนิษา</v>
      </c>
      <c r="K469" s="1" t="str">
        <f>IFERROR(__xludf.DUMMYFUNCTION("""COMPUTED_VALUE"""),"อินทรโชติ")</f>
        <v>อินทรโชติ</v>
      </c>
      <c r="L469" s="1" t="str">
        <f>IFERROR(__xludf.DUMMYFUNCTION("""COMPUTED_VALUE"""),"ม.5")</f>
        <v>ม.5</v>
      </c>
      <c r="M469" s="1" t="str">
        <f>IFERROR(__xludf.DUMMYFUNCTION("""COMPUTED_VALUE"""),"สังคมศึกษา")</f>
        <v>สังคมศึกษา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>
        <f>IFERROR(__xludf.DUMMYFUNCTION("""COMPUTED_VALUE"""),7.0)</f>
        <v>7</v>
      </c>
      <c r="B470" s="1">
        <f>IFERROR(__xludf.DUMMYFUNCTION("""COMPUTED_VALUE"""),1.0)</f>
        <v>1</v>
      </c>
      <c r="C470" s="1" t="str">
        <f>IFERROR(__xludf.DUMMYFUNCTION("""COMPUTED_VALUE"""),"ส32102")</f>
        <v>ส32102</v>
      </c>
      <c r="D470" s="1" t="str">
        <f>IFERROR(__xludf.DUMMYFUNCTION("""COMPUTED_VALUE"""),"ประวัติศาสตร์ 3")</f>
        <v>ประวัติศาสตร์ 3</v>
      </c>
      <c r="E470" s="1">
        <f>IFERROR(__xludf.DUMMYFUNCTION("""COMPUTED_VALUE"""),0.5)</f>
        <v>0.5</v>
      </c>
      <c r="F470" s="1">
        <f>IFERROR(__xludf.DUMMYFUNCTION("""COMPUTED_VALUE"""),2569.0)</f>
        <v>2569</v>
      </c>
      <c r="G470" s="1">
        <f>IFERROR(__xludf.DUMMYFUNCTION("""COMPUTED_VALUE"""),1.0)</f>
        <v>1</v>
      </c>
      <c r="H470" s="1">
        <f>IFERROR(__xludf.DUMMYFUNCTION("""COMPUTED_VALUE"""),441.0)</f>
        <v>441</v>
      </c>
      <c r="I470" s="1" t="str">
        <f>IFERROR(__xludf.DUMMYFUNCTION("""COMPUTED_VALUE"""),"นางสาว")</f>
        <v>นางสาว</v>
      </c>
      <c r="J470" s="1" t="str">
        <f>IFERROR(__xludf.DUMMYFUNCTION("""COMPUTED_VALUE"""),"สุนิษา")</f>
        <v>สุนิษา</v>
      </c>
      <c r="K470" s="1" t="str">
        <f>IFERROR(__xludf.DUMMYFUNCTION("""COMPUTED_VALUE"""),"อินทรโชติ")</f>
        <v>อินทรโชติ</v>
      </c>
      <c r="L470" s="1" t="str">
        <f>IFERROR(__xludf.DUMMYFUNCTION("""COMPUTED_VALUE"""),"ม.5")</f>
        <v>ม.5</v>
      </c>
      <c r="M470" s="1" t="str">
        <f>IFERROR(__xludf.DUMMYFUNCTION("""COMPUTED_VALUE"""),"สังคมศึกษา")</f>
        <v>สังคมศึกษา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>
        <f>IFERROR(__xludf.DUMMYFUNCTION("""COMPUTED_VALUE"""),9.0)</f>
        <v>9</v>
      </c>
      <c r="B471" s="1">
        <f>IFERROR(__xludf.DUMMYFUNCTION("""COMPUTED_VALUE"""),1.0)</f>
        <v>1</v>
      </c>
      <c r="C471" s="1" t="str">
        <f>IFERROR(__xludf.DUMMYFUNCTION("""COMPUTED_VALUE"""),"ส32102")</f>
        <v>ส32102</v>
      </c>
      <c r="D471" s="1" t="str">
        <f>IFERROR(__xludf.DUMMYFUNCTION("""COMPUTED_VALUE"""),"ประวัติศาสตร์ 3")</f>
        <v>ประวัติศาสตร์ 3</v>
      </c>
      <c r="E471" s="1">
        <f>IFERROR(__xludf.DUMMYFUNCTION("""COMPUTED_VALUE"""),0.5)</f>
        <v>0.5</v>
      </c>
      <c r="F471" s="1">
        <f>IFERROR(__xludf.DUMMYFUNCTION("""COMPUTED_VALUE"""),2569.0)</f>
        <v>2569</v>
      </c>
      <c r="G471" s="1">
        <f>IFERROR(__xludf.DUMMYFUNCTION("""COMPUTED_VALUE"""),1.0)</f>
        <v>1</v>
      </c>
      <c r="H471" s="1">
        <f>IFERROR(__xludf.DUMMYFUNCTION("""COMPUTED_VALUE"""),441.0)</f>
        <v>441</v>
      </c>
      <c r="I471" s="1" t="str">
        <f>IFERROR(__xludf.DUMMYFUNCTION("""COMPUTED_VALUE"""),"นางสาว")</f>
        <v>นางสาว</v>
      </c>
      <c r="J471" s="1" t="str">
        <f>IFERROR(__xludf.DUMMYFUNCTION("""COMPUTED_VALUE"""),"สุนิษา")</f>
        <v>สุนิษา</v>
      </c>
      <c r="K471" s="1" t="str">
        <f>IFERROR(__xludf.DUMMYFUNCTION("""COMPUTED_VALUE"""),"อินทรโชติ")</f>
        <v>อินทรโชติ</v>
      </c>
      <c r="L471" s="1" t="str">
        <f>IFERROR(__xludf.DUMMYFUNCTION("""COMPUTED_VALUE"""),"ม.5")</f>
        <v>ม.5</v>
      </c>
      <c r="M471" s="1" t="str">
        <f>IFERROR(__xludf.DUMMYFUNCTION("""COMPUTED_VALUE"""),"สังคมศึกษา")</f>
        <v>สังคมศึกษา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>
        <f>IFERROR(__xludf.DUMMYFUNCTION("""COMPUTED_VALUE"""),10.0)</f>
        <v>10</v>
      </c>
      <c r="B472" s="1">
        <f>IFERROR(__xludf.DUMMYFUNCTION("""COMPUTED_VALUE"""),1.0)</f>
        <v>1</v>
      </c>
      <c r="C472" s="1" t="str">
        <f>IFERROR(__xludf.DUMMYFUNCTION("""COMPUTED_VALUE"""),"ส32102")</f>
        <v>ส32102</v>
      </c>
      <c r="D472" s="1" t="str">
        <f>IFERROR(__xludf.DUMMYFUNCTION("""COMPUTED_VALUE"""),"ประวัติศาสตร์ 3")</f>
        <v>ประวัติศาสตร์ 3</v>
      </c>
      <c r="E472" s="1">
        <f>IFERROR(__xludf.DUMMYFUNCTION("""COMPUTED_VALUE"""),0.5)</f>
        <v>0.5</v>
      </c>
      <c r="F472" s="1">
        <f>IFERROR(__xludf.DUMMYFUNCTION("""COMPUTED_VALUE"""),2569.0)</f>
        <v>2569</v>
      </c>
      <c r="G472" s="1">
        <f>IFERROR(__xludf.DUMMYFUNCTION("""COMPUTED_VALUE"""),1.0)</f>
        <v>1</v>
      </c>
      <c r="H472" s="1">
        <f>IFERROR(__xludf.DUMMYFUNCTION("""COMPUTED_VALUE"""),441.0)</f>
        <v>441</v>
      </c>
      <c r="I472" s="1" t="str">
        <f>IFERROR(__xludf.DUMMYFUNCTION("""COMPUTED_VALUE"""),"นางสาว")</f>
        <v>นางสาว</v>
      </c>
      <c r="J472" s="1" t="str">
        <f>IFERROR(__xludf.DUMMYFUNCTION("""COMPUTED_VALUE"""),"สุนิษา")</f>
        <v>สุนิษา</v>
      </c>
      <c r="K472" s="1" t="str">
        <f>IFERROR(__xludf.DUMMYFUNCTION("""COMPUTED_VALUE"""),"อินทรโชติ")</f>
        <v>อินทรโชติ</v>
      </c>
      <c r="L472" s="1" t="str">
        <f>IFERROR(__xludf.DUMMYFUNCTION("""COMPUTED_VALUE"""),"ม.5")</f>
        <v>ม.5</v>
      </c>
      <c r="M472" s="1" t="str">
        <f>IFERROR(__xludf.DUMMYFUNCTION("""COMPUTED_VALUE"""),"สังคมศึกษา")</f>
        <v>สังคมศึกษา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>
        <f>IFERROR(__xludf.DUMMYFUNCTION("""COMPUTED_VALUE"""),6.0)</f>
        <v>6</v>
      </c>
      <c r="B473" s="1">
        <f>IFERROR(__xludf.DUMMYFUNCTION("""COMPUTED_VALUE"""),1.0)</f>
        <v>1</v>
      </c>
      <c r="C473" s="1" t="str">
        <f>IFERROR(__xludf.DUMMYFUNCTION("""COMPUTED_VALUE"""),"ส30249")</f>
        <v>ส30249</v>
      </c>
      <c r="D473" s="1" t="str">
        <f>IFERROR(__xludf.DUMMYFUNCTION("""COMPUTED_VALUE"""),"การป้องกันการทุจริต 3")</f>
        <v>การป้องกันการทุจริต 3</v>
      </c>
      <c r="E473" s="1">
        <f>IFERROR(__xludf.DUMMYFUNCTION("""COMPUTED_VALUE"""),0.5)</f>
        <v>0.5</v>
      </c>
      <c r="F473" s="1">
        <f>IFERROR(__xludf.DUMMYFUNCTION("""COMPUTED_VALUE"""),2569.0)</f>
        <v>2569</v>
      </c>
      <c r="G473" s="1">
        <f>IFERROR(__xludf.DUMMYFUNCTION("""COMPUTED_VALUE"""),1.0)</f>
        <v>1</v>
      </c>
      <c r="H473" s="1">
        <f>IFERROR(__xludf.DUMMYFUNCTION("""COMPUTED_VALUE"""),442.0)</f>
        <v>442</v>
      </c>
      <c r="I473" s="1" t="str">
        <f>IFERROR(__xludf.DUMMYFUNCTION("""COMPUTED_VALUE"""),"นาย")</f>
        <v>นาย</v>
      </c>
      <c r="J473" s="1" t="str">
        <f>IFERROR(__xludf.DUMMYFUNCTION("""COMPUTED_VALUE"""),"จักรพงษ์")</f>
        <v>จักรพงษ์</v>
      </c>
      <c r="K473" s="1" t="str">
        <f>IFERROR(__xludf.DUMMYFUNCTION("""COMPUTED_VALUE"""),"งามวิริยะประเสริฐ")</f>
        <v>งามวิริยะประเสริฐ</v>
      </c>
      <c r="L473" s="1" t="str">
        <f>IFERROR(__xludf.DUMMYFUNCTION("""COMPUTED_VALUE"""),"ม.5")</f>
        <v>ม.5</v>
      </c>
      <c r="M473" s="1" t="str">
        <f>IFERROR(__xludf.DUMMYFUNCTION("""COMPUTED_VALUE"""),"สังคมศึกษา")</f>
        <v>สังคมศึกษา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>
        <f>IFERROR(__xludf.DUMMYFUNCTION("""COMPUTED_VALUE"""),2.0)</f>
        <v>2</v>
      </c>
      <c r="B474" s="1">
        <f>IFERROR(__xludf.DUMMYFUNCTION("""COMPUTED_VALUE"""),1.0)</f>
        <v>1</v>
      </c>
      <c r="C474" s="1" t="str">
        <f>IFERROR(__xludf.DUMMYFUNCTION("""COMPUTED_VALUE"""),"ส32101")</f>
        <v>ส32101</v>
      </c>
      <c r="D474" s="1" t="str">
        <f>IFERROR(__xludf.DUMMYFUNCTION("""COMPUTED_VALUE"""),"สังคมศึกษาฯ 3")</f>
        <v>สังคมศึกษาฯ 3</v>
      </c>
      <c r="E474" s="1">
        <f>IFERROR(__xludf.DUMMYFUNCTION("""COMPUTED_VALUE"""),1.0)</f>
        <v>1</v>
      </c>
      <c r="F474" s="1">
        <f>IFERROR(__xludf.DUMMYFUNCTION("""COMPUTED_VALUE"""),2569.0)</f>
        <v>2569</v>
      </c>
      <c r="G474" s="1">
        <f>IFERROR(__xludf.DUMMYFUNCTION("""COMPUTED_VALUE"""),1.0)</f>
        <v>1</v>
      </c>
      <c r="H474" s="1">
        <f>IFERROR(__xludf.DUMMYFUNCTION("""COMPUTED_VALUE"""),442.0)</f>
        <v>442</v>
      </c>
      <c r="I474" s="1" t="str">
        <f>IFERROR(__xludf.DUMMYFUNCTION("""COMPUTED_VALUE"""),"นาย")</f>
        <v>นาย</v>
      </c>
      <c r="J474" s="1" t="str">
        <f>IFERROR(__xludf.DUMMYFUNCTION("""COMPUTED_VALUE"""),"จักรพงษ์")</f>
        <v>จักรพงษ์</v>
      </c>
      <c r="K474" s="1" t="str">
        <f>IFERROR(__xludf.DUMMYFUNCTION("""COMPUTED_VALUE"""),"งามวิริยะประเสริฐ")</f>
        <v>งามวิริยะประเสริฐ</v>
      </c>
      <c r="L474" s="1" t="str">
        <f>IFERROR(__xludf.DUMMYFUNCTION("""COMPUTED_VALUE"""),"ม.5")</f>
        <v>ม.5</v>
      </c>
      <c r="M474" s="1" t="str">
        <f>IFERROR(__xludf.DUMMYFUNCTION("""COMPUTED_VALUE"""),"สังคมศึกษา")</f>
        <v>สังคมศึกษา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>
        <f>IFERROR(__xludf.DUMMYFUNCTION("""COMPUTED_VALUE"""),4.0)</f>
        <v>4</v>
      </c>
      <c r="B475" s="1">
        <f>IFERROR(__xludf.DUMMYFUNCTION("""COMPUTED_VALUE"""),1.0)</f>
        <v>1</v>
      </c>
      <c r="C475" s="1" t="str">
        <f>IFERROR(__xludf.DUMMYFUNCTION("""COMPUTED_VALUE"""),"ส32101")</f>
        <v>ส32101</v>
      </c>
      <c r="D475" s="1" t="str">
        <f>IFERROR(__xludf.DUMMYFUNCTION("""COMPUTED_VALUE"""),"สังคมศึกษาฯ 3")</f>
        <v>สังคมศึกษาฯ 3</v>
      </c>
      <c r="E475" s="1">
        <f>IFERROR(__xludf.DUMMYFUNCTION("""COMPUTED_VALUE"""),1.0)</f>
        <v>1</v>
      </c>
      <c r="F475" s="1">
        <f>IFERROR(__xludf.DUMMYFUNCTION("""COMPUTED_VALUE"""),2569.0)</f>
        <v>2569</v>
      </c>
      <c r="G475" s="1">
        <f>IFERROR(__xludf.DUMMYFUNCTION("""COMPUTED_VALUE"""),1.0)</f>
        <v>1</v>
      </c>
      <c r="H475" s="1">
        <f>IFERROR(__xludf.DUMMYFUNCTION("""COMPUTED_VALUE"""),442.0)</f>
        <v>442</v>
      </c>
      <c r="I475" s="1" t="str">
        <f>IFERROR(__xludf.DUMMYFUNCTION("""COMPUTED_VALUE"""),"นาย")</f>
        <v>นาย</v>
      </c>
      <c r="J475" s="1" t="str">
        <f>IFERROR(__xludf.DUMMYFUNCTION("""COMPUTED_VALUE"""),"จักรพงษ์")</f>
        <v>จักรพงษ์</v>
      </c>
      <c r="K475" s="1" t="str">
        <f>IFERROR(__xludf.DUMMYFUNCTION("""COMPUTED_VALUE"""),"งามวิริยะประเสริฐ")</f>
        <v>งามวิริยะประเสริฐ</v>
      </c>
      <c r="L475" s="1" t="str">
        <f>IFERROR(__xludf.DUMMYFUNCTION("""COMPUTED_VALUE"""),"ม.5")</f>
        <v>ม.5</v>
      </c>
      <c r="M475" s="1" t="str">
        <f>IFERROR(__xludf.DUMMYFUNCTION("""COMPUTED_VALUE"""),"สังคมศึกษา")</f>
        <v>สังคมศึกษา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>
        <f>IFERROR(__xludf.DUMMYFUNCTION("""COMPUTED_VALUE"""),6.0)</f>
        <v>6</v>
      </c>
      <c r="B476" s="1">
        <f>IFERROR(__xludf.DUMMYFUNCTION("""COMPUTED_VALUE"""),1.0)</f>
        <v>1</v>
      </c>
      <c r="C476" s="1" t="str">
        <f>IFERROR(__xludf.DUMMYFUNCTION("""COMPUTED_VALUE"""),"ส32101")</f>
        <v>ส32101</v>
      </c>
      <c r="D476" s="1" t="str">
        <f>IFERROR(__xludf.DUMMYFUNCTION("""COMPUTED_VALUE"""),"สังคมศึกษาฯ 3")</f>
        <v>สังคมศึกษาฯ 3</v>
      </c>
      <c r="E476" s="1">
        <f>IFERROR(__xludf.DUMMYFUNCTION("""COMPUTED_VALUE"""),1.0)</f>
        <v>1</v>
      </c>
      <c r="F476" s="1">
        <f>IFERROR(__xludf.DUMMYFUNCTION("""COMPUTED_VALUE"""),2569.0)</f>
        <v>2569</v>
      </c>
      <c r="G476" s="1">
        <f>IFERROR(__xludf.DUMMYFUNCTION("""COMPUTED_VALUE"""),1.0)</f>
        <v>1</v>
      </c>
      <c r="H476" s="1">
        <f>IFERROR(__xludf.DUMMYFUNCTION("""COMPUTED_VALUE"""),442.0)</f>
        <v>442</v>
      </c>
      <c r="I476" s="1" t="str">
        <f>IFERROR(__xludf.DUMMYFUNCTION("""COMPUTED_VALUE"""),"นาย")</f>
        <v>นาย</v>
      </c>
      <c r="J476" s="1" t="str">
        <f>IFERROR(__xludf.DUMMYFUNCTION("""COMPUTED_VALUE"""),"จักรพงษ์")</f>
        <v>จักรพงษ์</v>
      </c>
      <c r="K476" s="1" t="str">
        <f>IFERROR(__xludf.DUMMYFUNCTION("""COMPUTED_VALUE"""),"งามวิริยะประเสริฐ")</f>
        <v>งามวิริยะประเสริฐ</v>
      </c>
      <c r="L476" s="1" t="str">
        <f>IFERROR(__xludf.DUMMYFUNCTION("""COMPUTED_VALUE"""),"ม.5")</f>
        <v>ม.5</v>
      </c>
      <c r="M476" s="1" t="str">
        <f>IFERROR(__xludf.DUMMYFUNCTION("""COMPUTED_VALUE"""),"สังคมศึกษา")</f>
        <v>สังคมศึกษา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>
        <f>IFERROR(__xludf.DUMMYFUNCTION("""COMPUTED_VALUE"""),9.0)</f>
        <v>9</v>
      </c>
      <c r="B477" s="1">
        <f>IFERROR(__xludf.DUMMYFUNCTION("""COMPUTED_VALUE"""),1.0)</f>
        <v>1</v>
      </c>
      <c r="C477" s="1" t="str">
        <f>IFERROR(__xludf.DUMMYFUNCTION("""COMPUTED_VALUE"""),"ส32101")</f>
        <v>ส32101</v>
      </c>
      <c r="D477" s="1" t="str">
        <f>IFERROR(__xludf.DUMMYFUNCTION("""COMPUTED_VALUE"""),"สังคมศึกษาฯ 3")</f>
        <v>สังคมศึกษาฯ 3</v>
      </c>
      <c r="E477" s="1">
        <f>IFERROR(__xludf.DUMMYFUNCTION("""COMPUTED_VALUE"""),1.0)</f>
        <v>1</v>
      </c>
      <c r="F477" s="1">
        <f>IFERROR(__xludf.DUMMYFUNCTION("""COMPUTED_VALUE"""),2569.0)</f>
        <v>2569</v>
      </c>
      <c r="G477" s="1">
        <f>IFERROR(__xludf.DUMMYFUNCTION("""COMPUTED_VALUE"""),1.0)</f>
        <v>1</v>
      </c>
      <c r="H477" s="1">
        <f>IFERROR(__xludf.DUMMYFUNCTION("""COMPUTED_VALUE"""),442.0)</f>
        <v>442</v>
      </c>
      <c r="I477" s="1" t="str">
        <f>IFERROR(__xludf.DUMMYFUNCTION("""COMPUTED_VALUE"""),"นาย")</f>
        <v>นาย</v>
      </c>
      <c r="J477" s="1" t="str">
        <f>IFERROR(__xludf.DUMMYFUNCTION("""COMPUTED_VALUE"""),"จักรพงษ์")</f>
        <v>จักรพงษ์</v>
      </c>
      <c r="K477" s="1" t="str">
        <f>IFERROR(__xludf.DUMMYFUNCTION("""COMPUTED_VALUE"""),"งามวิริยะประเสริฐ")</f>
        <v>งามวิริยะประเสริฐ</v>
      </c>
      <c r="L477" s="1" t="str">
        <f>IFERROR(__xludf.DUMMYFUNCTION("""COMPUTED_VALUE"""),"ม.5")</f>
        <v>ม.5</v>
      </c>
      <c r="M477" s="1" t="str">
        <f>IFERROR(__xludf.DUMMYFUNCTION("""COMPUTED_VALUE"""),"สังคมศึกษา")</f>
        <v>สังคมศึกษา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>
        <f>IFERROR(__xludf.DUMMYFUNCTION("""COMPUTED_VALUE"""),6.0)</f>
        <v>6</v>
      </c>
      <c r="B478" s="1">
        <f>IFERROR(__xludf.DUMMYFUNCTION("""COMPUTED_VALUE"""),1.0)</f>
        <v>1</v>
      </c>
      <c r="C478" s="1" t="str">
        <f>IFERROR(__xludf.DUMMYFUNCTION("""COMPUTED_VALUE"""),"ส22102")</f>
        <v>ส22102</v>
      </c>
      <c r="D478" s="1" t="str">
        <f>IFERROR(__xludf.DUMMYFUNCTION("""COMPUTED_VALUE"""),"ประวัติศาสตร์ 3")</f>
        <v>ประวัติศาสตร์ 3</v>
      </c>
      <c r="E478" s="1">
        <f>IFERROR(__xludf.DUMMYFUNCTION("""COMPUTED_VALUE"""),0.5)</f>
        <v>0.5</v>
      </c>
      <c r="F478" s="1">
        <f>IFERROR(__xludf.DUMMYFUNCTION("""COMPUTED_VALUE"""),2569.0)</f>
        <v>2569</v>
      </c>
      <c r="G478" s="1">
        <f>IFERROR(__xludf.DUMMYFUNCTION("""COMPUTED_VALUE"""),1.0)</f>
        <v>1</v>
      </c>
      <c r="H478" s="1">
        <f>IFERROR(__xludf.DUMMYFUNCTION("""COMPUTED_VALUE"""),443.0)</f>
        <v>443</v>
      </c>
      <c r="I478" s="1" t="str">
        <f>IFERROR(__xludf.DUMMYFUNCTION("""COMPUTED_VALUE"""),"นาย")</f>
        <v>นาย</v>
      </c>
      <c r="J478" s="1" t="str">
        <f>IFERROR(__xludf.DUMMYFUNCTION("""COMPUTED_VALUE"""),"นนทกานต์")</f>
        <v>นนทกานต์</v>
      </c>
      <c r="K478" s="1" t="str">
        <f>IFERROR(__xludf.DUMMYFUNCTION("""COMPUTED_VALUE"""),"พรมมา")</f>
        <v>พรมมา</v>
      </c>
      <c r="L478" s="1" t="str">
        <f>IFERROR(__xludf.DUMMYFUNCTION("""COMPUTED_VALUE"""),"ม.2")</f>
        <v>ม.2</v>
      </c>
      <c r="M478" s="1" t="str">
        <f>IFERROR(__xludf.DUMMYFUNCTION("""COMPUTED_VALUE"""),"สังคมศึกษา")</f>
        <v>สังคมศึกษา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>
        <f>IFERROR(__xludf.DUMMYFUNCTION("""COMPUTED_VALUE"""),1.0)</f>
        <v>1</v>
      </c>
      <c r="B479" s="1">
        <f>IFERROR(__xludf.DUMMYFUNCTION("""COMPUTED_VALUE"""),1.0)</f>
        <v>1</v>
      </c>
      <c r="C479" s="1" t="str">
        <f>IFERROR(__xludf.DUMMYFUNCTION("""COMPUTED_VALUE"""),"ส30237")</f>
        <v>ส30237</v>
      </c>
      <c r="D479" s="1" t="str">
        <f>IFERROR(__xludf.DUMMYFUNCTION("""COMPUTED_VALUE"""),"วัฒนธรรมประเพณีท้องถิ่นของไทย")</f>
        <v>วัฒนธรรมประเพณีท้องถิ่นของไทย</v>
      </c>
      <c r="E479" s="1">
        <f>IFERROR(__xludf.DUMMYFUNCTION("""COMPUTED_VALUE"""),0.5)</f>
        <v>0.5</v>
      </c>
      <c r="F479" s="1">
        <f>IFERROR(__xludf.DUMMYFUNCTION("""COMPUTED_VALUE"""),2569.0)</f>
        <v>2569</v>
      </c>
      <c r="G479" s="1">
        <f>IFERROR(__xludf.DUMMYFUNCTION("""COMPUTED_VALUE"""),1.0)</f>
        <v>1</v>
      </c>
      <c r="H479" s="1">
        <f>IFERROR(__xludf.DUMMYFUNCTION("""COMPUTED_VALUE"""),443.0)</f>
        <v>443</v>
      </c>
      <c r="I479" s="1" t="str">
        <f>IFERROR(__xludf.DUMMYFUNCTION("""COMPUTED_VALUE"""),"นาย")</f>
        <v>นาย</v>
      </c>
      <c r="J479" s="1" t="str">
        <f>IFERROR(__xludf.DUMMYFUNCTION("""COMPUTED_VALUE"""),"นนทกานต์")</f>
        <v>นนทกานต์</v>
      </c>
      <c r="K479" s="1" t="str">
        <f>IFERROR(__xludf.DUMMYFUNCTION("""COMPUTED_VALUE"""),"พรมมา")</f>
        <v>พรมมา</v>
      </c>
      <c r="L479" s="1" t="str">
        <f>IFERROR(__xludf.DUMMYFUNCTION("""COMPUTED_VALUE"""),"ม.5")</f>
        <v>ม.5</v>
      </c>
      <c r="M479" s="1" t="str">
        <f>IFERROR(__xludf.DUMMYFUNCTION("""COMPUTED_VALUE"""),"สังคมศึกษา")</f>
        <v>สังคมศึกษา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>
        <f>IFERROR(__xludf.DUMMYFUNCTION("""COMPUTED_VALUE"""),8.0)</f>
        <v>8</v>
      </c>
      <c r="B480" s="1">
        <f>IFERROR(__xludf.DUMMYFUNCTION("""COMPUTED_VALUE"""),2.0)</f>
        <v>2</v>
      </c>
      <c r="C480" s="1" t="str">
        <f>IFERROR(__xludf.DUMMYFUNCTION("""COMPUTED_VALUE"""),"ส30247")</f>
        <v>ส30247</v>
      </c>
      <c r="D480" s="1" t="str">
        <f>IFERROR(__xludf.DUMMYFUNCTION("""COMPUTED_VALUE"""),"การป้องกันการทุจริต 1")</f>
        <v>การป้องกันการทุจริต 1</v>
      </c>
      <c r="E480" s="1">
        <f>IFERROR(__xludf.DUMMYFUNCTION("""COMPUTED_VALUE"""),0.5)</f>
        <v>0.5</v>
      </c>
      <c r="F480" s="1">
        <f>IFERROR(__xludf.DUMMYFUNCTION("""COMPUTED_VALUE"""),2569.0)</f>
        <v>2569</v>
      </c>
      <c r="G480" s="1">
        <f>IFERROR(__xludf.DUMMYFUNCTION("""COMPUTED_VALUE"""),1.0)</f>
        <v>1</v>
      </c>
      <c r="H480" s="1">
        <f>IFERROR(__xludf.DUMMYFUNCTION("""COMPUTED_VALUE"""),443.0)</f>
        <v>443</v>
      </c>
      <c r="I480" s="1" t="str">
        <f>IFERROR(__xludf.DUMMYFUNCTION("""COMPUTED_VALUE"""),"นาย")</f>
        <v>นาย</v>
      </c>
      <c r="J480" s="1" t="str">
        <f>IFERROR(__xludf.DUMMYFUNCTION("""COMPUTED_VALUE"""),"นนทกานต์")</f>
        <v>นนทกานต์</v>
      </c>
      <c r="K480" s="1" t="str">
        <f>IFERROR(__xludf.DUMMYFUNCTION("""COMPUTED_VALUE"""),"พรมมา")</f>
        <v>พรมมา</v>
      </c>
      <c r="L480" s="1" t="str">
        <f>IFERROR(__xludf.DUMMYFUNCTION("""COMPUTED_VALUE"""),"ม.4")</f>
        <v>ม.4</v>
      </c>
      <c r="M480" s="1" t="str">
        <f>IFERROR(__xludf.DUMMYFUNCTION("""COMPUTED_VALUE"""),"สังคมศึกษา")</f>
        <v>สังคมศึกษา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>
        <f>IFERROR(__xludf.DUMMYFUNCTION("""COMPUTED_VALUE"""),2.0)</f>
        <v>2</v>
      </c>
      <c r="B481" s="1">
        <f>IFERROR(__xludf.DUMMYFUNCTION("""COMPUTED_VALUE"""),1.0)</f>
        <v>1</v>
      </c>
      <c r="C481" s="1" t="str">
        <f>IFERROR(__xludf.DUMMYFUNCTION("""COMPUTED_VALUE"""),"ส31102")</f>
        <v>ส31102</v>
      </c>
      <c r="D481" s="1" t="str">
        <f>IFERROR(__xludf.DUMMYFUNCTION("""COMPUTED_VALUE"""),"ประวัติศาสตร์ 1")</f>
        <v>ประวัติศาสตร์ 1</v>
      </c>
      <c r="E481" s="1">
        <f>IFERROR(__xludf.DUMMYFUNCTION("""COMPUTED_VALUE"""),0.5)</f>
        <v>0.5</v>
      </c>
      <c r="F481" s="1">
        <f>IFERROR(__xludf.DUMMYFUNCTION("""COMPUTED_VALUE"""),2569.0)</f>
        <v>2569</v>
      </c>
      <c r="G481" s="1">
        <f>IFERROR(__xludf.DUMMYFUNCTION("""COMPUTED_VALUE"""),1.0)</f>
        <v>1</v>
      </c>
      <c r="H481" s="1">
        <f>IFERROR(__xludf.DUMMYFUNCTION("""COMPUTED_VALUE"""),443.0)</f>
        <v>443</v>
      </c>
      <c r="I481" s="1" t="str">
        <f>IFERROR(__xludf.DUMMYFUNCTION("""COMPUTED_VALUE"""),"นาย")</f>
        <v>นาย</v>
      </c>
      <c r="J481" s="1" t="str">
        <f>IFERROR(__xludf.DUMMYFUNCTION("""COMPUTED_VALUE"""),"นนทกานต์")</f>
        <v>นนทกานต์</v>
      </c>
      <c r="K481" s="1" t="str">
        <f>IFERROR(__xludf.DUMMYFUNCTION("""COMPUTED_VALUE"""),"พรมมา")</f>
        <v>พรมมา</v>
      </c>
      <c r="L481" s="1" t="str">
        <f>IFERROR(__xludf.DUMMYFUNCTION("""COMPUTED_VALUE"""),"ม.4")</f>
        <v>ม.4</v>
      </c>
      <c r="M481" s="1" t="str">
        <f>IFERROR(__xludf.DUMMYFUNCTION("""COMPUTED_VALUE"""),"สังคมศึกษา")</f>
        <v>สังคมศึกษา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>
        <f>IFERROR(__xludf.DUMMYFUNCTION("""COMPUTED_VALUE"""),4.0)</f>
        <v>4</v>
      </c>
      <c r="B482" s="1">
        <f>IFERROR(__xludf.DUMMYFUNCTION("""COMPUTED_VALUE"""),1.0)</f>
        <v>1</v>
      </c>
      <c r="C482" s="1" t="str">
        <f>IFERROR(__xludf.DUMMYFUNCTION("""COMPUTED_VALUE"""),"ส31102")</f>
        <v>ส31102</v>
      </c>
      <c r="D482" s="1" t="str">
        <f>IFERROR(__xludf.DUMMYFUNCTION("""COMPUTED_VALUE"""),"ประวัติศาสตร์ 1")</f>
        <v>ประวัติศาสตร์ 1</v>
      </c>
      <c r="E482" s="1">
        <f>IFERROR(__xludf.DUMMYFUNCTION("""COMPUTED_VALUE"""),0.5)</f>
        <v>0.5</v>
      </c>
      <c r="F482" s="1">
        <f>IFERROR(__xludf.DUMMYFUNCTION("""COMPUTED_VALUE"""),2569.0)</f>
        <v>2569</v>
      </c>
      <c r="G482" s="1">
        <f>IFERROR(__xludf.DUMMYFUNCTION("""COMPUTED_VALUE"""),1.0)</f>
        <v>1</v>
      </c>
      <c r="H482" s="1">
        <f>IFERROR(__xludf.DUMMYFUNCTION("""COMPUTED_VALUE"""),443.0)</f>
        <v>443</v>
      </c>
      <c r="I482" s="1" t="str">
        <f>IFERROR(__xludf.DUMMYFUNCTION("""COMPUTED_VALUE"""),"นาย")</f>
        <v>นาย</v>
      </c>
      <c r="J482" s="1" t="str">
        <f>IFERROR(__xludf.DUMMYFUNCTION("""COMPUTED_VALUE"""),"นนทกานต์")</f>
        <v>นนทกานต์</v>
      </c>
      <c r="K482" s="1" t="str">
        <f>IFERROR(__xludf.DUMMYFUNCTION("""COMPUTED_VALUE"""),"พรมมา")</f>
        <v>พรมมา</v>
      </c>
      <c r="L482" s="1" t="str">
        <f>IFERROR(__xludf.DUMMYFUNCTION("""COMPUTED_VALUE"""),"ม.4")</f>
        <v>ม.4</v>
      </c>
      <c r="M482" s="1" t="str">
        <f>IFERROR(__xludf.DUMMYFUNCTION("""COMPUTED_VALUE"""),"สังคมศึกษา")</f>
        <v>สังคมศึกษา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>
        <f>IFERROR(__xludf.DUMMYFUNCTION("""COMPUTED_VALUE"""),6.0)</f>
        <v>6</v>
      </c>
      <c r="B483" s="1">
        <f>IFERROR(__xludf.DUMMYFUNCTION("""COMPUTED_VALUE"""),1.0)</f>
        <v>1</v>
      </c>
      <c r="C483" s="1" t="str">
        <f>IFERROR(__xludf.DUMMYFUNCTION("""COMPUTED_VALUE"""),"ส31102")</f>
        <v>ส31102</v>
      </c>
      <c r="D483" s="1" t="str">
        <f>IFERROR(__xludf.DUMMYFUNCTION("""COMPUTED_VALUE"""),"ประวัติศาสตร์ 1")</f>
        <v>ประวัติศาสตร์ 1</v>
      </c>
      <c r="E483" s="1">
        <f>IFERROR(__xludf.DUMMYFUNCTION("""COMPUTED_VALUE"""),0.5)</f>
        <v>0.5</v>
      </c>
      <c r="F483" s="1">
        <f>IFERROR(__xludf.DUMMYFUNCTION("""COMPUTED_VALUE"""),2569.0)</f>
        <v>2569</v>
      </c>
      <c r="G483" s="1">
        <f>IFERROR(__xludf.DUMMYFUNCTION("""COMPUTED_VALUE"""),1.0)</f>
        <v>1</v>
      </c>
      <c r="H483" s="1">
        <f>IFERROR(__xludf.DUMMYFUNCTION("""COMPUTED_VALUE"""),443.0)</f>
        <v>443</v>
      </c>
      <c r="I483" s="1" t="str">
        <f>IFERROR(__xludf.DUMMYFUNCTION("""COMPUTED_VALUE"""),"นาย")</f>
        <v>นาย</v>
      </c>
      <c r="J483" s="1" t="str">
        <f>IFERROR(__xludf.DUMMYFUNCTION("""COMPUTED_VALUE"""),"นนทกานต์")</f>
        <v>นนทกานต์</v>
      </c>
      <c r="K483" s="1" t="str">
        <f>IFERROR(__xludf.DUMMYFUNCTION("""COMPUTED_VALUE"""),"พรมมา")</f>
        <v>พรมมา</v>
      </c>
      <c r="L483" s="1" t="str">
        <f>IFERROR(__xludf.DUMMYFUNCTION("""COMPUTED_VALUE"""),"ม.4")</f>
        <v>ม.4</v>
      </c>
      <c r="M483" s="1" t="str">
        <f>IFERROR(__xludf.DUMMYFUNCTION("""COMPUTED_VALUE"""),"สังคมศึกษา")</f>
        <v>สังคมศึกษา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>
        <f>IFERROR(__xludf.DUMMYFUNCTION("""COMPUTED_VALUE"""),8.0)</f>
        <v>8</v>
      </c>
      <c r="B484" s="1">
        <f>IFERROR(__xludf.DUMMYFUNCTION("""COMPUTED_VALUE"""),1.0)</f>
        <v>1</v>
      </c>
      <c r="C484" s="1" t="str">
        <f>IFERROR(__xludf.DUMMYFUNCTION("""COMPUTED_VALUE"""),"ส31102")</f>
        <v>ส31102</v>
      </c>
      <c r="D484" s="1" t="str">
        <f>IFERROR(__xludf.DUMMYFUNCTION("""COMPUTED_VALUE"""),"ประวัติศาสตร์ 1")</f>
        <v>ประวัติศาสตร์ 1</v>
      </c>
      <c r="E484" s="1">
        <f>IFERROR(__xludf.DUMMYFUNCTION("""COMPUTED_VALUE"""),0.5)</f>
        <v>0.5</v>
      </c>
      <c r="F484" s="1">
        <f>IFERROR(__xludf.DUMMYFUNCTION("""COMPUTED_VALUE"""),2569.0)</f>
        <v>2569</v>
      </c>
      <c r="G484" s="1">
        <f>IFERROR(__xludf.DUMMYFUNCTION("""COMPUTED_VALUE"""),1.0)</f>
        <v>1</v>
      </c>
      <c r="H484" s="1">
        <f>IFERROR(__xludf.DUMMYFUNCTION("""COMPUTED_VALUE"""),443.0)</f>
        <v>443</v>
      </c>
      <c r="I484" s="1" t="str">
        <f>IFERROR(__xludf.DUMMYFUNCTION("""COMPUTED_VALUE"""),"นาย")</f>
        <v>นาย</v>
      </c>
      <c r="J484" s="1" t="str">
        <f>IFERROR(__xludf.DUMMYFUNCTION("""COMPUTED_VALUE"""),"นนทกานต์")</f>
        <v>นนทกานต์</v>
      </c>
      <c r="K484" s="1" t="str">
        <f>IFERROR(__xludf.DUMMYFUNCTION("""COMPUTED_VALUE"""),"พรมมา")</f>
        <v>พรมมา</v>
      </c>
      <c r="L484" s="1" t="str">
        <f>IFERROR(__xludf.DUMMYFUNCTION("""COMPUTED_VALUE"""),"ม.4")</f>
        <v>ม.4</v>
      </c>
      <c r="M484" s="1" t="str">
        <f>IFERROR(__xludf.DUMMYFUNCTION("""COMPUTED_VALUE"""),"สังคมศึกษา")</f>
        <v>สังคมศึกษา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>
        <f>IFERROR(__xludf.DUMMYFUNCTION("""COMPUTED_VALUE"""),10.0)</f>
        <v>10</v>
      </c>
      <c r="B485" s="1">
        <f>IFERROR(__xludf.DUMMYFUNCTION("""COMPUTED_VALUE"""),1.0)</f>
        <v>1</v>
      </c>
      <c r="C485" s="1" t="str">
        <f>IFERROR(__xludf.DUMMYFUNCTION("""COMPUTED_VALUE"""),"ส31102")</f>
        <v>ส31102</v>
      </c>
      <c r="D485" s="1" t="str">
        <f>IFERROR(__xludf.DUMMYFUNCTION("""COMPUTED_VALUE"""),"ประวัติศาสตร์ 1")</f>
        <v>ประวัติศาสตร์ 1</v>
      </c>
      <c r="E485" s="1">
        <f>IFERROR(__xludf.DUMMYFUNCTION("""COMPUTED_VALUE"""),0.5)</f>
        <v>0.5</v>
      </c>
      <c r="F485" s="1">
        <f>IFERROR(__xludf.DUMMYFUNCTION("""COMPUTED_VALUE"""),2569.0)</f>
        <v>2569</v>
      </c>
      <c r="G485" s="1">
        <f>IFERROR(__xludf.DUMMYFUNCTION("""COMPUTED_VALUE"""),1.0)</f>
        <v>1</v>
      </c>
      <c r="H485" s="1">
        <f>IFERROR(__xludf.DUMMYFUNCTION("""COMPUTED_VALUE"""),443.0)</f>
        <v>443</v>
      </c>
      <c r="I485" s="1" t="str">
        <f>IFERROR(__xludf.DUMMYFUNCTION("""COMPUTED_VALUE"""),"นาย")</f>
        <v>นาย</v>
      </c>
      <c r="J485" s="1" t="str">
        <f>IFERROR(__xludf.DUMMYFUNCTION("""COMPUTED_VALUE"""),"นนทกานต์")</f>
        <v>นนทกานต์</v>
      </c>
      <c r="K485" s="1" t="str">
        <f>IFERROR(__xludf.DUMMYFUNCTION("""COMPUTED_VALUE"""),"พรมมา")</f>
        <v>พรมมา</v>
      </c>
      <c r="L485" s="1" t="str">
        <f>IFERROR(__xludf.DUMMYFUNCTION("""COMPUTED_VALUE"""),"ม.4")</f>
        <v>ม.4</v>
      </c>
      <c r="M485" s="1" t="str">
        <f>IFERROR(__xludf.DUMMYFUNCTION("""COMPUTED_VALUE"""),"สังคมศึกษา")</f>
        <v>สังคมศึกษา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>
        <f>IFERROR(__xludf.DUMMYFUNCTION("""COMPUTED_VALUE"""),11.0)</f>
        <v>11</v>
      </c>
      <c r="B486" s="1">
        <f>IFERROR(__xludf.DUMMYFUNCTION("""COMPUTED_VALUE"""),1.0)</f>
        <v>1</v>
      </c>
      <c r="C486" s="1" t="str">
        <f>IFERROR(__xludf.DUMMYFUNCTION("""COMPUTED_VALUE"""),"ส31102")</f>
        <v>ส31102</v>
      </c>
      <c r="D486" s="1" t="str">
        <f>IFERROR(__xludf.DUMMYFUNCTION("""COMPUTED_VALUE"""),"ประวัติศาสตร์ 1")</f>
        <v>ประวัติศาสตร์ 1</v>
      </c>
      <c r="E486" s="1">
        <f>IFERROR(__xludf.DUMMYFUNCTION("""COMPUTED_VALUE"""),0.5)</f>
        <v>0.5</v>
      </c>
      <c r="F486" s="1">
        <f>IFERROR(__xludf.DUMMYFUNCTION("""COMPUTED_VALUE"""),2569.0)</f>
        <v>2569</v>
      </c>
      <c r="G486" s="1">
        <f>IFERROR(__xludf.DUMMYFUNCTION("""COMPUTED_VALUE"""),1.0)</f>
        <v>1</v>
      </c>
      <c r="H486" s="1">
        <f>IFERROR(__xludf.DUMMYFUNCTION("""COMPUTED_VALUE"""),443.0)</f>
        <v>443</v>
      </c>
      <c r="I486" s="1" t="str">
        <f>IFERROR(__xludf.DUMMYFUNCTION("""COMPUTED_VALUE"""),"นาย")</f>
        <v>นาย</v>
      </c>
      <c r="J486" s="1" t="str">
        <f>IFERROR(__xludf.DUMMYFUNCTION("""COMPUTED_VALUE"""),"นนทกานต์")</f>
        <v>นนทกานต์</v>
      </c>
      <c r="K486" s="1" t="str">
        <f>IFERROR(__xludf.DUMMYFUNCTION("""COMPUTED_VALUE"""),"พรมมา")</f>
        <v>พรมมา</v>
      </c>
      <c r="L486" s="1" t="str">
        <f>IFERROR(__xludf.DUMMYFUNCTION("""COMPUTED_VALUE"""),"ม.4")</f>
        <v>ม.4</v>
      </c>
      <c r="M486" s="1" t="str">
        <f>IFERROR(__xludf.DUMMYFUNCTION("""COMPUTED_VALUE"""),"สังคมศึกษา")</f>
        <v>สังคมศึกษา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>
        <f>IFERROR(__xludf.DUMMYFUNCTION("""COMPUTED_VALUE"""),3.0)</f>
        <v>3</v>
      </c>
      <c r="B487" s="1">
        <f>IFERROR(__xludf.DUMMYFUNCTION("""COMPUTED_VALUE"""),1.0)</f>
        <v>1</v>
      </c>
      <c r="C487" s="1" t="str">
        <f>IFERROR(__xludf.DUMMYFUNCTION("""COMPUTED_VALUE"""),"ส32101")</f>
        <v>ส32101</v>
      </c>
      <c r="D487" s="1" t="str">
        <f>IFERROR(__xludf.DUMMYFUNCTION("""COMPUTED_VALUE"""),"สังคมศึกษาฯ 3")</f>
        <v>สังคมศึกษาฯ 3</v>
      </c>
      <c r="E487" s="1">
        <f>IFERROR(__xludf.DUMMYFUNCTION("""COMPUTED_VALUE"""),1.0)</f>
        <v>1</v>
      </c>
      <c r="F487" s="1">
        <f>IFERROR(__xludf.DUMMYFUNCTION("""COMPUTED_VALUE"""),2569.0)</f>
        <v>2569</v>
      </c>
      <c r="G487" s="1">
        <f>IFERROR(__xludf.DUMMYFUNCTION("""COMPUTED_VALUE"""),1.0)</f>
        <v>1</v>
      </c>
      <c r="H487" s="1">
        <f>IFERROR(__xludf.DUMMYFUNCTION("""COMPUTED_VALUE"""),443.0)</f>
        <v>443</v>
      </c>
      <c r="I487" s="1" t="str">
        <f>IFERROR(__xludf.DUMMYFUNCTION("""COMPUTED_VALUE"""),"นาย")</f>
        <v>นาย</v>
      </c>
      <c r="J487" s="1" t="str">
        <f>IFERROR(__xludf.DUMMYFUNCTION("""COMPUTED_VALUE"""),"นนทกานต์")</f>
        <v>นนทกานต์</v>
      </c>
      <c r="K487" s="1" t="str">
        <f>IFERROR(__xludf.DUMMYFUNCTION("""COMPUTED_VALUE"""),"พรมมา")</f>
        <v>พรมมา</v>
      </c>
      <c r="L487" s="1" t="str">
        <f>IFERROR(__xludf.DUMMYFUNCTION("""COMPUTED_VALUE"""),"ม.5")</f>
        <v>ม.5</v>
      </c>
      <c r="M487" s="1" t="str">
        <f>IFERROR(__xludf.DUMMYFUNCTION("""COMPUTED_VALUE"""),"สังคมศึกษา")</f>
        <v>สังคมศึกษา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>
        <f>IFERROR(__xludf.DUMMYFUNCTION("""COMPUTED_VALUE"""),5.0)</f>
        <v>5</v>
      </c>
      <c r="B488" s="1">
        <f>IFERROR(__xludf.DUMMYFUNCTION("""COMPUTED_VALUE"""),1.0)</f>
        <v>1</v>
      </c>
      <c r="C488" s="1" t="str">
        <f>IFERROR(__xludf.DUMMYFUNCTION("""COMPUTED_VALUE"""),"ส32101")</f>
        <v>ส32101</v>
      </c>
      <c r="D488" s="1" t="str">
        <f>IFERROR(__xludf.DUMMYFUNCTION("""COMPUTED_VALUE"""),"สังคมศึกษาฯ 3")</f>
        <v>สังคมศึกษาฯ 3</v>
      </c>
      <c r="E488" s="1">
        <f>IFERROR(__xludf.DUMMYFUNCTION("""COMPUTED_VALUE"""),1.0)</f>
        <v>1</v>
      </c>
      <c r="F488" s="1">
        <f>IFERROR(__xludf.DUMMYFUNCTION("""COMPUTED_VALUE"""),2569.0)</f>
        <v>2569</v>
      </c>
      <c r="G488" s="1">
        <f>IFERROR(__xludf.DUMMYFUNCTION("""COMPUTED_VALUE"""),1.0)</f>
        <v>1</v>
      </c>
      <c r="H488" s="1">
        <f>IFERROR(__xludf.DUMMYFUNCTION("""COMPUTED_VALUE"""),443.0)</f>
        <v>443</v>
      </c>
      <c r="I488" s="1" t="str">
        <f>IFERROR(__xludf.DUMMYFUNCTION("""COMPUTED_VALUE"""),"นาย")</f>
        <v>นาย</v>
      </c>
      <c r="J488" s="1" t="str">
        <f>IFERROR(__xludf.DUMMYFUNCTION("""COMPUTED_VALUE"""),"นนทกานต์")</f>
        <v>นนทกานต์</v>
      </c>
      <c r="K488" s="1" t="str">
        <f>IFERROR(__xludf.DUMMYFUNCTION("""COMPUTED_VALUE"""),"พรมมา")</f>
        <v>พรมมา</v>
      </c>
      <c r="L488" s="1" t="str">
        <f>IFERROR(__xludf.DUMMYFUNCTION("""COMPUTED_VALUE"""),"ม.5")</f>
        <v>ม.5</v>
      </c>
      <c r="M488" s="1" t="str">
        <f>IFERROR(__xludf.DUMMYFUNCTION("""COMPUTED_VALUE"""),"สังคมศึกษา")</f>
        <v>สังคมศึกษา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>
        <f>IFERROR(__xludf.DUMMYFUNCTION("""COMPUTED_VALUE"""),7.0)</f>
        <v>7</v>
      </c>
      <c r="B489" s="1">
        <f>IFERROR(__xludf.DUMMYFUNCTION("""COMPUTED_VALUE"""),1.0)</f>
        <v>1</v>
      </c>
      <c r="C489" s="1" t="str">
        <f>IFERROR(__xludf.DUMMYFUNCTION("""COMPUTED_VALUE"""),"ส32101")</f>
        <v>ส32101</v>
      </c>
      <c r="D489" s="1" t="str">
        <f>IFERROR(__xludf.DUMMYFUNCTION("""COMPUTED_VALUE"""),"สังคมศึกษาฯ 3")</f>
        <v>สังคมศึกษาฯ 3</v>
      </c>
      <c r="E489" s="1">
        <f>IFERROR(__xludf.DUMMYFUNCTION("""COMPUTED_VALUE"""),1.0)</f>
        <v>1</v>
      </c>
      <c r="F489" s="1">
        <f>IFERROR(__xludf.DUMMYFUNCTION("""COMPUTED_VALUE"""),2569.0)</f>
        <v>2569</v>
      </c>
      <c r="G489" s="1">
        <f>IFERROR(__xludf.DUMMYFUNCTION("""COMPUTED_VALUE"""),1.0)</f>
        <v>1</v>
      </c>
      <c r="H489" s="1">
        <f>IFERROR(__xludf.DUMMYFUNCTION("""COMPUTED_VALUE"""),443.0)</f>
        <v>443</v>
      </c>
      <c r="I489" s="1" t="str">
        <f>IFERROR(__xludf.DUMMYFUNCTION("""COMPUTED_VALUE"""),"นาย")</f>
        <v>นาย</v>
      </c>
      <c r="J489" s="1" t="str">
        <f>IFERROR(__xludf.DUMMYFUNCTION("""COMPUTED_VALUE"""),"นนทกานต์")</f>
        <v>นนทกานต์</v>
      </c>
      <c r="K489" s="1" t="str">
        <f>IFERROR(__xludf.DUMMYFUNCTION("""COMPUTED_VALUE"""),"พรมมา")</f>
        <v>พรมมา</v>
      </c>
      <c r="L489" s="1" t="str">
        <f>IFERROR(__xludf.DUMMYFUNCTION("""COMPUTED_VALUE"""),"ม.5")</f>
        <v>ม.5</v>
      </c>
      <c r="M489" s="1" t="str">
        <f>IFERROR(__xludf.DUMMYFUNCTION("""COMPUTED_VALUE"""),"สังคมศึกษา")</f>
        <v>สังคมศึกษา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>
        <f>IFERROR(__xludf.DUMMYFUNCTION("""COMPUTED_VALUE"""),11.0)</f>
        <v>11</v>
      </c>
      <c r="B490" s="1">
        <f>IFERROR(__xludf.DUMMYFUNCTION("""COMPUTED_VALUE"""),1.0)</f>
        <v>1</v>
      </c>
      <c r="C490" s="1" t="str">
        <f>IFERROR(__xludf.DUMMYFUNCTION("""COMPUTED_VALUE"""),"ส32101")</f>
        <v>ส32101</v>
      </c>
      <c r="D490" s="1" t="str">
        <f>IFERROR(__xludf.DUMMYFUNCTION("""COMPUTED_VALUE"""),"สังคมศึกษาฯ 3")</f>
        <v>สังคมศึกษาฯ 3</v>
      </c>
      <c r="E490" s="1">
        <f>IFERROR(__xludf.DUMMYFUNCTION("""COMPUTED_VALUE"""),1.0)</f>
        <v>1</v>
      </c>
      <c r="F490" s="1">
        <f>IFERROR(__xludf.DUMMYFUNCTION("""COMPUTED_VALUE"""),2569.0)</f>
        <v>2569</v>
      </c>
      <c r="G490" s="1">
        <f>IFERROR(__xludf.DUMMYFUNCTION("""COMPUTED_VALUE"""),1.0)</f>
        <v>1</v>
      </c>
      <c r="H490" s="1">
        <f>IFERROR(__xludf.DUMMYFUNCTION("""COMPUTED_VALUE"""),443.0)</f>
        <v>443</v>
      </c>
      <c r="I490" s="1" t="str">
        <f>IFERROR(__xludf.DUMMYFUNCTION("""COMPUTED_VALUE"""),"นาย")</f>
        <v>นาย</v>
      </c>
      <c r="J490" s="1" t="str">
        <f>IFERROR(__xludf.DUMMYFUNCTION("""COMPUTED_VALUE"""),"นนทกานต์")</f>
        <v>นนทกานต์</v>
      </c>
      <c r="K490" s="1" t="str">
        <f>IFERROR(__xludf.DUMMYFUNCTION("""COMPUTED_VALUE"""),"พรมมา")</f>
        <v>พรมมา</v>
      </c>
      <c r="L490" s="1" t="str">
        <f>IFERROR(__xludf.DUMMYFUNCTION("""COMPUTED_VALUE"""),"ม.5")</f>
        <v>ม.5</v>
      </c>
      <c r="M490" s="1" t="str">
        <f>IFERROR(__xludf.DUMMYFUNCTION("""COMPUTED_VALUE"""),"สังคมศึกษา")</f>
        <v>สังคมศึกษา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>
        <f>IFERROR(__xludf.DUMMYFUNCTION("""COMPUTED_VALUE"""),6.0)</f>
        <v>6</v>
      </c>
      <c r="B491" s="1">
        <f>IFERROR(__xludf.DUMMYFUNCTION("""COMPUTED_VALUE"""),1.0)</f>
        <v>1</v>
      </c>
      <c r="C491" s="1" t="str">
        <f>IFERROR(__xludf.DUMMYFUNCTION("""COMPUTED_VALUE"""),"ส20225")</f>
        <v>ส20225</v>
      </c>
      <c r="D491" s="1" t="str">
        <f>IFERROR(__xludf.DUMMYFUNCTION("""COMPUTED_VALUE"""),"การป้องกันการทุจริต 3")</f>
        <v>การป้องกันการทุจริต 3</v>
      </c>
      <c r="E491" s="1">
        <f>IFERROR(__xludf.DUMMYFUNCTION("""COMPUTED_VALUE"""),0.5)</f>
        <v>0.5</v>
      </c>
      <c r="F491" s="1">
        <f>IFERROR(__xludf.DUMMYFUNCTION("""COMPUTED_VALUE"""),2569.0)</f>
        <v>2569</v>
      </c>
      <c r="G491" s="1">
        <f>IFERROR(__xludf.DUMMYFUNCTION("""COMPUTED_VALUE"""),1.0)</f>
        <v>1</v>
      </c>
      <c r="H491" s="1">
        <f>IFERROR(__xludf.DUMMYFUNCTION("""COMPUTED_VALUE"""),444.0)</f>
        <v>444</v>
      </c>
      <c r="I491" s="1" t="str">
        <f>IFERROR(__xludf.DUMMYFUNCTION("""COMPUTED_VALUE"""),"นาย")</f>
        <v>นาย</v>
      </c>
      <c r="J491" s="1" t="str">
        <f>IFERROR(__xludf.DUMMYFUNCTION("""COMPUTED_VALUE"""),"พีรวัฒน์")</f>
        <v>พีรวัฒน์</v>
      </c>
      <c r="K491" s="1" t="str">
        <f>IFERROR(__xludf.DUMMYFUNCTION("""COMPUTED_VALUE"""),"แสงเงิน")</f>
        <v>แสงเงิน</v>
      </c>
      <c r="L491" s="1" t="str">
        <f>IFERROR(__xludf.DUMMYFUNCTION("""COMPUTED_VALUE"""),"ม.2")</f>
        <v>ม.2</v>
      </c>
      <c r="M491" s="1" t="str">
        <f>IFERROR(__xludf.DUMMYFUNCTION("""COMPUTED_VALUE"""),"สังคมศึกษา")</f>
        <v>สังคมศึกษา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>
        <f>IFERROR(__xludf.DUMMYFUNCTION("""COMPUTED_VALUE"""),10.0)</f>
        <v>10</v>
      </c>
      <c r="B492" s="1">
        <f>IFERROR(__xludf.DUMMYFUNCTION("""COMPUTED_VALUE"""),1.0)</f>
        <v>1</v>
      </c>
      <c r="C492" s="1" t="str">
        <f>IFERROR(__xludf.DUMMYFUNCTION("""COMPUTED_VALUE"""),"ส30255")</f>
        <v>ส30255</v>
      </c>
      <c r="D492" s="1" t="str">
        <f>IFERROR(__xludf.DUMMYFUNCTION("""COMPUTED_VALUE"""),"แนวคิดทางการเมืองเบื้องต้น")</f>
        <v>แนวคิดทางการเมืองเบื้องต้น</v>
      </c>
      <c r="E492" s="1">
        <f>IFERROR(__xludf.DUMMYFUNCTION("""COMPUTED_VALUE"""),1.0)</f>
        <v>1</v>
      </c>
      <c r="F492" s="1">
        <f>IFERROR(__xludf.DUMMYFUNCTION("""COMPUTED_VALUE"""),2569.0)</f>
        <v>2569</v>
      </c>
      <c r="G492" s="1">
        <f>IFERROR(__xludf.DUMMYFUNCTION("""COMPUTED_VALUE"""),1.0)</f>
        <v>1</v>
      </c>
      <c r="H492" s="1">
        <f>IFERROR(__xludf.DUMMYFUNCTION("""COMPUTED_VALUE"""),444.0)</f>
        <v>444</v>
      </c>
      <c r="I492" s="1" t="str">
        <f>IFERROR(__xludf.DUMMYFUNCTION("""COMPUTED_VALUE"""),"นาย")</f>
        <v>นาย</v>
      </c>
      <c r="J492" s="1" t="str">
        <f>IFERROR(__xludf.DUMMYFUNCTION("""COMPUTED_VALUE"""),"พีรวัฒน์")</f>
        <v>พีรวัฒน์</v>
      </c>
      <c r="K492" s="1" t="str">
        <f>IFERROR(__xludf.DUMMYFUNCTION("""COMPUTED_VALUE"""),"แสงเงิน")</f>
        <v>แสงเงิน</v>
      </c>
      <c r="L492" s="1" t="str">
        <f>IFERROR(__xludf.DUMMYFUNCTION("""COMPUTED_VALUE"""),"ม.4")</f>
        <v>ม.4</v>
      </c>
      <c r="M492" s="1" t="str">
        <f>IFERROR(__xludf.DUMMYFUNCTION("""COMPUTED_VALUE"""),"สังคมศึกษา")</f>
        <v>สังคมศึกษา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>
        <f>IFERROR(__xludf.DUMMYFUNCTION("""COMPUTED_VALUE"""),3.0)</f>
        <v>3</v>
      </c>
      <c r="B493" s="1">
        <f>IFERROR(__xludf.DUMMYFUNCTION("""COMPUTED_VALUE"""),1.0)</f>
        <v>1</v>
      </c>
      <c r="C493" s="1" t="str">
        <f>IFERROR(__xludf.DUMMYFUNCTION("""COMPUTED_VALUE"""),"ส31101")</f>
        <v>ส31101</v>
      </c>
      <c r="D493" s="1" t="str">
        <f>IFERROR(__xludf.DUMMYFUNCTION("""COMPUTED_VALUE"""),"สังคมศึกษาฯ1")</f>
        <v>สังคมศึกษาฯ1</v>
      </c>
      <c r="E493" s="1">
        <f>IFERROR(__xludf.DUMMYFUNCTION("""COMPUTED_VALUE"""),1.0)</f>
        <v>1</v>
      </c>
      <c r="F493" s="1">
        <f>IFERROR(__xludf.DUMMYFUNCTION("""COMPUTED_VALUE"""),2569.0)</f>
        <v>2569</v>
      </c>
      <c r="G493" s="1">
        <f>IFERROR(__xludf.DUMMYFUNCTION("""COMPUTED_VALUE"""),1.0)</f>
        <v>1</v>
      </c>
      <c r="H493" s="1">
        <f>IFERROR(__xludf.DUMMYFUNCTION("""COMPUTED_VALUE"""),444.0)</f>
        <v>444</v>
      </c>
      <c r="I493" s="1" t="str">
        <f>IFERROR(__xludf.DUMMYFUNCTION("""COMPUTED_VALUE"""),"นาย")</f>
        <v>นาย</v>
      </c>
      <c r="J493" s="1" t="str">
        <f>IFERROR(__xludf.DUMMYFUNCTION("""COMPUTED_VALUE"""),"พีรวัฒน์")</f>
        <v>พีรวัฒน์</v>
      </c>
      <c r="K493" s="1" t="str">
        <f>IFERROR(__xludf.DUMMYFUNCTION("""COMPUTED_VALUE"""),"แสงเงิน")</f>
        <v>แสงเงิน</v>
      </c>
      <c r="L493" s="1" t="str">
        <f>IFERROR(__xludf.DUMMYFUNCTION("""COMPUTED_VALUE"""),"ม.4")</f>
        <v>ม.4</v>
      </c>
      <c r="M493" s="1" t="str">
        <f>IFERROR(__xludf.DUMMYFUNCTION("""COMPUTED_VALUE"""),"สังคมศึกษา")</f>
        <v>สังคมศึกษา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>
        <f>IFERROR(__xludf.DUMMYFUNCTION("""COMPUTED_VALUE"""),7.0)</f>
        <v>7</v>
      </c>
      <c r="B494" s="1">
        <f>IFERROR(__xludf.DUMMYFUNCTION("""COMPUTED_VALUE"""),1.0)</f>
        <v>1</v>
      </c>
      <c r="C494" s="1" t="str">
        <f>IFERROR(__xludf.DUMMYFUNCTION("""COMPUTED_VALUE"""),"ส31101")</f>
        <v>ส31101</v>
      </c>
      <c r="D494" s="1" t="str">
        <f>IFERROR(__xludf.DUMMYFUNCTION("""COMPUTED_VALUE"""),"สังคมศึกษาฯ1")</f>
        <v>สังคมศึกษาฯ1</v>
      </c>
      <c r="E494" s="1">
        <f>IFERROR(__xludf.DUMMYFUNCTION("""COMPUTED_VALUE"""),1.0)</f>
        <v>1</v>
      </c>
      <c r="F494" s="1">
        <f>IFERROR(__xludf.DUMMYFUNCTION("""COMPUTED_VALUE"""),2569.0)</f>
        <v>2569</v>
      </c>
      <c r="G494" s="1">
        <f>IFERROR(__xludf.DUMMYFUNCTION("""COMPUTED_VALUE"""),1.0)</f>
        <v>1</v>
      </c>
      <c r="H494" s="1">
        <f>IFERROR(__xludf.DUMMYFUNCTION("""COMPUTED_VALUE"""),444.0)</f>
        <v>444</v>
      </c>
      <c r="I494" s="1" t="str">
        <f>IFERROR(__xludf.DUMMYFUNCTION("""COMPUTED_VALUE"""),"นาย")</f>
        <v>นาย</v>
      </c>
      <c r="J494" s="1" t="str">
        <f>IFERROR(__xludf.DUMMYFUNCTION("""COMPUTED_VALUE"""),"พีรวัฒน์")</f>
        <v>พีรวัฒน์</v>
      </c>
      <c r="K494" s="1" t="str">
        <f>IFERROR(__xludf.DUMMYFUNCTION("""COMPUTED_VALUE"""),"แสงเงิน")</f>
        <v>แสงเงิน</v>
      </c>
      <c r="L494" s="1" t="str">
        <f>IFERROR(__xludf.DUMMYFUNCTION("""COMPUTED_VALUE"""),"ม.4")</f>
        <v>ม.4</v>
      </c>
      <c r="M494" s="1" t="str">
        <f>IFERROR(__xludf.DUMMYFUNCTION("""COMPUTED_VALUE"""),"สังคมศึกษา")</f>
        <v>สังคมศึกษา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>
        <f>IFERROR(__xludf.DUMMYFUNCTION("""COMPUTED_VALUE"""),11.0)</f>
        <v>11</v>
      </c>
      <c r="B495" s="1">
        <f>IFERROR(__xludf.DUMMYFUNCTION("""COMPUTED_VALUE"""),1.0)</f>
        <v>1</v>
      </c>
      <c r="C495" s="1" t="str">
        <f>IFERROR(__xludf.DUMMYFUNCTION("""COMPUTED_VALUE"""),"ส31101")</f>
        <v>ส31101</v>
      </c>
      <c r="D495" s="1" t="str">
        <f>IFERROR(__xludf.DUMMYFUNCTION("""COMPUTED_VALUE"""),"สังคมศึกษาฯ1")</f>
        <v>สังคมศึกษาฯ1</v>
      </c>
      <c r="E495" s="1">
        <f>IFERROR(__xludf.DUMMYFUNCTION("""COMPUTED_VALUE"""),1.0)</f>
        <v>1</v>
      </c>
      <c r="F495" s="1">
        <f>IFERROR(__xludf.DUMMYFUNCTION("""COMPUTED_VALUE"""),2569.0)</f>
        <v>2569</v>
      </c>
      <c r="G495" s="1">
        <f>IFERROR(__xludf.DUMMYFUNCTION("""COMPUTED_VALUE"""),1.0)</f>
        <v>1</v>
      </c>
      <c r="H495" s="1">
        <f>IFERROR(__xludf.DUMMYFUNCTION("""COMPUTED_VALUE"""),444.0)</f>
        <v>444</v>
      </c>
      <c r="I495" s="1" t="str">
        <f>IFERROR(__xludf.DUMMYFUNCTION("""COMPUTED_VALUE"""),"นาย")</f>
        <v>นาย</v>
      </c>
      <c r="J495" s="1" t="str">
        <f>IFERROR(__xludf.DUMMYFUNCTION("""COMPUTED_VALUE"""),"พีรวัฒน์")</f>
        <v>พีรวัฒน์</v>
      </c>
      <c r="K495" s="1" t="str">
        <f>IFERROR(__xludf.DUMMYFUNCTION("""COMPUTED_VALUE"""),"แสงเงิน")</f>
        <v>แสงเงิน</v>
      </c>
      <c r="L495" s="1" t="str">
        <f>IFERROR(__xludf.DUMMYFUNCTION("""COMPUTED_VALUE"""),"ม.4")</f>
        <v>ม.4</v>
      </c>
      <c r="M495" s="1" t="str">
        <f>IFERROR(__xludf.DUMMYFUNCTION("""COMPUTED_VALUE"""),"สังคมศึกษา")</f>
        <v>สังคมศึกษา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>
        <f>IFERROR(__xludf.DUMMYFUNCTION("""COMPUTED_VALUE"""),9.0)</f>
        <v>9</v>
      </c>
      <c r="B496" s="1">
        <f>IFERROR(__xludf.DUMMYFUNCTION("""COMPUTED_VALUE"""),1.0)</f>
        <v>1</v>
      </c>
      <c r="C496" s="1" t="str">
        <f>IFERROR(__xludf.DUMMYFUNCTION("""COMPUTED_VALUE"""),"ส32201")</f>
        <v>ส32201</v>
      </c>
      <c r="D496" s="1" t="str">
        <f>IFERROR(__xludf.DUMMYFUNCTION("""COMPUTED_VALUE"""),"ท้องถิ่นของเรา")</f>
        <v>ท้องถิ่นของเรา</v>
      </c>
      <c r="E496" s="1">
        <f>IFERROR(__xludf.DUMMYFUNCTION("""COMPUTED_VALUE"""),1.0)</f>
        <v>1</v>
      </c>
      <c r="F496" s="1">
        <f>IFERROR(__xludf.DUMMYFUNCTION("""COMPUTED_VALUE"""),2569.0)</f>
        <v>2569</v>
      </c>
      <c r="G496" s="1">
        <f>IFERROR(__xludf.DUMMYFUNCTION("""COMPUTED_VALUE"""),1.0)</f>
        <v>1</v>
      </c>
      <c r="H496" s="1">
        <f>IFERROR(__xludf.DUMMYFUNCTION("""COMPUTED_VALUE"""),444.0)</f>
        <v>444</v>
      </c>
      <c r="I496" s="1" t="str">
        <f>IFERROR(__xludf.DUMMYFUNCTION("""COMPUTED_VALUE"""),"นาย")</f>
        <v>นาย</v>
      </c>
      <c r="J496" s="1" t="str">
        <f>IFERROR(__xludf.DUMMYFUNCTION("""COMPUTED_VALUE"""),"พีรวัฒน์")</f>
        <v>พีรวัฒน์</v>
      </c>
      <c r="K496" s="1" t="str">
        <f>IFERROR(__xludf.DUMMYFUNCTION("""COMPUTED_VALUE"""),"แสงเงิน")</f>
        <v>แสงเงิน</v>
      </c>
      <c r="L496" s="1" t="str">
        <f>IFERROR(__xludf.DUMMYFUNCTION("""COMPUTED_VALUE"""),"ม.5")</f>
        <v>ม.5</v>
      </c>
      <c r="M496" s="1" t="str">
        <f>IFERROR(__xludf.DUMMYFUNCTION("""COMPUTED_VALUE"""),"สังคมศึกษา")</f>
        <v>สังคมศึกษา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>
        <f>IFERROR(__xludf.DUMMYFUNCTION("""COMPUTED_VALUE"""),8.0)</f>
        <v>8</v>
      </c>
      <c r="B497" s="1">
        <f>IFERROR(__xludf.DUMMYFUNCTION("""COMPUTED_VALUE"""),1.0)</f>
        <v>1</v>
      </c>
      <c r="C497" s="1" t="str">
        <f>IFERROR(__xludf.DUMMYFUNCTION("""COMPUTED_VALUE"""),"ส32202")</f>
        <v>ส32202</v>
      </c>
      <c r="D497" s="1" t="str">
        <f>IFERROR(__xludf.DUMMYFUNCTION("""COMPUTED_VALUE"""),"การปกครองของไทย")</f>
        <v>การปกครองของไทย</v>
      </c>
      <c r="E497" s="1">
        <f>IFERROR(__xludf.DUMMYFUNCTION("""COMPUTED_VALUE"""),1.0)</f>
        <v>1</v>
      </c>
      <c r="F497" s="1">
        <f>IFERROR(__xludf.DUMMYFUNCTION("""COMPUTED_VALUE"""),2569.0)</f>
        <v>2569</v>
      </c>
      <c r="G497" s="1">
        <f>IFERROR(__xludf.DUMMYFUNCTION("""COMPUTED_VALUE"""),1.0)</f>
        <v>1</v>
      </c>
      <c r="H497" s="1">
        <f>IFERROR(__xludf.DUMMYFUNCTION("""COMPUTED_VALUE"""),444.0)</f>
        <v>444</v>
      </c>
      <c r="I497" s="1" t="str">
        <f>IFERROR(__xludf.DUMMYFUNCTION("""COMPUTED_VALUE"""),"นาย")</f>
        <v>นาย</v>
      </c>
      <c r="J497" s="1" t="str">
        <f>IFERROR(__xludf.DUMMYFUNCTION("""COMPUTED_VALUE"""),"พีรวัฒน์")</f>
        <v>พีรวัฒน์</v>
      </c>
      <c r="K497" s="1" t="str">
        <f>IFERROR(__xludf.DUMMYFUNCTION("""COMPUTED_VALUE"""),"แสงเงิน")</f>
        <v>แสงเงิน</v>
      </c>
      <c r="L497" s="1" t="str">
        <f>IFERROR(__xludf.DUMMYFUNCTION("""COMPUTED_VALUE"""),"ม.5")</f>
        <v>ม.5</v>
      </c>
      <c r="M497" s="1" t="str">
        <f>IFERROR(__xludf.DUMMYFUNCTION("""COMPUTED_VALUE"""),"สังคมศึกษา")</f>
        <v>สังคมศึกษา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>
        <f>IFERROR(__xludf.DUMMYFUNCTION("""COMPUTED_VALUE"""),9.0)</f>
        <v>9</v>
      </c>
      <c r="B498" s="1">
        <f>IFERROR(__xludf.DUMMYFUNCTION("""COMPUTED_VALUE"""),1.0)</f>
        <v>1</v>
      </c>
      <c r="C498" s="1" t="str">
        <f>IFERROR(__xludf.DUMMYFUNCTION("""COMPUTED_VALUE"""),"ส32202")</f>
        <v>ส32202</v>
      </c>
      <c r="D498" s="1" t="str">
        <f>IFERROR(__xludf.DUMMYFUNCTION("""COMPUTED_VALUE"""),"การปกครองของไทย")</f>
        <v>การปกครองของไทย</v>
      </c>
      <c r="E498" s="1">
        <f>IFERROR(__xludf.DUMMYFUNCTION("""COMPUTED_VALUE"""),1.0)</f>
        <v>1</v>
      </c>
      <c r="F498" s="1">
        <f>IFERROR(__xludf.DUMMYFUNCTION("""COMPUTED_VALUE"""),2569.0)</f>
        <v>2569</v>
      </c>
      <c r="G498" s="1">
        <f>IFERROR(__xludf.DUMMYFUNCTION("""COMPUTED_VALUE"""),1.0)</f>
        <v>1</v>
      </c>
      <c r="H498" s="1">
        <f>IFERROR(__xludf.DUMMYFUNCTION("""COMPUTED_VALUE"""),444.0)</f>
        <v>444</v>
      </c>
      <c r="I498" s="1" t="str">
        <f>IFERROR(__xludf.DUMMYFUNCTION("""COMPUTED_VALUE"""),"นาย")</f>
        <v>นาย</v>
      </c>
      <c r="J498" s="1" t="str">
        <f>IFERROR(__xludf.DUMMYFUNCTION("""COMPUTED_VALUE"""),"พีรวัฒน์")</f>
        <v>พีรวัฒน์</v>
      </c>
      <c r="K498" s="1" t="str">
        <f>IFERROR(__xludf.DUMMYFUNCTION("""COMPUTED_VALUE"""),"แสงเงิน")</f>
        <v>แสงเงิน</v>
      </c>
      <c r="L498" s="1" t="str">
        <f>IFERROR(__xludf.DUMMYFUNCTION("""COMPUTED_VALUE"""),"ม.5")</f>
        <v>ม.5</v>
      </c>
      <c r="M498" s="1" t="str">
        <f>IFERROR(__xludf.DUMMYFUNCTION("""COMPUTED_VALUE"""),"สังคมศึกษา")</f>
        <v>สังคมศึกษา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>
        <f>IFERROR(__xludf.DUMMYFUNCTION("""COMPUTED_VALUE"""),10.0)</f>
        <v>10</v>
      </c>
      <c r="B499" s="1">
        <f>IFERROR(__xludf.DUMMYFUNCTION("""COMPUTED_VALUE"""),1.0)</f>
        <v>1</v>
      </c>
      <c r="C499" s="1" t="str">
        <f>IFERROR(__xludf.DUMMYFUNCTION("""COMPUTED_VALUE"""),"ส32202")</f>
        <v>ส32202</v>
      </c>
      <c r="D499" s="1" t="str">
        <f>IFERROR(__xludf.DUMMYFUNCTION("""COMPUTED_VALUE"""),"การปกครองของไทย")</f>
        <v>การปกครองของไทย</v>
      </c>
      <c r="E499" s="1">
        <f>IFERROR(__xludf.DUMMYFUNCTION("""COMPUTED_VALUE"""),1.0)</f>
        <v>1</v>
      </c>
      <c r="F499" s="1">
        <f>IFERROR(__xludf.DUMMYFUNCTION("""COMPUTED_VALUE"""),2569.0)</f>
        <v>2569</v>
      </c>
      <c r="G499" s="1">
        <f>IFERROR(__xludf.DUMMYFUNCTION("""COMPUTED_VALUE"""),1.0)</f>
        <v>1</v>
      </c>
      <c r="H499" s="1">
        <f>IFERROR(__xludf.DUMMYFUNCTION("""COMPUTED_VALUE"""),444.0)</f>
        <v>444</v>
      </c>
      <c r="I499" s="1" t="str">
        <f>IFERROR(__xludf.DUMMYFUNCTION("""COMPUTED_VALUE"""),"นาย")</f>
        <v>นาย</v>
      </c>
      <c r="J499" s="1" t="str">
        <f>IFERROR(__xludf.DUMMYFUNCTION("""COMPUTED_VALUE"""),"พีรวัฒน์")</f>
        <v>พีรวัฒน์</v>
      </c>
      <c r="K499" s="1" t="str">
        <f>IFERROR(__xludf.DUMMYFUNCTION("""COMPUTED_VALUE"""),"แสงเงิน")</f>
        <v>แสงเงิน</v>
      </c>
      <c r="L499" s="1" t="str">
        <f>IFERROR(__xludf.DUMMYFUNCTION("""COMPUTED_VALUE"""),"ม.5")</f>
        <v>ม.5</v>
      </c>
      <c r="M499" s="1" t="str">
        <f>IFERROR(__xludf.DUMMYFUNCTION("""COMPUTED_VALUE"""),"สังคมศึกษา")</f>
        <v>สังคมศึกษา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>
        <f>IFERROR(__xludf.DUMMYFUNCTION("""COMPUTED_VALUE"""),4.0)</f>
        <v>4</v>
      </c>
      <c r="B500" s="1">
        <f>IFERROR(__xludf.DUMMYFUNCTION("""COMPUTED_VALUE"""),1.0)</f>
        <v>1</v>
      </c>
      <c r="C500" s="1" t="str">
        <f>IFERROR(__xludf.DUMMYFUNCTION("""COMPUTED_VALUE"""),"ส22102")</f>
        <v>ส22102</v>
      </c>
      <c r="D500" s="1" t="str">
        <f>IFERROR(__xludf.DUMMYFUNCTION("""COMPUTED_VALUE"""),"ประวัติศาสตร์ 3")</f>
        <v>ประวัติศาสตร์ 3</v>
      </c>
      <c r="E500" s="1">
        <f>IFERROR(__xludf.DUMMYFUNCTION("""COMPUTED_VALUE"""),0.5)</f>
        <v>0.5</v>
      </c>
      <c r="F500" s="1">
        <f>IFERROR(__xludf.DUMMYFUNCTION("""COMPUTED_VALUE"""),2569.0)</f>
        <v>2569</v>
      </c>
      <c r="G500" s="1">
        <f>IFERROR(__xludf.DUMMYFUNCTION("""COMPUTED_VALUE"""),1.0)</f>
        <v>1</v>
      </c>
      <c r="H500" s="1">
        <f>IFERROR(__xludf.DUMMYFUNCTION("""COMPUTED_VALUE"""),445.0)</f>
        <v>445</v>
      </c>
      <c r="I500" s="1" t="str">
        <f>IFERROR(__xludf.DUMMYFUNCTION("""COMPUTED_VALUE"""),"นางสาว")</f>
        <v>นางสาว</v>
      </c>
      <c r="J500" s="1" t="str">
        <f>IFERROR(__xludf.DUMMYFUNCTION("""COMPUTED_VALUE"""),"ชนาภา")</f>
        <v>ชนาภา</v>
      </c>
      <c r="K500" s="1" t="str">
        <f>IFERROR(__xludf.DUMMYFUNCTION("""COMPUTED_VALUE"""),"อุบลวัตร์")</f>
        <v>อุบลวัตร์</v>
      </c>
      <c r="L500" s="1" t="str">
        <f>IFERROR(__xludf.DUMMYFUNCTION("""COMPUTED_VALUE"""),"ม.2")</f>
        <v>ม.2</v>
      </c>
      <c r="M500" s="1" t="str">
        <f>IFERROR(__xludf.DUMMYFUNCTION("""COMPUTED_VALUE"""),"สังคมศึกษา")</f>
        <v>สังคมศึกษา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>
        <f>IFERROR(__xludf.DUMMYFUNCTION("""COMPUTED_VALUE"""),1.0)</f>
        <v>1</v>
      </c>
      <c r="B501" s="1">
        <f>IFERROR(__xludf.DUMMYFUNCTION("""COMPUTED_VALUE"""),1.0)</f>
        <v>1</v>
      </c>
      <c r="C501" s="1" t="str">
        <f>IFERROR(__xludf.DUMMYFUNCTION("""COMPUTED_VALUE"""),"ส23101")</f>
        <v>ส23101</v>
      </c>
      <c r="D501" s="1" t="str">
        <f>IFERROR(__xludf.DUMMYFUNCTION("""COMPUTED_VALUE"""),"สังคมศึกษาฯ 5")</f>
        <v>สังคมศึกษาฯ 5</v>
      </c>
      <c r="E501" s="1">
        <f>IFERROR(__xludf.DUMMYFUNCTION("""COMPUTED_VALUE"""),1.5)</f>
        <v>1.5</v>
      </c>
      <c r="F501" s="1">
        <f>IFERROR(__xludf.DUMMYFUNCTION("""COMPUTED_VALUE"""),2569.0)</f>
        <v>2569</v>
      </c>
      <c r="G501" s="1">
        <f>IFERROR(__xludf.DUMMYFUNCTION("""COMPUTED_VALUE"""),1.0)</f>
        <v>1</v>
      </c>
      <c r="H501" s="1">
        <f>IFERROR(__xludf.DUMMYFUNCTION("""COMPUTED_VALUE"""),445.0)</f>
        <v>445</v>
      </c>
      <c r="I501" s="1" t="str">
        <f>IFERROR(__xludf.DUMMYFUNCTION("""COMPUTED_VALUE"""),"นางสาว")</f>
        <v>นางสาว</v>
      </c>
      <c r="J501" s="1" t="str">
        <f>IFERROR(__xludf.DUMMYFUNCTION("""COMPUTED_VALUE"""),"ชนาภา")</f>
        <v>ชนาภา</v>
      </c>
      <c r="K501" s="1" t="str">
        <f>IFERROR(__xludf.DUMMYFUNCTION("""COMPUTED_VALUE"""),"อุบลวัตร์")</f>
        <v>อุบลวัตร์</v>
      </c>
      <c r="L501" s="1" t="str">
        <f>IFERROR(__xludf.DUMMYFUNCTION("""COMPUTED_VALUE"""),"ม.3")</f>
        <v>ม.3</v>
      </c>
      <c r="M501" s="1" t="str">
        <f>IFERROR(__xludf.DUMMYFUNCTION("""COMPUTED_VALUE"""),"สังคมศึกษา")</f>
        <v>สังคมศึกษา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>
        <f>IFERROR(__xludf.DUMMYFUNCTION("""COMPUTED_VALUE"""),3.0)</f>
        <v>3</v>
      </c>
      <c r="B502" s="1">
        <f>IFERROR(__xludf.DUMMYFUNCTION("""COMPUTED_VALUE"""),1.0)</f>
        <v>1</v>
      </c>
      <c r="C502" s="1" t="str">
        <f>IFERROR(__xludf.DUMMYFUNCTION("""COMPUTED_VALUE"""),"ส23101")</f>
        <v>ส23101</v>
      </c>
      <c r="D502" s="1" t="str">
        <f>IFERROR(__xludf.DUMMYFUNCTION("""COMPUTED_VALUE"""),"สังคมศึกษาฯ 5")</f>
        <v>สังคมศึกษาฯ 5</v>
      </c>
      <c r="E502" s="1">
        <f>IFERROR(__xludf.DUMMYFUNCTION("""COMPUTED_VALUE"""),1.5)</f>
        <v>1.5</v>
      </c>
      <c r="F502" s="1">
        <f>IFERROR(__xludf.DUMMYFUNCTION("""COMPUTED_VALUE"""),2569.0)</f>
        <v>2569</v>
      </c>
      <c r="G502" s="1">
        <f>IFERROR(__xludf.DUMMYFUNCTION("""COMPUTED_VALUE"""),1.0)</f>
        <v>1</v>
      </c>
      <c r="H502" s="1">
        <f>IFERROR(__xludf.DUMMYFUNCTION("""COMPUTED_VALUE"""),445.0)</f>
        <v>445</v>
      </c>
      <c r="I502" s="1" t="str">
        <f>IFERROR(__xludf.DUMMYFUNCTION("""COMPUTED_VALUE"""),"นางสาว")</f>
        <v>นางสาว</v>
      </c>
      <c r="J502" s="1" t="str">
        <f>IFERROR(__xludf.DUMMYFUNCTION("""COMPUTED_VALUE"""),"ชนาภา")</f>
        <v>ชนาภา</v>
      </c>
      <c r="K502" s="1" t="str">
        <f>IFERROR(__xludf.DUMMYFUNCTION("""COMPUTED_VALUE"""),"อุบลวัตร์")</f>
        <v>อุบลวัตร์</v>
      </c>
      <c r="L502" s="1" t="str">
        <f>IFERROR(__xludf.DUMMYFUNCTION("""COMPUTED_VALUE"""),"ม.3")</f>
        <v>ม.3</v>
      </c>
      <c r="M502" s="1" t="str">
        <f>IFERROR(__xludf.DUMMYFUNCTION("""COMPUTED_VALUE"""),"สังคมศึกษา")</f>
        <v>สังคมศึกษา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>
        <f>IFERROR(__xludf.DUMMYFUNCTION("""COMPUTED_VALUE"""),5.0)</f>
        <v>5</v>
      </c>
      <c r="B503" s="1">
        <f>IFERROR(__xludf.DUMMYFUNCTION("""COMPUTED_VALUE"""),1.0)</f>
        <v>1</v>
      </c>
      <c r="C503" s="1" t="str">
        <f>IFERROR(__xludf.DUMMYFUNCTION("""COMPUTED_VALUE"""),"ส23101")</f>
        <v>ส23101</v>
      </c>
      <c r="D503" s="1" t="str">
        <f>IFERROR(__xludf.DUMMYFUNCTION("""COMPUTED_VALUE"""),"สังคมศึกษาฯ 5")</f>
        <v>สังคมศึกษาฯ 5</v>
      </c>
      <c r="E503" s="1">
        <f>IFERROR(__xludf.DUMMYFUNCTION("""COMPUTED_VALUE"""),1.5)</f>
        <v>1.5</v>
      </c>
      <c r="F503" s="1">
        <f>IFERROR(__xludf.DUMMYFUNCTION("""COMPUTED_VALUE"""),2569.0)</f>
        <v>2569</v>
      </c>
      <c r="G503" s="1">
        <f>IFERROR(__xludf.DUMMYFUNCTION("""COMPUTED_VALUE"""),1.0)</f>
        <v>1</v>
      </c>
      <c r="H503" s="1">
        <f>IFERROR(__xludf.DUMMYFUNCTION("""COMPUTED_VALUE"""),445.0)</f>
        <v>445</v>
      </c>
      <c r="I503" s="1" t="str">
        <f>IFERROR(__xludf.DUMMYFUNCTION("""COMPUTED_VALUE"""),"นางสาว")</f>
        <v>นางสาว</v>
      </c>
      <c r="J503" s="1" t="str">
        <f>IFERROR(__xludf.DUMMYFUNCTION("""COMPUTED_VALUE"""),"ชนาภา")</f>
        <v>ชนาภา</v>
      </c>
      <c r="K503" s="1" t="str">
        <f>IFERROR(__xludf.DUMMYFUNCTION("""COMPUTED_VALUE"""),"อุบลวัตร์")</f>
        <v>อุบลวัตร์</v>
      </c>
      <c r="L503" s="1" t="str">
        <f>IFERROR(__xludf.DUMMYFUNCTION("""COMPUTED_VALUE"""),"ม.3")</f>
        <v>ม.3</v>
      </c>
      <c r="M503" s="1" t="str">
        <f>IFERROR(__xludf.DUMMYFUNCTION("""COMPUTED_VALUE"""),"สังคมศึกษา")</f>
        <v>สังคมศึกษา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>
        <f>IFERROR(__xludf.DUMMYFUNCTION("""COMPUTED_VALUE"""),7.0)</f>
        <v>7</v>
      </c>
      <c r="B504" s="1">
        <f>IFERROR(__xludf.DUMMYFUNCTION("""COMPUTED_VALUE"""),1.0)</f>
        <v>1</v>
      </c>
      <c r="C504" s="1" t="str">
        <f>IFERROR(__xludf.DUMMYFUNCTION("""COMPUTED_VALUE"""),"ส23101")</f>
        <v>ส23101</v>
      </c>
      <c r="D504" s="1" t="str">
        <f>IFERROR(__xludf.DUMMYFUNCTION("""COMPUTED_VALUE"""),"สังคมศึกษาฯ 5")</f>
        <v>สังคมศึกษาฯ 5</v>
      </c>
      <c r="E504" s="1">
        <f>IFERROR(__xludf.DUMMYFUNCTION("""COMPUTED_VALUE"""),1.5)</f>
        <v>1.5</v>
      </c>
      <c r="F504" s="1">
        <f>IFERROR(__xludf.DUMMYFUNCTION("""COMPUTED_VALUE"""),2569.0)</f>
        <v>2569</v>
      </c>
      <c r="G504" s="1">
        <f>IFERROR(__xludf.DUMMYFUNCTION("""COMPUTED_VALUE"""),1.0)</f>
        <v>1</v>
      </c>
      <c r="H504" s="1">
        <f>IFERROR(__xludf.DUMMYFUNCTION("""COMPUTED_VALUE"""),445.0)</f>
        <v>445</v>
      </c>
      <c r="I504" s="1" t="str">
        <f>IFERROR(__xludf.DUMMYFUNCTION("""COMPUTED_VALUE"""),"นางสาว")</f>
        <v>นางสาว</v>
      </c>
      <c r="J504" s="1" t="str">
        <f>IFERROR(__xludf.DUMMYFUNCTION("""COMPUTED_VALUE"""),"ชนาภา")</f>
        <v>ชนาภา</v>
      </c>
      <c r="K504" s="1" t="str">
        <f>IFERROR(__xludf.DUMMYFUNCTION("""COMPUTED_VALUE"""),"อุบลวัตร์")</f>
        <v>อุบลวัตร์</v>
      </c>
      <c r="L504" s="1" t="str">
        <f>IFERROR(__xludf.DUMMYFUNCTION("""COMPUTED_VALUE"""),"ม.3")</f>
        <v>ม.3</v>
      </c>
      <c r="M504" s="1" t="str">
        <f>IFERROR(__xludf.DUMMYFUNCTION("""COMPUTED_VALUE"""),"สังคมศึกษา")</f>
        <v>สังคมศึกษา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>
        <f>IFERROR(__xludf.DUMMYFUNCTION("""COMPUTED_VALUE"""),2.0)</f>
        <v>2</v>
      </c>
      <c r="B505" s="1">
        <f>IFERROR(__xludf.DUMMYFUNCTION("""COMPUTED_VALUE"""),1.0)</f>
        <v>1</v>
      </c>
      <c r="C505" s="1" t="str">
        <f>IFERROR(__xludf.DUMMYFUNCTION("""COMPUTED_VALUE"""),"ส23102")</f>
        <v>ส23102</v>
      </c>
      <c r="D505" s="1" t="str">
        <f>IFERROR(__xludf.DUMMYFUNCTION("""COMPUTED_VALUE"""),"ประวัติศาสตร์ 5")</f>
        <v>ประวัติศาสตร์ 5</v>
      </c>
      <c r="E505" s="1">
        <f>IFERROR(__xludf.DUMMYFUNCTION("""COMPUTED_VALUE"""),0.5)</f>
        <v>0.5</v>
      </c>
      <c r="F505" s="1">
        <f>IFERROR(__xludf.DUMMYFUNCTION("""COMPUTED_VALUE"""),2569.0)</f>
        <v>2569</v>
      </c>
      <c r="G505" s="1">
        <f>IFERROR(__xludf.DUMMYFUNCTION("""COMPUTED_VALUE"""),1.0)</f>
        <v>1</v>
      </c>
      <c r="H505" s="1">
        <f>IFERROR(__xludf.DUMMYFUNCTION("""COMPUTED_VALUE"""),445.0)</f>
        <v>445</v>
      </c>
      <c r="I505" s="1" t="str">
        <f>IFERROR(__xludf.DUMMYFUNCTION("""COMPUTED_VALUE"""),"นางสาว")</f>
        <v>นางสาว</v>
      </c>
      <c r="J505" s="1" t="str">
        <f>IFERROR(__xludf.DUMMYFUNCTION("""COMPUTED_VALUE"""),"ชนาภา")</f>
        <v>ชนาภา</v>
      </c>
      <c r="K505" s="1" t="str">
        <f>IFERROR(__xludf.DUMMYFUNCTION("""COMPUTED_VALUE"""),"อุบลวัตร์")</f>
        <v>อุบลวัตร์</v>
      </c>
      <c r="L505" s="1" t="str">
        <f>IFERROR(__xludf.DUMMYFUNCTION("""COMPUTED_VALUE"""),"ม.3")</f>
        <v>ม.3</v>
      </c>
      <c r="M505" s="1" t="str">
        <f>IFERROR(__xludf.DUMMYFUNCTION("""COMPUTED_VALUE"""),"สังคมศึกษา")</f>
        <v>สังคมศึกษา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>
        <f>IFERROR(__xludf.DUMMYFUNCTION("""COMPUTED_VALUE"""),4.0)</f>
        <v>4</v>
      </c>
      <c r="B506" s="1">
        <f>IFERROR(__xludf.DUMMYFUNCTION("""COMPUTED_VALUE"""),1.0)</f>
        <v>1</v>
      </c>
      <c r="C506" s="1" t="str">
        <f>IFERROR(__xludf.DUMMYFUNCTION("""COMPUTED_VALUE"""),"ส23102")</f>
        <v>ส23102</v>
      </c>
      <c r="D506" s="1" t="str">
        <f>IFERROR(__xludf.DUMMYFUNCTION("""COMPUTED_VALUE"""),"ประวัติศาสตร์ 5")</f>
        <v>ประวัติศาสตร์ 5</v>
      </c>
      <c r="E506" s="1">
        <f>IFERROR(__xludf.DUMMYFUNCTION("""COMPUTED_VALUE"""),0.5)</f>
        <v>0.5</v>
      </c>
      <c r="F506" s="1">
        <f>IFERROR(__xludf.DUMMYFUNCTION("""COMPUTED_VALUE"""),2569.0)</f>
        <v>2569</v>
      </c>
      <c r="G506" s="1">
        <f>IFERROR(__xludf.DUMMYFUNCTION("""COMPUTED_VALUE"""),1.0)</f>
        <v>1</v>
      </c>
      <c r="H506" s="1">
        <f>IFERROR(__xludf.DUMMYFUNCTION("""COMPUTED_VALUE"""),445.0)</f>
        <v>445</v>
      </c>
      <c r="I506" s="1" t="str">
        <f>IFERROR(__xludf.DUMMYFUNCTION("""COMPUTED_VALUE"""),"นางสาว")</f>
        <v>นางสาว</v>
      </c>
      <c r="J506" s="1" t="str">
        <f>IFERROR(__xludf.DUMMYFUNCTION("""COMPUTED_VALUE"""),"ชนาภา")</f>
        <v>ชนาภา</v>
      </c>
      <c r="K506" s="1" t="str">
        <f>IFERROR(__xludf.DUMMYFUNCTION("""COMPUTED_VALUE"""),"อุบลวัตร์")</f>
        <v>อุบลวัตร์</v>
      </c>
      <c r="L506" s="1" t="str">
        <f>IFERROR(__xludf.DUMMYFUNCTION("""COMPUTED_VALUE"""),"ม.3")</f>
        <v>ม.3</v>
      </c>
      <c r="M506" s="1" t="str">
        <f>IFERROR(__xludf.DUMMYFUNCTION("""COMPUTED_VALUE"""),"สังคมศึกษา")</f>
        <v>สังคมศึกษา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>
        <f>IFERROR(__xludf.DUMMYFUNCTION("""COMPUTED_VALUE"""),6.0)</f>
        <v>6</v>
      </c>
      <c r="B507" s="1">
        <f>IFERROR(__xludf.DUMMYFUNCTION("""COMPUTED_VALUE"""),1.0)</f>
        <v>1</v>
      </c>
      <c r="C507" s="1" t="str">
        <f>IFERROR(__xludf.DUMMYFUNCTION("""COMPUTED_VALUE"""),"ส23102")</f>
        <v>ส23102</v>
      </c>
      <c r="D507" s="1" t="str">
        <f>IFERROR(__xludf.DUMMYFUNCTION("""COMPUTED_VALUE"""),"ประวัติศาสตร์ 5")</f>
        <v>ประวัติศาสตร์ 5</v>
      </c>
      <c r="E507" s="1">
        <f>IFERROR(__xludf.DUMMYFUNCTION("""COMPUTED_VALUE"""),0.5)</f>
        <v>0.5</v>
      </c>
      <c r="F507" s="1">
        <f>IFERROR(__xludf.DUMMYFUNCTION("""COMPUTED_VALUE"""),2569.0)</f>
        <v>2569</v>
      </c>
      <c r="G507" s="1">
        <f>IFERROR(__xludf.DUMMYFUNCTION("""COMPUTED_VALUE"""),1.0)</f>
        <v>1</v>
      </c>
      <c r="H507" s="1">
        <f>IFERROR(__xludf.DUMMYFUNCTION("""COMPUTED_VALUE"""),445.0)</f>
        <v>445</v>
      </c>
      <c r="I507" s="1" t="str">
        <f>IFERROR(__xludf.DUMMYFUNCTION("""COMPUTED_VALUE"""),"นางสาว")</f>
        <v>นางสาว</v>
      </c>
      <c r="J507" s="1" t="str">
        <f>IFERROR(__xludf.DUMMYFUNCTION("""COMPUTED_VALUE"""),"ชนาภา")</f>
        <v>ชนาภา</v>
      </c>
      <c r="K507" s="1" t="str">
        <f>IFERROR(__xludf.DUMMYFUNCTION("""COMPUTED_VALUE"""),"อุบลวัตร์")</f>
        <v>อุบลวัตร์</v>
      </c>
      <c r="L507" s="1" t="str">
        <f>IFERROR(__xludf.DUMMYFUNCTION("""COMPUTED_VALUE"""),"ม.3")</f>
        <v>ม.3</v>
      </c>
      <c r="M507" s="1" t="str">
        <f>IFERROR(__xludf.DUMMYFUNCTION("""COMPUTED_VALUE"""),"สังคมศึกษา")</f>
        <v>สังคมศึกษา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>
        <f>IFERROR(__xludf.DUMMYFUNCTION("""COMPUTED_VALUE"""),8.0)</f>
        <v>8</v>
      </c>
      <c r="B508" s="1">
        <f>IFERROR(__xludf.DUMMYFUNCTION("""COMPUTED_VALUE"""),1.0)</f>
        <v>1</v>
      </c>
      <c r="C508" s="1" t="str">
        <f>IFERROR(__xludf.DUMMYFUNCTION("""COMPUTED_VALUE"""),"ส23102")</f>
        <v>ส23102</v>
      </c>
      <c r="D508" s="1" t="str">
        <f>IFERROR(__xludf.DUMMYFUNCTION("""COMPUTED_VALUE"""),"ประวัติศาสตร์ 5")</f>
        <v>ประวัติศาสตร์ 5</v>
      </c>
      <c r="E508" s="1">
        <f>IFERROR(__xludf.DUMMYFUNCTION("""COMPUTED_VALUE"""),0.5)</f>
        <v>0.5</v>
      </c>
      <c r="F508" s="1">
        <f>IFERROR(__xludf.DUMMYFUNCTION("""COMPUTED_VALUE"""),2569.0)</f>
        <v>2569</v>
      </c>
      <c r="G508" s="1">
        <f>IFERROR(__xludf.DUMMYFUNCTION("""COMPUTED_VALUE"""),1.0)</f>
        <v>1</v>
      </c>
      <c r="H508" s="1">
        <f>IFERROR(__xludf.DUMMYFUNCTION("""COMPUTED_VALUE"""),445.0)</f>
        <v>445</v>
      </c>
      <c r="I508" s="1" t="str">
        <f>IFERROR(__xludf.DUMMYFUNCTION("""COMPUTED_VALUE"""),"นางสาว")</f>
        <v>นางสาว</v>
      </c>
      <c r="J508" s="1" t="str">
        <f>IFERROR(__xludf.DUMMYFUNCTION("""COMPUTED_VALUE"""),"ชนาภา")</f>
        <v>ชนาภา</v>
      </c>
      <c r="K508" s="1" t="str">
        <f>IFERROR(__xludf.DUMMYFUNCTION("""COMPUTED_VALUE"""),"อุบลวัตร์")</f>
        <v>อุบลวัตร์</v>
      </c>
      <c r="L508" s="1" t="str">
        <f>IFERROR(__xludf.DUMMYFUNCTION("""COMPUTED_VALUE"""),"ม.3")</f>
        <v>ม.3</v>
      </c>
      <c r="M508" s="1" t="str">
        <f>IFERROR(__xludf.DUMMYFUNCTION("""COMPUTED_VALUE"""),"สังคมศึกษา")</f>
        <v>สังคมศึกษา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>
        <f>IFERROR(__xludf.DUMMYFUNCTION("""COMPUTED_VALUE"""),8.0)</f>
        <v>8</v>
      </c>
      <c r="B509" s="1">
        <f>IFERROR(__xludf.DUMMYFUNCTION("""COMPUTED_VALUE"""),1.0)</f>
        <v>1</v>
      </c>
      <c r="C509" s="1" t="str">
        <f>IFERROR(__xludf.DUMMYFUNCTION("""COMPUTED_VALUE"""),"ส30251")</f>
        <v>ส30251</v>
      </c>
      <c r="D509" s="1" t="str">
        <f>IFERROR(__xludf.DUMMYFUNCTION("""COMPUTED_VALUE"""),"การป้องกันการทุจริต 5")</f>
        <v>การป้องกันการทุจริต 5</v>
      </c>
      <c r="E509" s="1">
        <f>IFERROR(__xludf.DUMMYFUNCTION("""COMPUTED_VALUE"""),0.5)</f>
        <v>0.5</v>
      </c>
      <c r="F509" s="1">
        <f>IFERROR(__xludf.DUMMYFUNCTION("""COMPUTED_VALUE"""),2569.0)</f>
        <v>2569</v>
      </c>
      <c r="G509" s="1">
        <f>IFERROR(__xludf.DUMMYFUNCTION("""COMPUTED_VALUE"""),1.0)</f>
        <v>1</v>
      </c>
      <c r="H509" s="1">
        <f>IFERROR(__xludf.DUMMYFUNCTION("""COMPUTED_VALUE"""),445.0)</f>
        <v>445</v>
      </c>
      <c r="I509" s="1" t="str">
        <f>IFERROR(__xludf.DUMMYFUNCTION("""COMPUTED_VALUE"""),"นางสาว")</f>
        <v>นางสาว</v>
      </c>
      <c r="J509" s="1" t="str">
        <f>IFERROR(__xludf.DUMMYFUNCTION("""COMPUTED_VALUE"""),"ชนาภา")</f>
        <v>ชนาภา</v>
      </c>
      <c r="K509" s="1" t="str">
        <f>IFERROR(__xludf.DUMMYFUNCTION("""COMPUTED_VALUE"""),"อุบลวัตร์")</f>
        <v>อุบลวัตร์</v>
      </c>
      <c r="L509" s="1" t="str">
        <f>IFERROR(__xludf.DUMMYFUNCTION("""COMPUTED_VALUE"""),"ม.6")</f>
        <v>ม.6</v>
      </c>
      <c r="M509" s="1" t="str">
        <f>IFERROR(__xludf.DUMMYFUNCTION("""COMPUTED_VALUE"""),"สังคมศึกษา")</f>
        <v>สังคมศึกษา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>
        <f>IFERROR(__xludf.DUMMYFUNCTION("""COMPUTED_VALUE"""),11.0)</f>
        <v>11</v>
      </c>
      <c r="B510" s="1">
        <f>IFERROR(__xludf.DUMMYFUNCTION("""COMPUTED_VALUE"""),1.0)</f>
        <v>1</v>
      </c>
      <c r="C510" s="1" t="str">
        <f>IFERROR(__xludf.DUMMYFUNCTION("""COMPUTED_VALUE"""),"พ30203")</f>
        <v>พ30203</v>
      </c>
      <c r="D510" s="1" t="str">
        <f>IFERROR(__xludf.DUMMYFUNCTION("""COMPUTED_VALUE"""),"เปตอง")</f>
        <v>เปตอง</v>
      </c>
      <c r="E510" s="1">
        <f>IFERROR(__xludf.DUMMYFUNCTION("""COMPUTED_VALUE"""),0.5)</f>
        <v>0.5</v>
      </c>
      <c r="F510" s="1">
        <f>IFERROR(__xludf.DUMMYFUNCTION("""COMPUTED_VALUE"""),2569.0)</f>
        <v>2569</v>
      </c>
      <c r="G510" s="1">
        <f>IFERROR(__xludf.DUMMYFUNCTION("""COMPUTED_VALUE"""),1.0)</f>
        <v>1</v>
      </c>
      <c r="H510" s="1">
        <f>IFERROR(__xludf.DUMMYFUNCTION("""COMPUTED_VALUE"""),504.0)</f>
        <v>504</v>
      </c>
      <c r="I510" s="1" t="str">
        <f>IFERROR(__xludf.DUMMYFUNCTION("""COMPUTED_VALUE"""),"นาง")</f>
        <v>นาง</v>
      </c>
      <c r="J510" s="1" t="str">
        <f>IFERROR(__xludf.DUMMYFUNCTION("""COMPUTED_VALUE"""),"อารีรัก")</f>
        <v>อารีรัก</v>
      </c>
      <c r="K510" s="1" t="str">
        <f>IFERROR(__xludf.DUMMYFUNCTION("""COMPUTED_VALUE"""),"บุญรามณรงค์")</f>
        <v>บุญรามณรงค์</v>
      </c>
      <c r="L510" s="1" t="str">
        <f>IFERROR(__xludf.DUMMYFUNCTION("""COMPUTED_VALUE"""),"ม.5")</f>
        <v>ม.5</v>
      </c>
      <c r="M510" s="1" t="str">
        <f>IFERROR(__xludf.DUMMYFUNCTION("""COMPUTED_VALUE"""),"สุขศึกษา")</f>
        <v>สุขศึกษา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>
        <f>IFERROR(__xludf.DUMMYFUNCTION("""COMPUTED_VALUE"""),10.0)</f>
        <v>10</v>
      </c>
      <c r="B511" s="1">
        <f>IFERROR(__xludf.DUMMYFUNCTION("""COMPUTED_VALUE"""),1.0)</f>
        <v>1</v>
      </c>
      <c r="C511" s="1" t="str">
        <f>IFERROR(__xludf.DUMMYFUNCTION("""COMPUTED_VALUE"""),"พ31101")</f>
        <v>พ31101</v>
      </c>
      <c r="D511" s="1" t="str">
        <f>IFERROR(__xludf.DUMMYFUNCTION("""COMPUTED_VALUE"""),"สุขศึกษาและพลศึกษา1")</f>
        <v>สุขศึกษาและพลศึกษา1</v>
      </c>
      <c r="E511" s="1">
        <f>IFERROR(__xludf.DUMMYFUNCTION("""COMPUTED_VALUE"""),0.5)</f>
        <v>0.5</v>
      </c>
      <c r="F511" s="1">
        <f>IFERROR(__xludf.DUMMYFUNCTION("""COMPUTED_VALUE"""),2569.0)</f>
        <v>2569</v>
      </c>
      <c r="G511" s="1">
        <f>IFERROR(__xludf.DUMMYFUNCTION("""COMPUTED_VALUE"""),1.0)</f>
        <v>1</v>
      </c>
      <c r="H511" s="1">
        <f>IFERROR(__xludf.DUMMYFUNCTION("""COMPUTED_VALUE"""),504.0)</f>
        <v>504</v>
      </c>
      <c r="I511" s="1" t="str">
        <f>IFERROR(__xludf.DUMMYFUNCTION("""COMPUTED_VALUE"""),"นาง")</f>
        <v>นาง</v>
      </c>
      <c r="J511" s="1" t="str">
        <f>IFERROR(__xludf.DUMMYFUNCTION("""COMPUTED_VALUE"""),"อารีรัก")</f>
        <v>อารีรัก</v>
      </c>
      <c r="K511" s="1" t="str">
        <f>IFERROR(__xludf.DUMMYFUNCTION("""COMPUTED_VALUE"""),"บุญรามณรงค์")</f>
        <v>บุญรามณรงค์</v>
      </c>
      <c r="L511" s="1" t="str">
        <f>IFERROR(__xludf.DUMMYFUNCTION("""COMPUTED_VALUE"""),"ม.4")</f>
        <v>ม.4</v>
      </c>
      <c r="M511" s="1" t="str">
        <f>IFERROR(__xludf.DUMMYFUNCTION("""COMPUTED_VALUE"""),"สุขศึกษา")</f>
        <v>สุขศึกษา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>
        <f>IFERROR(__xludf.DUMMYFUNCTION("""COMPUTED_VALUE"""),11.0)</f>
        <v>11</v>
      </c>
      <c r="B512" s="1">
        <f>IFERROR(__xludf.DUMMYFUNCTION("""COMPUTED_VALUE"""),1.0)</f>
        <v>1</v>
      </c>
      <c r="C512" s="1" t="str">
        <f>IFERROR(__xludf.DUMMYFUNCTION("""COMPUTED_VALUE"""),"พ31101")</f>
        <v>พ31101</v>
      </c>
      <c r="D512" s="1" t="str">
        <f>IFERROR(__xludf.DUMMYFUNCTION("""COMPUTED_VALUE"""),"สุขศึกษาและพลศึกษา1")</f>
        <v>สุขศึกษาและพลศึกษา1</v>
      </c>
      <c r="E512" s="1">
        <f>IFERROR(__xludf.DUMMYFUNCTION("""COMPUTED_VALUE"""),0.5)</f>
        <v>0.5</v>
      </c>
      <c r="F512" s="1">
        <f>IFERROR(__xludf.DUMMYFUNCTION("""COMPUTED_VALUE"""),2569.0)</f>
        <v>2569</v>
      </c>
      <c r="G512" s="1">
        <f>IFERROR(__xludf.DUMMYFUNCTION("""COMPUTED_VALUE"""),1.0)</f>
        <v>1</v>
      </c>
      <c r="H512" s="1">
        <f>IFERROR(__xludf.DUMMYFUNCTION("""COMPUTED_VALUE"""),504.0)</f>
        <v>504</v>
      </c>
      <c r="I512" s="1" t="str">
        <f>IFERROR(__xludf.DUMMYFUNCTION("""COMPUTED_VALUE"""),"นาง")</f>
        <v>นาง</v>
      </c>
      <c r="J512" s="1" t="str">
        <f>IFERROR(__xludf.DUMMYFUNCTION("""COMPUTED_VALUE"""),"อารีรัก")</f>
        <v>อารีรัก</v>
      </c>
      <c r="K512" s="1" t="str">
        <f>IFERROR(__xludf.DUMMYFUNCTION("""COMPUTED_VALUE"""),"บุญรามณรงค์")</f>
        <v>บุญรามณรงค์</v>
      </c>
      <c r="L512" s="1" t="str">
        <f>IFERROR(__xludf.DUMMYFUNCTION("""COMPUTED_VALUE"""),"ม.4")</f>
        <v>ม.4</v>
      </c>
      <c r="M512" s="1" t="str">
        <f>IFERROR(__xludf.DUMMYFUNCTION("""COMPUTED_VALUE"""),"สุขศึกษา")</f>
        <v>สุขศึกษา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>
        <f>IFERROR(__xludf.DUMMYFUNCTION("""COMPUTED_VALUE"""),10.0)</f>
        <v>10</v>
      </c>
      <c r="B513" s="1">
        <f>IFERROR(__xludf.DUMMYFUNCTION("""COMPUTED_VALUE"""),1.0)</f>
        <v>1</v>
      </c>
      <c r="C513" s="1" t="str">
        <f>IFERROR(__xludf.DUMMYFUNCTION("""COMPUTED_VALUE"""),"พ32101")</f>
        <v>พ32101</v>
      </c>
      <c r="D513" s="1" t="str">
        <f>IFERROR(__xludf.DUMMYFUNCTION("""COMPUTED_VALUE"""),"สุขศึกษาและพลศึกษา3")</f>
        <v>สุขศึกษาและพลศึกษา3</v>
      </c>
      <c r="E513" s="1">
        <f>IFERROR(__xludf.DUMMYFUNCTION("""COMPUTED_VALUE"""),0.5)</f>
        <v>0.5</v>
      </c>
      <c r="F513" s="1">
        <f>IFERROR(__xludf.DUMMYFUNCTION("""COMPUTED_VALUE"""),2569.0)</f>
        <v>2569</v>
      </c>
      <c r="G513" s="1">
        <f>IFERROR(__xludf.DUMMYFUNCTION("""COMPUTED_VALUE"""),1.0)</f>
        <v>1</v>
      </c>
      <c r="H513" s="1">
        <f>IFERROR(__xludf.DUMMYFUNCTION("""COMPUTED_VALUE"""),504.0)</f>
        <v>504</v>
      </c>
      <c r="I513" s="1" t="str">
        <f>IFERROR(__xludf.DUMMYFUNCTION("""COMPUTED_VALUE"""),"นาง")</f>
        <v>นาง</v>
      </c>
      <c r="J513" s="1" t="str">
        <f>IFERROR(__xludf.DUMMYFUNCTION("""COMPUTED_VALUE"""),"อารีรัก")</f>
        <v>อารีรัก</v>
      </c>
      <c r="K513" s="1" t="str">
        <f>IFERROR(__xludf.DUMMYFUNCTION("""COMPUTED_VALUE"""),"บุญรามณรงค์")</f>
        <v>บุญรามณรงค์</v>
      </c>
      <c r="L513" s="1" t="str">
        <f>IFERROR(__xludf.DUMMYFUNCTION("""COMPUTED_VALUE"""),"ม.5")</f>
        <v>ม.5</v>
      </c>
      <c r="M513" s="1" t="str">
        <f>IFERROR(__xludf.DUMMYFUNCTION("""COMPUTED_VALUE"""),"สุขศึกษา")</f>
        <v>สุขศึกษา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>
        <f>IFERROR(__xludf.DUMMYFUNCTION("""COMPUTED_VALUE"""),11.0)</f>
        <v>11</v>
      </c>
      <c r="B514" s="1">
        <f>IFERROR(__xludf.DUMMYFUNCTION("""COMPUTED_VALUE"""),1.0)</f>
        <v>1</v>
      </c>
      <c r="C514" s="1" t="str">
        <f>IFERROR(__xludf.DUMMYFUNCTION("""COMPUTED_VALUE"""),"พ32101")</f>
        <v>พ32101</v>
      </c>
      <c r="D514" s="1" t="str">
        <f>IFERROR(__xludf.DUMMYFUNCTION("""COMPUTED_VALUE"""),"สุขศึกษาและพลศึกษา3")</f>
        <v>สุขศึกษาและพลศึกษา3</v>
      </c>
      <c r="E514" s="1">
        <f>IFERROR(__xludf.DUMMYFUNCTION("""COMPUTED_VALUE"""),0.5)</f>
        <v>0.5</v>
      </c>
      <c r="F514" s="1">
        <f>IFERROR(__xludf.DUMMYFUNCTION("""COMPUTED_VALUE"""),2569.0)</f>
        <v>2569</v>
      </c>
      <c r="G514" s="1">
        <f>IFERROR(__xludf.DUMMYFUNCTION("""COMPUTED_VALUE"""),1.0)</f>
        <v>1</v>
      </c>
      <c r="H514" s="1">
        <f>IFERROR(__xludf.DUMMYFUNCTION("""COMPUTED_VALUE"""),504.0)</f>
        <v>504</v>
      </c>
      <c r="I514" s="1" t="str">
        <f>IFERROR(__xludf.DUMMYFUNCTION("""COMPUTED_VALUE"""),"นาง")</f>
        <v>นาง</v>
      </c>
      <c r="J514" s="1" t="str">
        <f>IFERROR(__xludf.DUMMYFUNCTION("""COMPUTED_VALUE"""),"อารีรัก")</f>
        <v>อารีรัก</v>
      </c>
      <c r="K514" s="1" t="str">
        <f>IFERROR(__xludf.DUMMYFUNCTION("""COMPUTED_VALUE"""),"บุญรามณรงค์")</f>
        <v>บุญรามณรงค์</v>
      </c>
      <c r="L514" s="1" t="str">
        <f>IFERROR(__xludf.DUMMYFUNCTION("""COMPUTED_VALUE"""),"ม.5")</f>
        <v>ม.5</v>
      </c>
      <c r="M514" s="1" t="str">
        <f>IFERROR(__xludf.DUMMYFUNCTION("""COMPUTED_VALUE"""),"สุขศึกษา")</f>
        <v>สุขศึกษา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>
        <f>IFERROR(__xludf.DUMMYFUNCTION("""COMPUTED_VALUE"""),1.0)</f>
        <v>1</v>
      </c>
      <c r="B515" s="1">
        <f>IFERROR(__xludf.DUMMYFUNCTION("""COMPUTED_VALUE"""),1.0)</f>
        <v>1</v>
      </c>
      <c r="C515" s="1" t="str">
        <f>IFERROR(__xludf.DUMMYFUNCTION("""COMPUTED_VALUE"""),"พ33101")</f>
        <v>พ33101</v>
      </c>
      <c r="D515" s="1" t="str">
        <f>IFERROR(__xludf.DUMMYFUNCTION("""COMPUTED_VALUE"""),"สุขศึกษาและพลศึกษา5")</f>
        <v>สุขศึกษาและพลศึกษา5</v>
      </c>
      <c r="E515" s="1">
        <f>IFERROR(__xludf.DUMMYFUNCTION("""COMPUTED_VALUE"""),0.5)</f>
        <v>0.5</v>
      </c>
      <c r="F515" s="1">
        <f>IFERROR(__xludf.DUMMYFUNCTION("""COMPUTED_VALUE"""),2569.0)</f>
        <v>2569</v>
      </c>
      <c r="G515" s="1">
        <f>IFERROR(__xludf.DUMMYFUNCTION("""COMPUTED_VALUE"""),1.0)</f>
        <v>1</v>
      </c>
      <c r="H515" s="1">
        <f>IFERROR(__xludf.DUMMYFUNCTION("""COMPUTED_VALUE"""),504.0)</f>
        <v>504</v>
      </c>
      <c r="I515" s="1" t="str">
        <f>IFERROR(__xludf.DUMMYFUNCTION("""COMPUTED_VALUE"""),"นาง")</f>
        <v>นาง</v>
      </c>
      <c r="J515" s="1" t="str">
        <f>IFERROR(__xludf.DUMMYFUNCTION("""COMPUTED_VALUE"""),"อารีรัก")</f>
        <v>อารีรัก</v>
      </c>
      <c r="K515" s="1" t="str">
        <f>IFERROR(__xludf.DUMMYFUNCTION("""COMPUTED_VALUE"""),"บุญรามณรงค์")</f>
        <v>บุญรามณรงค์</v>
      </c>
      <c r="L515" s="1" t="str">
        <f>IFERROR(__xludf.DUMMYFUNCTION("""COMPUTED_VALUE"""),"ม.6")</f>
        <v>ม.6</v>
      </c>
      <c r="M515" s="1" t="str">
        <f>IFERROR(__xludf.DUMMYFUNCTION("""COMPUTED_VALUE"""),"สุขศึกษา")</f>
        <v>สุขศึกษา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>
        <f>IFERROR(__xludf.DUMMYFUNCTION("""COMPUTED_VALUE"""),2.0)</f>
        <v>2</v>
      </c>
      <c r="B516" s="1">
        <f>IFERROR(__xludf.DUMMYFUNCTION("""COMPUTED_VALUE"""),1.0)</f>
        <v>1</v>
      </c>
      <c r="C516" s="1" t="str">
        <f>IFERROR(__xludf.DUMMYFUNCTION("""COMPUTED_VALUE"""),"พ33101")</f>
        <v>พ33101</v>
      </c>
      <c r="D516" s="1" t="str">
        <f>IFERROR(__xludf.DUMMYFUNCTION("""COMPUTED_VALUE"""),"สุขศึกษาและพลศึกษา5")</f>
        <v>สุขศึกษาและพลศึกษา5</v>
      </c>
      <c r="E516" s="1">
        <f>IFERROR(__xludf.DUMMYFUNCTION("""COMPUTED_VALUE"""),0.5)</f>
        <v>0.5</v>
      </c>
      <c r="F516" s="1">
        <f>IFERROR(__xludf.DUMMYFUNCTION("""COMPUTED_VALUE"""),2569.0)</f>
        <v>2569</v>
      </c>
      <c r="G516" s="1">
        <f>IFERROR(__xludf.DUMMYFUNCTION("""COMPUTED_VALUE"""),1.0)</f>
        <v>1</v>
      </c>
      <c r="H516" s="1">
        <f>IFERROR(__xludf.DUMMYFUNCTION("""COMPUTED_VALUE"""),504.0)</f>
        <v>504</v>
      </c>
      <c r="I516" s="1" t="str">
        <f>IFERROR(__xludf.DUMMYFUNCTION("""COMPUTED_VALUE"""),"นาง")</f>
        <v>นาง</v>
      </c>
      <c r="J516" s="1" t="str">
        <f>IFERROR(__xludf.DUMMYFUNCTION("""COMPUTED_VALUE"""),"อารีรัก")</f>
        <v>อารีรัก</v>
      </c>
      <c r="K516" s="1" t="str">
        <f>IFERROR(__xludf.DUMMYFUNCTION("""COMPUTED_VALUE"""),"บุญรามณรงค์")</f>
        <v>บุญรามณรงค์</v>
      </c>
      <c r="L516" s="1" t="str">
        <f>IFERROR(__xludf.DUMMYFUNCTION("""COMPUTED_VALUE"""),"ม.6")</f>
        <v>ม.6</v>
      </c>
      <c r="M516" s="1" t="str">
        <f>IFERROR(__xludf.DUMMYFUNCTION("""COMPUTED_VALUE"""),"สุขศึกษา")</f>
        <v>สุขศึกษา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>
        <f>IFERROR(__xludf.DUMMYFUNCTION("""COMPUTED_VALUE"""),3.0)</f>
        <v>3</v>
      </c>
      <c r="B517" s="1">
        <f>IFERROR(__xludf.DUMMYFUNCTION("""COMPUTED_VALUE"""),1.0)</f>
        <v>1</v>
      </c>
      <c r="C517" s="1" t="str">
        <f>IFERROR(__xludf.DUMMYFUNCTION("""COMPUTED_VALUE"""),"พ33101")</f>
        <v>พ33101</v>
      </c>
      <c r="D517" s="1" t="str">
        <f>IFERROR(__xludf.DUMMYFUNCTION("""COMPUTED_VALUE"""),"สุขศึกษาและพลศึกษา5")</f>
        <v>สุขศึกษาและพลศึกษา5</v>
      </c>
      <c r="E517" s="1">
        <f>IFERROR(__xludf.DUMMYFUNCTION("""COMPUTED_VALUE"""),0.5)</f>
        <v>0.5</v>
      </c>
      <c r="F517" s="1">
        <f>IFERROR(__xludf.DUMMYFUNCTION("""COMPUTED_VALUE"""),2569.0)</f>
        <v>2569</v>
      </c>
      <c r="G517" s="1">
        <f>IFERROR(__xludf.DUMMYFUNCTION("""COMPUTED_VALUE"""),1.0)</f>
        <v>1</v>
      </c>
      <c r="H517" s="1">
        <f>IFERROR(__xludf.DUMMYFUNCTION("""COMPUTED_VALUE"""),504.0)</f>
        <v>504</v>
      </c>
      <c r="I517" s="1" t="str">
        <f>IFERROR(__xludf.DUMMYFUNCTION("""COMPUTED_VALUE"""),"นาง")</f>
        <v>นาง</v>
      </c>
      <c r="J517" s="1" t="str">
        <f>IFERROR(__xludf.DUMMYFUNCTION("""COMPUTED_VALUE"""),"อารีรัก")</f>
        <v>อารีรัก</v>
      </c>
      <c r="K517" s="1" t="str">
        <f>IFERROR(__xludf.DUMMYFUNCTION("""COMPUTED_VALUE"""),"บุญรามณรงค์")</f>
        <v>บุญรามณรงค์</v>
      </c>
      <c r="L517" s="1" t="str">
        <f>IFERROR(__xludf.DUMMYFUNCTION("""COMPUTED_VALUE"""),"ม.6")</f>
        <v>ม.6</v>
      </c>
      <c r="M517" s="1" t="str">
        <f>IFERROR(__xludf.DUMMYFUNCTION("""COMPUTED_VALUE"""),"สุขศึกษา")</f>
        <v>สุขศึกษา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>
        <f>IFERROR(__xludf.DUMMYFUNCTION("""COMPUTED_VALUE"""),4.0)</f>
        <v>4</v>
      </c>
      <c r="B518" s="1">
        <f>IFERROR(__xludf.DUMMYFUNCTION("""COMPUTED_VALUE"""),1.0)</f>
        <v>1</v>
      </c>
      <c r="C518" s="1" t="str">
        <f>IFERROR(__xludf.DUMMYFUNCTION("""COMPUTED_VALUE"""),"พ33101")</f>
        <v>พ33101</v>
      </c>
      <c r="D518" s="1" t="str">
        <f>IFERROR(__xludf.DUMMYFUNCTION("""COMPUTED_VALUE"""),"สุขศึกษาและพลศึกษา5")</f>
        <v>สุขศึกษาและพลศึกษา5</v>
      </c>
      <c r="E518" s="1">
        <f>IFERROR(__xludf.DUMMYFUNCTION("""COMPUTED_VALUE"""),0.5)</f>
        <v>0.5</v>
      </c>
      <c r="F518" s="1">
        <f>IFERROR(__xludf.DUMMYFUNCTION("""COMPUTED_VALUE"""),2569.0)</f>
        <v>2569</v>
      </c>
      <c r="G518" s="1">
        <f>IFERROR(__xludf.DUMMYFUNCTION("""COMPUTED_VALUE"""),1.0)</f>
        <v>1</v>
      </c>
      <c r="H518" s="1">
        <f>IFERROR(__xludf.DUMMYFUNCTION("""COMPUTED_VALUE"""),504.0)</f>
        <v>504</v>
      </c>
      <c r="I518" s="1" t="str">
        <f>IFERROR(__xludf.DUMMYFUNCTION("""COMPUTED_VALUE"""),"นาง")</f>
        <v>นาง</v>
      </c>
      <c r="J518" s="1" t="str">
        <f>IFERROR(__xludf.DUMMYFUNCTION("""COMPUTED_VALUE"""),"อารีรัก")</f>
        <v>อารีรัก</v>
      </c>
      <c r="K518" s="1" t="str">
        <f>IFERROR(__xludf.DUMMYFUNCTION("""COMPUTED_VALUE"""),"บุญรามณรงค์")</f>
        <v>บุญรามณรงค์</v>
      </c>
      <c r="L518" s="1" t="str">
        <f>IFERROR(__xludf.DUMMYFUNCTION("""COMPUTED_VALUE"""),"ม.6")</f>
        <v>ม.6</v>
      </c>
      <c r="M518" s="1" t="str">
        <f>IFERROR(__xludf.DUMMYFUNCTION("""COMPUTED_VALUE"""),"สุขศึกษา")</f>
        <v>สุขศึกษา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>
        <f>IFERROR(__xludf.DUMMYFUNCTION("""COMPUTED_VALUE"""),5.0)</f>
        <v>5</v>
      </c>
      <c r="B519" s="1">
        <f>IFERROR(__xludf.DUMMYFUNCTION("""COMPUTED_VALUE"""),1.0)</f>
        <v>1</v>
      </c>
      <c r="C519" s="1" t="str">
        <f>IFERROR(__xludf.DUMMYFUNCTION("""COMPUTED_VALUE"""),"พ33101")</f>
        <v>พ33101</v>
      </c>
      <c r="D519" s="1" t="str">
        <f>IFERROR(__xludf.DUMMYFUNCTION("""COMPUTED_VALUE"""),"สุขศึกษาและพลศึกษา5")</f>
        <v>สุขศึกษาและพลศึกษา5</v>
      </c>
      <c r="E519" s="1">
        <f>IFERROR(__xludf.DUMMYFUNCTION("""COMPUTED_VALUE"""),0.5)</f>
        <v>0.5</v>
      </c>
      <c r="F519" s="1">
        <f>IFERROR(__xludf.DUMMYFUNCTION("""COMPUTED_VALUE"""),2569.0)</f>
        <v>2569</v>
      </c>
      <c r="G519" s="1">
        <f>IFERROR(__xludf.DUMMYFUNCTION("""COMPUTED_VALUE"""),1.0)</f>
        <v>1</v>
      </c>
      <c r="H519" s="1">
        <f>IFERROR(__xludf.DUMMYFUNCTION("""COMPUTED_VALUE"""),504.0)</f>
        <v>504</v>
      </c>
      <c r="I519" s="1" t="str">
        <f>IFERROR(__xludf.DUMMYFUNCTION("""COMPUTED_VALUE"""),"นาง")</f>
        <v>นาง</v>
      </c>
      <c r="J519" s="1" t="str">
        <f>IFERROR(__xludf.DUMMYFUNCTION("""COMPUTED_VALUE"""),"อารีรัก")</f>
        <v>อารีรัก</v>
      </c>
      <c r="K519" s="1" t="str">
        <f>IFERROR(__xludf.DUMMYFUNCTION("""COMPUTED_VALUE"""),"บุญรามณรงค์")</f>
        <v>บุญรามณรงค์</v>
      </c>
      <c r="L519" s="1" t="str">
        <f>IFERROR(__xludf.DUMMYFUNCTION("""COMPUTED_VALUE"""),"ม.6")</f>
        <v>ม.6</v>
      </c>
      <c r="M519" s="1" t="str">
        <f>IFERROR(__xludf.DUMMYFUNCTION("""COMPUTED_VALUE"""),"สุขศึกษา")</f>
        <v>สุขศึกษา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>
        <f>IFERROR(__xludf.DUMMYFUNCTION("""COMPUTED_VALUE"""),6.0)</f>
        <v>6</v>
      </c>
      <c r="B520" s="1">
        <f>IFERROR(__xludf.DUMMYFUNCTION("""COMPUTED_VALUE"""),1.0)</f>
        <v>1</v>
      </c>
      <c r="C520" s="1" t="str">
        <f>IFERROR(__xludf.DUMMYFUNCTION("""COMPUTED_VALUE"""),"พ33101")</f>
        <v>พ33101</v>
      </c>
      <c r="D520" s="1" t="str">
        <f>IFERROR(__xludf.DUMMYFUNCTION("""COMPUTED_VALUE"""),"สุขศึกษาและพลศึกษา5")</f>
        <v>สุขศึกษาและพลศึกษา5</v>
      </c>
      <c r="E520" s="1">
        <f>IFERROR(__xludf.DUMMYFUNCTION("""COMPUTED_VALUE"""),0.5)</f>
        <v>0.5</v>
      </c>
      <c r="F520" s="1">
        <f>IFERROR(__xludf.DUMMYFUNCTION("""COMPUTED_VALUE"""),2569.0)</f>
        <v>2569</v>
      </c>
      <c r="G520" s="1">
        <f>IFERROR(__xludf.DUMMYFUNCTION("""COMPUTED_VALUE"""),1.0)</f>
        <v>1</v>
      </c>
      <c r="H520" s="1">
        <f>IFERROR(__xludf.DUMMYFUNCTION("""COMPUTED_VALUE"""),504.0)</f>
        <v>504</v>
      </c>
      <c r="I520" s="1" t="str">
        <f>IFERROR(__xludf.DUMMYFUNCTION("""COMPUTED_VALUE"""),"นาง")</f>
        <v>นาง</v>
      </c>
      <c r="J520" s="1" t="str">
        <f>IFERROR(__xludf.DUMMYFUNCTION("""COMPUTED_VALUE"""),"อารีรัก")</f>
        <v>อารีรัก</v>
      </c>
      <c r="K520" s="1" t="str">
        <f>IFERROR(__xludf.DUMMYFUNCTION("""COMPUTED_VALUE"""),"บุญรามณรงค์")</f>
        <v>บุญรามณรงค์</v>
      </c>
      <c r="L520" s="1" t="str">
        <f>IFERROR(__xludf.DUMMYFUNCTION("""COMPUTED_VALUE"""),"ม.6")</f>
        <v>ม.6</v>
      </c>
      <c r="M520" s="1" t="str">
        <f>IFERROR(__xludf.DUMMYFUNCTION("""COMPUTED_VALUE"""),"สุขศึกษา")</f>
        <v>สุขศึกษา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>
        <f>IFERROR(__xludf.DUMMYFUNCTION("""COMPUTED_VALUE"""),7.0)</f>
        <v>7</v>
      </c>
      <c r="B521" s="1">
        <f>IFERROR(__xludf.DUMMYFUNCTION("""COMPUTED_VALUE"""),1.0)</f>
        <v>1</v>
      </c>
      <c r="C521" s="1" t="str">
        <f>IFERROR(__xludf.DUMMYFUNCTION("""COMPUTED_VALUE"""),"พ33101")</f>
        <v>พ33101</v>
      </c>
      <c r="D521" s="1" t="str">
        <f>IFERROR(__xludf.DUMMYFUNCTION("""COMPUTED_VALUE"""),"สุขศึกษาและพลศึกษา5")</f>
        <v>สุขศึกษาและพลศึกษา5</v>
      </c>
      <c r="E521" s="1">
        <f>IFERROR(__xludf.DUMMYFUNCTION("""COMPUTED_VALUE"""),0.5)</f>
        <v>0.5</v>
      </c>
      <c r="F521" s="1">
        <f>IFERROR(__xludf.DUMMYFUNCTION("""COMPUTED_VALUE"""),2569.0)</f>
        <v>2569</v>
      </c>
      <c r="G521" s="1">
        <f>IFERROR(__xludf.DUMMYFUNCTION("""COMPUTED_VALUE"""),1.0)</f>
        <v>1</v>
      </c>
      <c r="H521" s="1">
        <f>IFERROR(__xludf.DUMMYFUNCTION("""COMPUTED_VALUE"""),504.0)</f>
        <v>504</v>
      </c>
      <c r="I521" s="1" t="str">
        <f>IFERROR(__xludf.DUMMYFUNCTION("""COMPUTED_VALUE"""),"นาง")</f>
        <v>นาง</v>
      </c>
      <c r="J521" s="1" t="str">
        <f>IFERROR(__xludf.DUMMYFUNCTION("""COMPUTED_VALUE"""),"อารีรัก")</f>
        <v>อารีรัก</v>
      </c>
      <c r="K521" s="1" t="str">
        <f>IFERROR(__xludf.DUMMYFUNCTION("""COMPUTED_VALUE"""),"บุญรามณรงค์")</f>
        <v>บุญรามณรงค์</v>
      </c>
      <c r="L521" s="1" t="str">
        <f>IFERROR(__xludf.DUMMYFUNCTION("""COMPUTED_VALUE"""),"ม.6")</f>
        <v>ม.6</v>
      </c>
      <c r="M521" s="1" t="str">
        <f>IFERROR(__xludf.DUMMYFUNCTION("""COMPUTED_VALUE"""),"สุขศึกษา")</f>
        <v>สุขศึกษา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>
        <f>IFERROR(__xludf.DUMMYFUNCTION("""COMPUTED_VALUE"""),8.0)</f>
        <v>8</v>
      </c>
      <c r="B522" s="1">
        <f>IFERROR(__xludf.DUMMYFUNCTION("""COMPUTED_VALUE"""),1.0)</f>
        <v>1</v>
      </c>
      <c r="C522" s="1" t="str">
        <f>IFERROR(__xludf.DUMMYFUNCTION("""COMPUTED_VALUE"""),"พ33101")</f>
        <v>พ33101</v>
      </c>
      <c r="D522" s="1" t="str">
        <f>IFERROR(__xludf.DUMMYFUNCTION("""COMPUTED_VALUE"""),"สุขศึกษาและพลศึกษา5")</f>
        <v>สุขศึกษาและพลศึกษา5</v>
      </c>
      <c r="E522" s="1">
        <f>IFERROR(__xludf.DUMMYFUNCTION("""COMPUTED_VALUE"""),0.5)</f>
        <v>0.5</v>
      </c>
      <c r="F522" s="1">
        <f>IFERROR(__xludf.DUMMYFUNCTION("""COMPUTED_VALUE"""),2569.0)</f>
        <v>2569</v>
      </c>
      <c r="G522" s="1">
        <f>IFERROR(__xludf.DUMMYFUNCTION("""COMPUTED_VALUE"""),1.0)</f>
        <v>1</v>
      </c>
      <c r="H522" s="1">
        <f>IFERROR(__xludf.DUMMYFUNCTION("""COMPUTED_VALUE"""),504.0)</f>
        <v>504</v>
      </c>
      <c r="I522" s="1" t="str">
        <f>IFERROR(__xludf.DUMMYFUNCTION("""COMPUTED_VALUE"""),"นาง")</f>
        <v>นาง</v>
      </c>
      <c r="J522" s="1" t="str">
        <f>IFERROR(__xludf.DUMMYFUNCTION("""COMPUTED_VALUE"""),"อารีรัก")</f>
        <v>อารีรัก</v>
      </c>
      <c r="K522" s="1" t="str">
        <f>IFERROR(__xludf.DUMMYFUNCTION("""COMPUTED_VALUE"""),"บุญรามณรงค์")</f>
        <v>บุญรามณรงค์</v>
      </c>
      <c r="L522" s="1" t="str">
        <f>IFERROR(__xludf.DUMMYFUNCTION("""COMPUTED_VALUE"""),"ม.6")</f>
        <v>ม.6</v>
      </c>
      <c r="M522" s="1" t="str">
        <f>IFERROR(__xludf.DUMMYFUNCTION("""COMPUTED_VALUE"""),"สุขศึกษา")</f>
        <v>สุขศึกษา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>
        <f>IFERROR(__xludf.DUMMYFUNCTION("""COMPUTED_VALUE"""),9.0)</f>
        <v>9</v>
      </c>
      <c r="B523" s="1">
        <f>IFERROR(__xludf.DUMMYFUNCTION("""COMPUTED_VALUE"""),1.0)</f>
        <v>1</v>
      </c>
      <c r="C523" s="1" t="str">
        <f>IFERROR(__xludf.DUMMYFUNCTION("""COMPUTED_VALUE"""),"พ33101")</f>
        <v>พ33101</v>
      </c>
      <c r="D523" s="1" t="str">
        <f>IFERROR(__xludf.DUMMYFUNCTION("""COMPUTED_VALUE"""),"สุขศึกษาและพลศึกษา5")</f>
        <v>สุขศึกษาและพลศึกษา5</v>
      </c>
      <c r="E523" s="1">
        <f>IFERROR(__xludf.DUMMYFUNCTION("""COMPUTED_VALUE"""),0.5)</f>
        <v>0.5</v>
      </c>
      <c r="F523" s="1">
        <f>IFERROR(__xludf.DUMMYFUNCTION("""COMPUTED_VALUE"""),2569.0)</f>
        <v>2569</v>
      </c>
      <c r="G523" s="1">
        <f>IFERROR(__xludf.DUMMYFUNCTION("""COMPUTED_VALUE"""),1.0)</f>
        <v>1</v>
      </c>
      <c r="H523" s="1">
        <f>IFERROR(__xludf.DUMMYFUNCTION("""COMPUTED_VALUE"""),504.0)</f>
        <v>504</v>
      </c>
      <c r="I523" s="1" t="str">
        <f>IFERROR(__xludf.DUMMYFUNCTION("""COMPUTED_VALUE"""),"นาง")</f>
        <v>นาง</v>
      </c>
      <c r="J523" s="1" t="str">
        <f>IFERROR(__xludf.DUMMYFUNCTION("""COMPUTED_VALUE"""),"อารีรัก")</f>
        <v>อารีรัก</v>
      </c>
      <c r="K523" s="1" t="str">
        <f>IFERROR(__xludf.DUMMYFUNCTION("""COMPUTED_VALUE"""),"บุญรามณรงค์")</f>
        <v>บุญรามณรงค์</v>
      </c>
      <c r="L523" s="1" t="str">
        <f>IFERROR(__xludf.DUMMYFUNCTION("""COMPUTED_VALUE"""),"ม.6")</f>
        <v>ม.6</v>
      </c>
      <c r="M523" s="1" t="str">
        <f>IFERROR(__xludf.DUMMYFUNCTION("""COMPUTED_VALUE"""),"สุขศึกษา")</f>
        <v>สุขศึกษา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>
        <f>IFERROR(__xludf.DUMMYFUNCTION("""COMPUTED_VALUE"""),10.0)</f>
        <v>10</v>
      </c>
      <c r="B524" s="1">
        <f>IFERROR(__xludf.DUMMYFUNCTION("""COMPUTED_VALUE"""),1.0)</f>
        <v>1</v>
      </c>
      <c r="C524" s="1" t="str">
        <f>IFERROR(__xludf.DUMMYFUNCTION("""COMPUTED_VALUE"""),"พ33101")</f>
        <v>พ33101</v>
      </c>
      <c r="D524" s="1" t="str">
        <f>IFERROR(__xludf.DUMMYFUNCTION("""COMPUTED_VALUE"""),"สุขศึกษาและพลศึกษา5")</f>
        <v>สุขศึกษาและพลศึกษา5</v>
      </c>
      <c r="E524" s="1">
        <f>IFERROR(__xludf.DUMMYFUNCTION("""COMPUTED_VALUE"""),0.5)</f>
        <v>0.5</v>
      </c>
      <c r="F524" s="1">
        <f>IFERROR(__xludf.DUMMYFUNCTION("""COMPUTED_VALUE"""),2569.0)</f>
        <v>2569</v>
      </c>
      <c r="G524" s="1">
        <f>IFERROR(__xludf.DUMMYFUNCTION("""COMPUTED_VALUE"""),1.0)</f>
        <v>1</v>
      </c>
      <c r="H524" s="1">
        <f>IFERROR(__xludf.DUMMYFUNCTION("""COMPUTED_VALUE"""),504.0)</f>
        <v>504</v>
      </c>
      <c r="I524" s="1" t="str">
        <f>IFERROR(__xludf.DUMMYFUNCTION("""COMPUTED_VALUE"""),"นาง")</f>
        <v>นาง</v>
      </c>
      <c r="J524" s="1" t="str">
        <f>IFERROR(__xludf.DUMMYFUNCTION("""COMPUTED_VALUE"""),"อารีรัก")</f>
        <v>อารีรัก</v>
      </c>
      <c r="K524" s="1" t="str">
        <f>IFERROR(__xludf.DUMMYFUNCTION("""COMPUTED_VALUE"""),"บุญรามณรงค์")</f>
        <v>บุญรามณรงค์</v>
      </c>
      <c r="L524" s="1" t="str">
        <f>IFERROR(__xludf.DUMMYFUNCTION("""COMPUTED_VALUE"""),"ม.6")</f>
        <v>ม.6</v>
      </c>
      <c r="M524" s="1" t="str">
        <f>IFERROR(__xludf.DUMMYFUNCTION("""COMPUTED_VALUE"""),"สุขศึกษา")</f>
        <v>สุขศึกษา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>
        <f>IFERROR(__xludf.DUMMYFUNCTION("""COMPUTED_VALUE"""),11.0)</f>
        <v>11</v>
      </c>
      <c r="B525" s="1">
        <f>IFERROR(__xludf.DUMMYFUNCTION("""COMPUTED_VALUE"""),1.0)</f>
        <v>1</v>
      </c>
      <c r="C525" s="1" t="str">
        <f>IFERROR(__xludf.DUMMYFUNCTION("""COMPUTED_VALUE"""),"พ33101")</f>
        <v>พ33101</v>
      </c>
      <c r="D525" s="1" t="str">
        <f>IFERROR(__xludf.DUMMYFUNCTION("""COMPUTED_VALUE"""),"สุขศึกษาและพลศึกษา5")</f>
        <v>สุขศึกษาและพลศึกษา5</v>
      </c>
      <c r="E525" s="1">
        <f>IFERROR(__xludf.DUMMYFUNCTION("""COMPUTED_VALUE"""),0.5)</f>
        <v>0.5</v>
      </c>
      <c r="F525" s="1">
        <f>IFERROR(__xludf.DUMMYFUNCTION("""COMPUTED_VALUE"""),2569.0)</f>
        <v>2569</v>
      </c>
      <c r="G525" s="1">
        <f>IFERROR(__xludf.DUMMYFUNCTION("""COMPUTED_VALUE"""),1.0)</f>
        <v>1</v>
      </c>
      <c r="H525" s="1">
        <f>IFERROR(__xludf.DUMMYFUNCTION("""COMPUTED_VALUE"""),504.0)</f>
        <v>504</v>
      </c>
      <c r="I525" s="1" t="str">
        <f>IFERROR(__xludf.DUMMYFUNCTION("""COMPUTED_VALUE"""),"นาง")</f>
        <v>นาง</v>
      </c>
      <c r="J525" s="1" t="str">
        <f>IFERROR(__xludf.DUMMYFUNCTION("""COMPUTED_VALUE"""),"อารีรัก")</f>
        <v>อารีรัก</v>
      </c>
      <c r="K525" s="1" t="str">
        <f>IFERROR(__xludf.DUMMYFUNCTION("""COMPUTED_VALUE"""),"บุญรามณรงค์")</f>
        <v>บุญรามณรงค์</v>
      </c>
      <c r="L525" s="1" t="str">
        <f>IFERROR(__xludf.DUMMYFUNCTION("""COMPUTED_VALUE"""),"ม.6")</f>
        <v>ม.6</v>
      </c>
      <c r="M525" s="1" t="str">
        <f>IFERROR(__xludf.DUMMYFUNCTION("""COMPUTED_VALUE"""),"สุขศึกษา")</f>
        <v>สุขศึกษา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>
        <f>IFERROR(__xludf.DUMMYFUNCTION("""COMPUTED_VALUE"""),6.0)</f>
        <v>6</v>
      </c>
      <c r="B526" s="1">
        <f>IFERROR(__xludf.DUMMYFUNCTION("""COMPUTED_VALUE"""),2.0)</f>
        <v>2</v>
      </c>
      <c r="C526" s="1" t="str">
        <f>IFERROR(__xludf.DUMMYFUNCTION("""COMPUTED_VALUE"""),"ส30249")</f>
        <v>ส30249</v>
      </c>
      <c r="D526" s="1" t="str">
        <f>IFERROR(__xludf.DUMMYFUNCTION("""COMPUTED_VALUE"""),"การป้องกันการทุจริต 3")</f>
        <v>การป้องกันการทุจริต 3</v>
      </c>
      <c r="E526" s="1">
        <f>IFERROR(__xludf.DUMMYFUNCTION("""COMPUTED_VALUE"""),0.5)</f>
        <v>0.5</v>
      </c>
      <c r="F526" s="1">
        <f>IFERROR(__xludf.DUMMYFUNCTION("""COMPUTED_VALUE"""),2569.0)</f>
        <v>2569</v>
      </c>
      <c r="G526" s="1">
        <f>IFERROR(__xludf.DUMMYFUNCTION("""COMPUTED_VALUE"""),1.0)</f>
        <v>1</v>
      </c>
      <c r="H526" s="1">
        <f>IFERROR(__xludf.DUMMYFUNCTION("""COMPUTED_VALUE"""),504.0)</f>
        <v>504</v>
      </c>
      <c r="I526" s="1" t="str">
        <f>IFERROR(__xludf.DUMMYFUNCTION("""COMPUTED_VALUE"""),"นาง")</f>
        <v>นาง</v>
      </c>
      <c r="J526" s="1" t="str">
        <f>IFERROR(__xludf.DUMMYFUNCTION("""COMPUTED_VALUE"""),"อารีรัก")</f>
        <v>อารีรัก</v>
      </c>
      <c r="K526" s="1" t="str">
        <f>IFERROR(__xludf.DUMMYFUNCTION("""COMPUTED_VALUE"""),"บุญรามณรงค์")</f>
        <v>บุญรามณรงค์</v>
      </c>
      <c r="L526" s="1" t="str">
        <f>IFERROR(__xludf.DUMMYFUNCTION("""COMPUTED_VALUE"""),"ม.5")</f>
        <v>ม.5</v>
      </c>
      <c r="M526" s="1" t="str">
        <f>IFERROR(__xludf.DUMMYFUNCTION("""COMPUTED_VALUE"""),"สุขศึกษา")</f>
        <v>สุขศึกษา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>
        <f>IFERROR(__xludf.DUMMYFUNCTION("""COMPUTED_VALUE"""),1.0)</f>
        <v>1</v>
      </c>
      <c r="B527" s="1">
        <f>IFERROR(__xludf.DUMMYFUNCTION("""COMPUTED_VALUE"""),1.0)</f>
        <v>1</v>
      </c>
      <c r="C527" s="1" t="str">
        <f>IFERROR(__xludf.DUMMYFUNCTION("""COMPUTED_VALUE"""),"พ20222")</f>
        <v>พ20222</v>
      </c>
      <c r="D527" s="1" t="str">
        <f>IFERROR(__xludf.DUMMYFUNCTION("""COMPUTED_VALUE"""),"เทเบิลเทนนิส")</f>
        <v>เทเบิลเทนนิส</v>
      </c>
      <c r="E527" s="1">
        <f>IFERROR(__xludf.DUMMYFUNCTION("""COMPUTED_VALUE"""),1.0)</f>
        <v>1</v>
      </c>
      <c r="F527" s="1">
        <f>IFERROR(__xludf.DUMMYFUNCTION("""COMPUTED_VALUE"""),2569.0)</f>
        <v>2569</v>
      </c>
      <c r="G527" s="1">
        <f>IFERROR(__xludf.DUMMYFUNCTION("""COMPUTED_VALUE"""),1.0)</f>
        <v>1</v>
      </c>
      <c r="H527" s="1">
        <f>IFERROR(__xludf.DUMMYFUNCTION("""COMPUTED_VALUE"""),512.0)</f>
        <v>512</v>
      </c>
      <c r="I527" s="1" t="str">
        <f>IFERROR(__xludf.DUMMYFUNCTION("""COMPUTED_VALUE"""),"นาย")</f>
        <v>นาย</v>
      </c>
      <c r="J527" s="1" t="str">
        <f>IFERROR(__xludf.DUMMYFUNCTION("""COMPUTED_VALUE"""),"ทวีศักดิ์")</f>
        <v>ทวีศักดิ์</v>
      </c>
      <c r="K527" s="1" t="str">
        <f>IFERROR(__xludf.DUMMYFUNCTION("""COMPUTED_VALUE"""),"พิทักษ์ศร")</f>
        <v>พิทักษ์ศร</v>
      </c>
      <c r="L527" s="1" t="str">
        <f>IFERROR(__xludf.DUMMYFUNCTION("""COMPUTED_VALUE"""),"ม.2")</f>
        <v>ม.2</v>
      </c>
      <c r="M527" s="1" t="str">
        <f>IFERROR(__xludf.DUMMYFUNCTION("""COMPUTED_VALUE"""),"สุขศึกษา")</f>
        <v>สุขศึกษา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>
        <f>IFERROR(__xludf.DUMMYFUNCTION("""COMPUTED_VALUE"""),1.0)</f>
        <v>1</v>
      </c>
      <c r="B528" s="1">
        <f>IFERROR(__xludf.DUMMYFUNCTION("""COMPUTED_VALUE"""),1.0)</f>
        <v>1</v>
      </c>
      <c r="C528" s="1" t="str">
        <f>IFERROR(__xludf.DUMMYFUNCTION("""COMPUTED_VALUE"""),"พ22101")</f>
        <v>พ22101</v>
      </c>
      <c r="D528" s="1" t="str">
        <f>IFERROR(__xludf.DUMMYFUNCTION("""COMPUTED_VALUE"""),"สุขศึกษา3")</f>
        <v>สุขศึกษา3</v>
      </c>
      <c r="E528" s="1">
        <f>IFERROR(__xludf.DUMMYFUNCTION("""COMPUTED_VALUE"""),0.5)</f>
        <v>0.5</v>
      </c>
      <c r="F528" s="1">
        <f>IFERROR(__xludf.DUMMYFUNCTION("""COMPUTED_VALUE"""),2569.0)</f>
        <v>2569</v>
      </c>
      <c r="G528" s="1">
        <f>IFERROR(__xludf.DUMMYFUNCTION("""COMPUTED_VALUE"""),1.0)</f>
        <v>1</v>
      </c>
      <c r="H528" s="1">
        <f>IFERROR(__xludf.DUMMYFUNCTION("""COMPUTED_VALUE"""),512.0)</f>
        <v>512</v>
      </c>
      <c r="I528" s="1" t="str">
        <f>IFERROR(__xludf.DUMMYFUNCTION("""COMPUTED_VALUE"""),"นาย")</f>
        <v>นาย</v>
      </c>
      <c r="J528" s="1" t="str">
        <f>IFERROR(__xludf.DUMMYFUNCTION("""COMPUTED_VALUE"""),"ทวีศักดิ์")</f>
        <v>ทวีศักดิ์</v>
      </c>
      <c r="K528" s="1" t="str">
        <f>IFERROR(__xludf.DUMMYFUNCTION("""COMPUTED_VALUE"""),"พิทักษ์ศร")</f>
        <v>พิทักษ์ศร</v>
      </c>
      <c r="L528" s="1" t="str">
        <f>IFERROR(__xludf.DUMMYFUNCTION("""COMPUTED_VALUE"""),"ม.2")</f>
        <v>ม.2</v>
      </c>
      <c r="M528" s="1" t="str">
        <f>IFERROR(__xludf.DUMMYFUNCTION("""COMPUTED_VALUE"""),"สุขศึกษา")</f>
        <v>สุขศึกษา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>
        <f>IFERROR(__xludf.DUMMYFUNCTION("""COMPUTED_VALUE"""),2.0)</f>
        <v>2</v>
      </c>
      <c r="B529" s="1">
        <f>IFERROR(__xludf.DUMMYFUNCTION("""COMPUTED_VALUE"""),1.0)</f>
        <v>1</v>
      </c>
      <c r="C529" s="1" t="str">
        <f>IFERROR(__xludf.DUMMYFUNCTION("""COMPUTED_VALUE"""),"พ22101")</f>
        <v>พ22101</v>
      </c>
      <c r="D529" s="1" t="str">
        <f>IFERROR(__xludf.DUMMYFUNCTION("""COMPUTED_VALUE"""),"สุขศึกษา3")</f>
        <v>สุขศึกษา3</v>
      </c>
      <c r="E529" s="1">
        <f>IFERROR(__xludf.DUMMYFUNCTION("""COMPUTED_VALUE"""),0.5)</f>
        <v>0.5</v>
      </c>
      <c r="F529" s="1">
        <f>IFERROR(__xludf.DUMMYFUNCTION("""COMPUTED_VALUE"""),2569.0)</f>
        <v>2569</v>
      </c>
      <c r="G529" s="1">
        <f>IFERROR(__xludf.DUMMYFUNCTION("""COMPUTED_VALUE"""),1.0)</f>
        <v>1</v>
      </c>
      <c r="H529" s="1">
        <f>IFERROR(__xludf.DUMMYFUNCTION("""COMPUTED_VALUE"""),512.0)</f>
        <v>512</v>
      </c>
      <c r="I529" s="1" t="str">
        <f>IFERROR(__xludf.DUMMYFUNCTION("""COMPUTED_VALUE"""),"นาย")</f>
        <v>นาย</v>
      </c>
      <c r="J529" s="1" t="str">
        <f>IFERROR(__xludf.DUMMYFUNCTION("""COMPUTED_VALUE"""),"ทวีศักดิ์")</f>
        <v>ทวีศักดิ์</v>
      </c>
      <c r="K529" s="1" t="str">
        <f>IFERROR(__xludf.DUMMYFUNCTION("""COMPUTED_VALUE"""),"พิทักษ์ศร")</f>
        <v>พิทักษ์ศร</v>
      </c>
      <c r="L529" s="1" t="str">
        <f>IFERROR(__xludf.DUMMYFUNCTION("""COMPUTED_VALUE"""),"ม.2")</f>
        <v>ม.2</v>
      </c>
      <c r="M529" s="1" t="str">
        <f>IFERROR(__xludf.DUMMYFUNCTION("""COMPUTED_VALUE"""),"สุขศึกษา")</f>
        <v>สุขศึกษา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>
        <f>IFERROR(__xludf.DUMMYFUNCTION("""COMPUTED_VALUE"""),3.0)</f>
        <v>3</v>
      </c>
      <c r="B530" s="1">
        <f>IFERROR(__xludf.DUMMYFUNCTION("""COMPUTED_VALUE"""),1.0)</f>
        <v>1</v>
      </c>
      <c r="C530" s="1" t="str">
        <f>IFERROR(__xludf.DUMMYFUNCTION("""COMPUTED_VALUE"""),"พ22101")</f>
        <v>พ22101</v>
      </c>
      <c r="D530" s="1" t="str">
        <f>IFERROR(__xludf.DUMMYFUNCTION("""COMPUTED_VALUE"""),"สุขศึกษา3")</f>
        <v>สุขศึกษา3</v>
      </c>
      <c r="E530" s="1">
        <f>IFERROR(__xludf.DUMMYFUNCTION("""COMPUTED_VALUE"""),0.5)</f>
        <v>0.5</v>
      </c>
      <c r="F530" s="1">
        <f>IFERROR(__xludf.DUMMYFUNCTION("""COMPUTED_VALUE"""),2569.0)</f>
        <v>2569</v>
      </c>
      <c r="G530" s="1">
        <f>IFERROR(__xludf.DUMMYFUNCTION("""COMPUTED_VALUE"""),1.0)</f>
        <v>1</v>
      </c>
      <c r="H530" s="1">
        <f>IFERROR(__xludf.DUMMYFUNCTION("""COMPUTED_VALUE"""),512.0)</f>
        <v>512</v>
      </c>
      <c r="I530" s="1" t="str">
        <f>IFERROR(__xludf.DUMMYFUNCTION("""COMPUTED_VALUE"""),"นาย")</f>
        <v>นาย</v>
      </c>
      <c r="J530" s="1" t="str">
        <f>IFERROR(__xludf.DUMMYFUNCTION("""COMPUTED_VALUE"""),"ทวีศักดิ์")</f>
        <v>ทวีศักดิ์</v>
      </c>
      <c r="K530" s="1" t="str">
        <f>IFERROR(__xludf.DUMMYFUNCTION("""COMPUTED_VALUE"""),"พิทักษ์ศร")</f>
        <v>พิทักษ์ศร</v>
      </c>
      <c r="L530" s="1" t="str">
        <f>IFERROR(__xludf.DUMMYFUNCTION("""COMPUTED_VALUE"""),"ม.2")</f>
        <v>ม.2</v>
      </c>
      <c r="M530" s="1" t="str">
        <f>IFERROR(__xludf.DUMMYFUNCTION("""COMPUTED_VALUE"""),"สุขศึกษา")</f>
        <v>สุขศึกษา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>
        <f>IFERROR(__xludf.DUMMYFUNCTION("""COMPUTED_VALUE"""),4.0)</f>
        <v>4</v>
      </c>
      <c r="B531" s="1">
        <f>IFERROR(__xludf.DUMMYFUNCTION("""COMPUTED_VALUE"""),1.0)</f>
        <v>1</v>
      </c>
      <c r="C531" s="1" t="str">
        <f>IFERROR(__xludf.DUMMYFUNCTION("""COMPUTED_VALUE"""),"พ22101")</f>
        <v>พ22101</v>
      </c>
      <c r="D531" s="1" t="str">
        <f>IFERROR(__xludf.DUMMYFUNCTION("""COMPUTED_VALUE"""),"สุขศึกษา3")</f>
        <v>สุขศึกษา3</v>
      </c>
      <c r="E531" s="1">
        <f>IFERROR(__xludf.DUMMYFUNCTION("""COMPUTED_VALUE"""),0.5)</f>
        <v>0.5</v>
      </c>
      <c r="F531" s="1">
        <f>IFERROR(__xludf.DUMMYFUNCTION("""COMPUTED_VALUE"""),2569.0)</f>
        <v>2569</v>
      </c>
      <c r="G531" s="1">
        <f>IFERROR(__xludf.DUMMYFUNCTION("""COMPUTED_VALUE"""),1.0)</f>
        <v>1</v>
      </c>
      <c r="H531" s="1">
        <f>IFERROR(__xludf.DUMMYFUNCTION("""COMPUTED_VALUE"""),512.0)</f>
        <v>512</v>
      </c>
      <c r="I531" s="1" t="str">
        <f>IFERROR(__xludf.DUMMYFUNCTION("""COMPUTED_VALUE"""),"นาย")</f>
        <v>นาย</v>
      </c>
      <c r="J531" s="1" t="str">
        <f>IFERROR(__xludf.DUMMYFUNCTION("""COMPUTED_VALUE"""),"ทวีศักดิ์")</f>
        <v>ทวีศักดิ์</v>
      </c>
      <c r="K531" s="1" t="str">
        <f>IFERROR(__xludf.DUMMYFUNCTION("""COMPUTED_VALUE"""),"พิทักษ์ศร")</f>
        <v>พิทักษ์ศร</v>
      </c>
      <c r="L531" s="1" t="str">
        <f>IFERROR(__xludf.DUMMYFUNCTION("""COMPUTED_VALUE"""),"ม.2")</f>
        <v>ม.2</v>
      </c>
      <c r="M531" s="1" t="str">
        <f>IFERROR(__xludf.DUMMYFUNCTION("""COMPUTED_VALUE"""),"สุขศึกษา")</f>
        <v>สุขศึกษา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>
        <f>IFERROR(__xludf.DUMMYFUNCTION("""COMPUTED_VALUE"""),5.0)</f>
        <v>5</v>
      </c>
      <c r="B532" s="1">
        <f>IFERROR(__xludf.DUMMYFUNCTION("""COMPUTED_VALUE"""),1.0)</f>
        <v>1</v>
      </c>
      <c r="C532" s="1" t="str">
        <f>IFERROR(__xludf.DUMMYFUNCTION("""COMPUTED_VALUE"""),"พ22101")</f>
        <v>พ22101</v>
      </c>
      <c r="D532" s="1" t="str">
        <f>IFERROR(__xludf.DUMMYFUNCTION("""COMPUTED_VALUE"""),"สุขศึกษา3")</f>
        <v>สุขศึกษา3</v>
      </c>
      <c r="E532" s="1">
        <f>IFERROR(__xludf.DUMMYFUNCTION("""COMPUTED_VALUE"""),0.5)</f>
        <v>0.5</v>
      </c>
      <c r="F532" s="1">
        <f>IFERROR(__xludf.DUMMYFUNCTION("""COMPUTED_VALUE"""),2569.0)</f>
        <v>2569</v>
      </c>
      <c r="G532" s="1">
        <f>IFERROR(__xludf.DUMMYFUNCTION("""COMPUTED_VALUE"""),1.0)</f>
        <v>1</v>
      </c>
      <c r="H532" s="1">
        <f>IFERROR(__xludf.DUMMYFUNCTION("""COMPUTED_VALUE"""),512.0)</f>
        <v>512</v>
      </c>
      <c r="I532" s="1" t="str">
        <f>IFERROR(__xludf.DUMMYFUNCTION("""COMPUTED_VALUE"""),"นาย")</f>
        <v>นาย</v>
      </c>
      <c r="J532" s="1" t="str">
        <f>IFERROR(__xludf.DUMMYFUNCTION("""COMPUTED_VALUE"""),"ทวีศักดิ์")</f>
        <v>ทวีศักดิ์</v>
      </c>
      <c r="K532" s="1" t="str">
        <f>IFERROR(__xludf.DUMMYFUNCTION("""COMPUTED_VALUE"""),"พิทักษ์ศร")</f>
        <v>พิทักษ์ศร</v>
      </c>
      <c r="L532" s="1" t="str">
        <f>IFERROR(__xludf.DUMMYFUNCTION("""COMPUTED_VALUE"""),"ม.2")</f>
        <v>ม.2</v>
      </c>
      <c r="M532" s="1" t="str">
        <f>IFERROR(__xludf.DUMMYFUNCTION("""COMPUTED_VALUE"""),"สุขศึกษา")</f>
        <v>สุขศึกษา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>
        <f>IFERROR(__xludf.DUMMYFUNCTION("""COMPUTED_VALUE"""),6.0)</f>
        <v>6</v>
      </c>
      <c r="B533" s="1">
        <f>IFERROR(__xludf.DUMMYFUNCTION("""COMPUTED_VALUE"""),1.0)</f>
        <v>1</v>
      </c>
      <c r="C533" s="1" t="str">
        <f>IFERROR(__xludf.DUMMYFUNCTION("""COMPUTED_VALUE"""),"พ22101")</f>
        <v>พ22101</v>
      </c>
      <c r="D533" s="1" t="str">
        <f>IFERROR(__xludf.DUMMYFUNCTION("""COMPUTED_VALUE"""),"สุขศึกษา3")</f>
        <v>สุขศึกษา3</v>
      </c>
      <c r="E533" s="1">
        <f>IFERROR(__xludf.DUMMYFUNCTION("""COMPUTED_VALUE"""),0.5)</f>
        <v>0.5</v>
      </c>
      <c r="F533" s="1">
        <f>IFERROR(__xludf.DUMMYFUNCTION("""COMPUTED_VALUE"""),2569.0)</f>
        <v>2569</v>
      </c>
      <c r="G533" s="1">
        <f>IFERROR(__xludf.DUMMYFUNCTION("""COMPUTED_VALUE"""),1.0)</f>
        <v>1</v>
      </c>
      <c r="H533" s="1">
        <f>IFERROR(__xludf.DUMMYFUNCTION("""COMPUTED_VALUE"""),512.0)</f>
        <v>512</v>
      </c>
      <c r="I533" s="1" t="str">
        <f>IFERROR(__xludf.DUMMYFUNCTION("""COMPUTED_VALUE"""),"นาย")</f>
        <v>นาย</v>
      </c>
      <c r="J533" s="1" t="str">
        <f>IFERROR(__xludf.DUMMYFUNCTION("""COMPUTED_VALUE"""),"ทวีศักดิ์")</f>
        <v>ทวีศักดิ์</v>
      </c>
      <c r="K533" s="1" t="str">
        <f>IFERROR(__xludf.DUMMYFUNCTION("""COMPUTED_VALUE"""),"พิทักษ์ศร")</f>
        <v>พิทักษ์ศร</v>
      </c>
      <c r="L533" s="1" t="str">
        <f>IFERROR(__xludf.DUMMYFUNCTION("""COMPUTED_VALUE"""),"ม.2")</f>
        <v>ม.2</v>
      </c>
      <c r="M533" s="1" t="str">
        <f>IFERROR(__xludf.DUMMYFUNCTION("""COMPUTED_VALUE"""),"สุขศึกษา")</f>
        <v>สุขศึกษา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>
        <f>IFERROR(__xludf.DUMMYFUNCTION("""COMPUTED_VALUE"""),7.0)</f>
        <v>7</v>
      </c>
      <c r="B534" s="1">
        <f>IFERROR(__xludf.DUMMYFUNCTION("""COMPUTED_VALUE"""),1.0)</f>
        <v>1</v>
      </c>
      <c r="C534" s="1" t="str">
        <f>IFERROR(__xludf.DUMMYFUNCTION("""COMPUTED_VALUE"""),"พ22101")</f>
        <v>พ22101</v>
      </c>
      <c r="D534" s="1" t="str">
        <f>IFERROR(__xludf.DUMMYFUNCTION("""COMPUTED_VALUE"""),"สุขศึกษา3")</f>
        <v>สุขศึกษา3</v>
      </c>
      <c r="E534" s="1">
        <f>IFERROR(__xludf.DUMMYFUNCTION("""COMPUTED_VALUE"""),0.5)</f>
        <v>0.5</v>
      </c>
      <c r="F534" s="1">
        <f>IFERROR(__xludf.DUMMYFUNCTION("""COMPUTED_VALUE"""),2569.0)</f>
        <v>2569</v>
      </c>
      <c r="G534" s="1">
        <f>IFERROR(__xludf.DUMMYFUNCTION("""COMPUTED_VALUE"""),1.0)</f>
        <v>1</v>
      </c>
      <c r="H534" s="1">
        <f>IFERROR(__xludf.DUMMYFUNCTION("""COMPUTED_VALUE"""),512.0)</f>
        <v>512</v>
      </c>
      <c r="I534" s="1" t="str">
        <f>IFERROR(__xludf.DUMMYFUNCTION("""COMPUTED_VALUE"""),"นาย")</f>
        <v>นาย</v>
      </c>
      <c r="J534" s="1" t="str">
        <f>IFERROR(__xludf.DUMMYFUNCTION("""COMPUTED_VALUE"""),"ทวีศักดิ์")</f>
        <v>ทวีศักดิ์</v>
      </c>
      <c r="K534" s="1" t="str">
        <f>IFERROR(__xludf.DUMMYFUNCTION("""COMPUTED_VALUE"""),"พิทักษ์ศร")</f>
        <v>พิทักษ์ศร</v>
      </c>
      <c r="L534" s="1" t="str">
        <f>IFERROR(__xludf.DUMMYFUNCTION("""COMPUTED_VALUE"""),"ม.2")</f>
        <v>ม.2</v>
      </c>
      <c r="M534" s="1" t="str">
        <f>IFERROR(__xludf.DUMMYFUNCTION("""COMPUTED_VALUE"""),"สุขศึกษา")</f>
        <v>สุขศึกษา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>
        <f>IFERROR(__xludf.DUMMYFUNCTION("""COMPUTED_VALUE"""),1.0)</f>
        <v>1</v>
      </c>
      <c r="B535" s="1">
        <f>IFERROR(__xludf.DUMMYFUNCTION("""COMPUTED_VALUE"""),1.0)</f>
        <v>1</v>
      </c>
      <c r="C535" s="1" t="str">
        <f>IFERROR(__xludf.DUMMYFUNCTION("""COMPUTED_VALUE"""),"พ22102")</f>
        <v>พ22102</v>
      </c>
      <c r="D535" s="1" t="str">
        <f>IFERROR(__xludf.DUMMYFUNCTION("""COMPUTED_VALUE"""),"พลศึกษา3")</f>
        <v>พลศึกษา3</v>
      </c>
      <c r="E535" s="1">
        <f>IFERROR(__xludf.DUMMYFUNCTION("""COMPUTED_VALUE"""),0.5)</f>
        <v>0.5</v>
      </c>
      <c r="F535" s="1">
        <f>IFERROR(__xludf.DUMMYFUNCTION("""COMPUTED_VALUE"""),2569.0)</f>
        <v>2569</v>
      </c>
      <c r="G535" s="1">
        <f>IFERROR(__xludf.DUMMYFUNCTION("""COMPUTED_VALUE"""),1.0)</f>
        <v>1</v>
      </c>
      <c r="H535" s="1">
        <f>IFERROR(__xludf.DUMMYFUNCTION("""COMPUTED_VALUE"""),512.0)</f>
        <v>512</v>
      </c>
      <c r="I535" s="1" t="str">
        <f>IFERROR(__xludf.DUMMYFUNCTION("""COMPUTED_VALUE"""),"นาย")</f>
        <v>นาย</v>
      </c>
      <c r="J535" s="1" t="str">
        <f>IFERROR(__xludf.DUMMYFUNCTION("""COMPUTED_VALUE"""),"ทวีศักดิ์")</f>
        <v>ทวีศักดิ์</v>
      </c>
      <c r="K535" s="1" t="str">
        <f>IFERROR(__xludf.DUMMYFUNCTION("""COMPUTED_VALUE"""),"พิทักษ์ศร")</f>
        <v>พิทักษ์ศร</v>
      </c>
      <c r="L535" s="1" t="str">
        <f>IFERROR(__xludf.DUMMYFUNCTION("""COMPUTED_VALUE"""),"ม.2")</f>
        <v>ม.2</v>
      </c>
      <c r="M535" s="1" t="str">
        <f>IFERROR(__xludf.DUMMYFUNCTION("""COMPUTED_VALUE"""),"สุขศึกษา")</f>
        <v>สุขศึกษา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>
        <f>IFERROR(__xludf.DUMMYFUNCTION("""COMPUTED_VALUE"""),2.0)</f>
        <v>2</v>
      </c>
      <c r="B536" s="1">
        <f>IFERROR(__xludf.DUMMYFUNCTION("""COMPUTED_VALUE"""),1.0)</f>
        <v>1</v>
      </c>
      <c r="C536" s="1" t="str">
        <f>IFERROR(__xludf.DUMMYFUNCTION("""COMPUTED_VALUE"""),"พ22102")</f>
        <v>พ22102</v>
      </c>
      <c r="D536" s="1" t="str">
        <f>IFERROR(__xludf.DUMMYFUNCTION("""COMPUTED_VALUE"""),"พลศึกษา3")</f>
        <v>พลศึกษา3</v>
      </c>
      <c r="E536" s="1">
        <f>IFERROR(__xludf.DUMMYFUNCTION("""COMPUTED_VALUE"""),0.5)</f>
        <v>0.5</v>
      </c>
      <c r="F536" s="1">
        <f>IFERROR(__xludf.DUMMYFUNCTION("""COMPUTED_VALUE"""),2569.0)</f>
        <v>2569</v>
      </c>
      <c r="G536" s="1">
        <f>IFERROR(__xludf.DUMMYFUNCTION("""COMPUTED_VALUE"""),1.0)</f>
        <v>1</v>
      </c>
      <c r="H536" s="1">
        <f>IFERROR(__xludf.DUMMYFUNCTION("""COMPUTED_VALUE"""),512.0)</f>
        <v>512</v>
      </c>
      <c r="I536" s="1" t="str">
        <f>IFERROR(__xludf.DUMMYFUNCTION("""COMPUTED_VALUE"""),"นาย")</f>
        <v>นาย</v>
      </c>
      <c r="J536" s="1" t="str">
        <f>IFERROR(__xludf.DUMMYFUNCTION("""COMPUTED_VALUE"""),"ทวีศักดิ์")</f>
        <v>ทวีศักดิ์</v>
      </c>
      <c r="K536" s="1" t="str">
        <f>IFERROR(__xludf.DUMMYFUNCTION("""COMPUTED_VALUE"""),"พิทักษ์ศร")</f>
        <v>พิทักษ์ศร</v>
      </c>
      <c r="L536" s="1" t="str">
        <f>IFERROR(__xludf.DUMMYFUNCTION("""COMPUTED_VALUE"""),"ม.2")</f>
        <v>ม.2</v>
      </c>
      <c r="M536" s="1" t="str">
        <f>IFERROR(__xludf.DUMMYFUNCTION("""COMPUTED_VALUE"""),"สุขศึกษา")</f>
        <v>สุขศึกษา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>
        <f>IFERROR(__xludf.DUMMYFUNCTION("""COMPUTED_VALUE"""),3.0)</f>
        <v>3</v>
      </c>
      <c r="B537" s="1">
        <f>IFERROR(__xludf.DUMMYFUNCTION("""COMPUTED_VALUE"""),1.0)</f>
        <v>1</v>
      </c>
      <c r="C537" s="1" t="str">
        <f>IFERROR(__xludf.DUMMYFUNCTION("""COMPUTED_VALUE"""),"พ22102")</f>
        <v>พ22102</v>
      </c>
      <c r="D537" s="1" t="str">
        <f>IFERROR(__xludf.DUMMYFUNCTION("""COMPUTED_VALUE"""),"พลศึกษา3")</f>
        <v>พลศึกษา3</v>
      </c>
      <c r="E537" s="1">
        <f>IFERROR(__xludf.DUMMYFUNCTION("""COMPUTED_VALUE"""),0.5)</f>
        <v>0.5</v>
      </c>
      <c r="F537" s="1">
        <f>IFERROR(__xludf.DUMMYFUNCTION("""COMPUTED_VALUE"""),2569.0)</f>
        <v>2569</v>
      </c>
      <c r="G537" s="1">
        <f>IFERROR(__xludf.DUMMYFUNCTION("""COMPUTED_VALUE"""),1.0)</f>
        <v>1</v>
      </c>
      <c r="H537" s="1">
        <f>IFERROR(__xludf.DUMMYFUNCTION("""COMPUTED_VALUE"""),512.0)</f>
        <v>512</v>
      </c>
      <c r="I537" s="1" t="str">
        <f>IFERROR(__xludf.DUMMYFUNCTION("""COMPUTED_VALUE"""),"นาย")</f>
        <v>นาย</v>
      </c>
      <c r="J537" s="1" t="str">
        <f>IFERROR(__xludf.DUMMYFUNCTION("""COMPUTED_VALUE"""),"ทวีศักดิ์")</f>
        <v>ทวีศักดิ์</v>
      </c>
      <c r="K537" s="1" t="str">
        <f>IFERROR(__xludf.DUMMYFUNCTION("""COMPUTED_VALUE"""),"พิทักษ์ศร")</f>
        <v>พิทักษ์ศร</v>
      </c>
      <c r="L537" s="1" t="str">
        <f>IFERROR(__xludf.DUMMYFUNCTION("""COMPUTED_VALUE"""),"ม.2")</f>
        <v>ม.2</v>
      </c>
      <c r="M537" s="1" t="str">
        <f>IFERROR(__xludf.DUMMYFUNCTION("""COMPUTED_VALUE"""),"สุขศึกษา")</f>
        <v>สุขศึกษา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>
        <f>IFERROR(__xludf.DUMMYFUNCTION("""COMPUTED_VALUE"""),4.0)</f>
        <v>4</v>
      </c>
      <c r="B538" s="1">
        <f>IFERROR(__xludf.DUMMYFUNCTION("""COMPUTED_VALUE"""),1.0)</f>
        <v>1</v>
      </c>
      <c r="C538" s="1" t="str">
        <f>IFERROR(__xludf.DUMMYFUNCTION("""COMPUTED_VALUE"""),"พ22102")</f>
        <v>พ22102</v>
      </c>
      <c r="D538" s="1" t="str">
        <f>IFERROR(__xludf.DUMMYFUNCTION("""COMPUTED_VALUE"""),"พลศึกษา3")</f>
        <v>พลศึกษา3</v>
      </c>
      <c r="E538" s="1">
        <f>IFERROR(__xludf.DUMMYFUNCTION("""COMPUTED_VALUE"""),0.5)</f>
        <v>0.5</v>
      </c>
      <c r="F538" s="1">
        <f>IFERROR(__xludf.DUMMYFUNCTION("""COMPUTED_VALUE"""),2569.0)</f>
        <v>2569</v>
      </c>
      <c r="G538" s="1">
        <f>IFERROR(__xludf.DUMMYFUNCTION("""COMPUTED_VALUE"""),1.0)</f>
        <v>1</v>
      </c>
      <c r="H538" s="1">
        <f>IFERROR(__xludf.DUMMYFUNCTION("""COMPUTED_VALUE"""),512.0)</f>
        <v>512</v>
      </c>
      <c r="I538" s="1" t="str">
        <f>IFERROR(__xludf.DUMMYFUNCTION("""COMPUTED_VALUE"""),"นาย")</f>
        <v>นาย</v>
      </c>
      <c r="J538" s="1" t="str">
        <f>IFERROR(__xludf.DUMMYFUNCTION("""COMPUTED_VALUE"""),"ทวีศักดิ์")</f>
        <v>ทวีศักดิ์</v>
      </c>
      <c r="K538" s="1" t="str">
        <f>IFERROR(__xludf.DUMMYFUNCTION("""COMPUTED_VALUE"""),"พิทักษ์ศร")</f>
        <v>พิทักษ์ศร</v>
      </c>
      <c r="L538" s="1" t="str">
        <f>IFERROR(__xludf.DUMMYFUNCTION("""COMPUTED_VALUE"""),"ม.2")</f>
        <v>ม.2</v>
      </c>
      <c r="M538" s="1" t="str">
        <f>IFERROR(__xludf.DUMMYFUNCTION("""COMPUTED_VALUE"""),"สุขศึกษา")</f>
        <v>สุขศึกษา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>
        <f>IFERROR(__xludf.DUMMYFUNCTION("""COMPUTED_VALUE"""),5.0)</f>
        <v>5</v>
      </c>
      <c r="B539" s="1">
        <f>IFERROR(__xludf.DUMMYFUNCTION("""COMPUTED_VALUE"""),1.0)</f>
        <v>1</v>
      </c>
      <c r="C539" s="1" t="str">
        <f>IFERROR(__xludf.DUMMYFUNCTION("""COMPUTED_VALUE"""),"พ22102")</f>
        <v>พ22102</v>
      </c>
      <c r="D539" s="1" t="str">
        <f>IFERROR(__xludf.DUMMYFUNCTION("""COMPUTED_VALUE"""),"พลศึกษา3")</f>
        <v>พลศึกษา3</v>
      </c>
      <c r="E539" s="1">
        <f>IFERROR(__xludf.DUMMYFUNCTION("""COMPUTED_VALUE"""),0.5)</f>
        <v>0.5</v>
      </c>
      <c r="F539" s="1">
        <f>IFERROR(__xludf.DUMMYFUNCTION("""COMPUTED_VALUE"""),2569.0)</f>
        <v>2569</v>
      </c>
      <c r="G539" s="1">
        <f>IFERROR(__xludf.DUMMYFUNCTION("""COMPUTED_VALUE"""),1.0)</f>
        <v>1</v>
      </c>
      <c r="H539" s="1">
        <f>IFERROR(__xludf.DUMMYFUNCTION("""COMPUTED_VALUE"""),512.0)</f>
        <v>512</v>
      </c>
      <c r="I539" s="1" t="str">
        <f>IFERROR(__xludf.DUMMYFUNCTION("""COMPUTED_VALUE"""),"นาย")</f>
        <v>นาย</v>
      </c>
      <c r="J539" s="1" t="str">
        <f>IFERROR(__xludf.DUMMYFUNCTION("""COMPUTED_VALUE"""),"ทวีศักดิ์")</f>
        <v>ทวีศักดิ์</v>
      </c>
      <c r="K539" s="1" t="str">
        <f>IFERROR(__xludf.DUMMYFUNCTION("""COMPUTED_VALUE"""),"พิทักษ์ศร")</f>
        <v>พิทักษ์ศร</v>
      </c>
      <c r="L539" s="1" t="str">
        <f>IFERROR(__xludf.DUMMYFUNCTION("""COMPUTED_VALUE"""),"ม.2")</f>
        <v>ม.2</v>
      </c>
      <c r="M539" s="1" t="str">
        <f>IFERROR(__xludf.DUMMYFUNCTION("""COMPUTED_VALUE"""),"สุขศึกษา")</f>
        <v>สุขศึกษา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>
        <f>IFERROR(__xludf.DUMMYFUNCTION("""COMPUTED_VALUE"""),6.0)</f>
        <v>6</v>
      </c>
      <c r="B540" s="1">
        <f>IFERROR(__xludf.DUMMYFUNCTION("""COMPUTED_VALUE"""),1.0)</f>
        <v>1</v>
      </c>
      <c r="C540" s="1" t="str">
        <f>IFERROR(__xludf.DUMMYFUNCTION("""COMPUTED_VALUE"""),"พ22102")</f>
        <v>พ22102</v>
      </c>
      <c r="D540" s="1" t="str">
        <f>IFERROR(__xludf.DUMMYFUNCTION("""COMPUTED_VALUE"""),"พลศึกษา3")</f>
        <v>พลศึกษา3</v>
      </c>
      <c r="E540" s="1">
        <f>IFERROR(__xludf.DUMMYFUNCTION("""COMPUTED_VALUE"""),0.5)</f>
        <v>0.5</v>
      </c>
      <c r="F540" s="1">
        <f>IFERROR(__xludf.DUMMYFUNCTION("""COMPUTED_VALUE"""),2569.0)</f>
        <v>2569</v>
      </c>
      <c r="G540" s="1">
        <f>IFERROR(__xludf.DUMMYFUNCTION("""COMPUTED_VALUE"""),1.0)</f>
        <v>1</v>
      </c>
      <c r="H540" s="1">
        <f>IFERROR(__xludf.DUMMYFUNCTION("""COMPUTED_VALUE"""),512.0)</f>
        <v>512</v>
      </c>
      <c r="I540" s="1" t="str">
        <f>IFERROR(__xludf.DUMMYFUNCTION("""COMPUTED_VALUE"""),"นาย")</f>
        <v>นาย</v>
      </c>
      <c r="J540" s="1" t="str">
        <f>IFERROR(__xludf.DUMMYFUNCTION("""COMPUTED_VALUE"""),"ทวีศักดิ์")</f>
        <v>ทวีศักดิ์</v>
      </c>
      <c r="K540" s="1" t="str">
        <f>IFERROR(__xludf.DUMMYFUNCTION("""COMPUTED_VALUE"""),"พิทักษ์ศร")</f>
        <v>พิทักษ์ศร</v>
      </c>
      <c r="L540" s="1" t="str">
        <f>IFERROR(__xludf.DUMMYFUNCTION("""COMPUTED_VALUE"""),"ม.2")</f>
        <v>ม.2</v>
      </c>
      <c r="M540" s="1" t="str">
        <f>IFERROR(__xludf.DUMMYFUNCTION("""COMPUTED_VALUE"""),"สุขศึกษา")</f>
        <v>สุขศึกษา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>
        <f>IFERROR(__xludf.DUMMYFUNCTION("""COMPUTED_VALUE"""),7.0)</f>
        <v>7</v>
      </c>
      <c r="B541" s="1">
        <f>IFERROR(__xludf.DUMMYFUNCTION("""COMPUTED_VALUE"""),1.0)</f>
        <v>1</v>
      </c>
      <c r="C541" s="1" t="str">
        <f>IFERROR(__xludf.DUMMYFUNCTION("""COMPUTED_VALUE"""),"พ22102")</f>
        <v>พ22102</v>
      </c>
      <c r="D541" s="1" t="str">
        <f>IFERROR(__xludf.DUMMYFUNCTION("""COMPUTED_VALUE"""),"พลศึกษา3")</f>
        <v>พลศึกษา3</v>
      </c>
      <c r="E541" s="1">
        <f>IFERROR(__xludf.DUMMYFUNCTION("""COMPUTED_VALUE"""),0.5)</f>
        <v>0.5</v>
      </c>
      <c r="F541" s="1">
        <f>IFERROR(__xludf.DUMMYFUNCTION("""COMPUTED_VALUE"""),2569.0)</f>
        <v>2569</v>
      </c>
      <c r="G541" s="1">
        <f>IFERROR(__xludf.DUMMYFUNCTION("""COMPUTED_VALUE"""),1.0)</f>
        <v>1</v>
      </c>
      <c r="H541" s="1">
        <f>IFERROR(__xludf.DUMMYFUNCTION("""COMPUTED_VALUE"""),512.0)</f>
        <v>512</v>
      </c>
      <c r="I541" s="1" t="str">
        <f>IFERROR(__xludf.DUMMYFUNCTION("""COMPUTED_VALUE"""),"นาย")</f>
        <v>นาย</v>
      </c>
      <c r="J541" s="1" t="str">
        <f>IFERROR(__xludf.DUMMYFUNCTION("""COMPUTED_VALUE"""),"ทวีศักดิ์")</f>
        <v>ทวีศักดิ์</v>
      </c>
      <c r="K541" s="1" t="str">
        <f>IFERROR(__xludf.DUMMYFUNCTION("""COMPUTED_VALUE"""),"พิทักษ์ศร")</f>
        <v>พิทักษ์ศร</v>
      </c>
      <c r="L541" s="1" t="str">
        <f>IFERROR(__xludf.DUMMYFUNCTION("""COMPUTED_VALUE"""),"ม.2")</f>
        <v>ม.2</v>
      </c>
      <c r="M541" s="1" t="str">
        <f>IFERROR(__xludf.DUMMYFUNCTION("""COMPUTED_VALUE"""),"สุขศึกษา")</f>
        <v>สุขศึกษา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>
        <f>IFERROR(__xludf.DUMMYFUNCTION("""COMPUTED_VALUE"""),11.0)</f>
        <v>11</v>
      </c>
      <c r="B542" s="1">
        <f>IFERROR(__xludf.DUMMYFUNCTION("""COMPUTED_VALUE"""),1.0)</f>
        <v>1</v>
      </c>
      <c r="C542" s="1" t="str">
        <f>IFERROR(__xludf.DUMMYFUNCTION("""COMPUTED_VALUE"""),"พ30205")</f>
        <v>พ30205</v>
      </c>
      <c r="D542" s="1" t="str">
        <f>IFERROR(__xludf.DUMMYFUNCTION("""COMPUTED_VALUE"""),"บาสเกตบอล")</f>
        <v>บาสเกตบอล</v>
      </c>
      <c r="E542" s="1">
        <f>IFERROR(__xludf.DUMMYFUNCTION("""COMPUTED_VALUE"""),0.5)</f>
        <v>0.5</v>
      </c>
      <c r="F542" s="1">
        <f>IFERROR(__xludf.DUMMYFUNCTION("""COMPUTED_VALUE"""),2569.0)</f>
        <v>2569</v>
      </c>
      <c r="G542" s="1">
        <f>IFERROR(__xludf.DUMMYFUNCTION("""COMPUTED_VALUE"""),1.0)</f>
        <v>1</v>
      </c>
      <c r="H542" s="1">
        <f>IFERROR(__xludf.DUMMYFUNCTION("""COMPUTED_VALUE"""),512.0)</f>
        <v>512</v>
      </c>
      <c r="I542" s="1" t="str">
        <f>IFERROR(__xludf.DUMMYFUNCTION("""COMPUTED_VALUE"""),"นาย")</f>
        <v>นาย</v>
      </c>
      <c r="J542" s="1" t="str">
        <f>IFERROR(__xludf.DUMMYFUNCTION("""COMPUTED_VALUE"""),"ทวีศักดิ์")</f>
        <v>ทวีศักดิ์</v>
      </c>
      <c r="K542" s="1" t="str">
        <f>IFERROR(__xludf.DUMMYFUNCTION("""COMPUTED_VALUE"""),"พิทักษ์ศร")</f>
        <v>พิทักษ์ศร</v>
      </c>
      <c r="L542" s="1" t="str">
        <f>IFERROR(__xludf.DUMMYFUNCTION("""COMPUTED_VALUE"""),"ม.6")</f>
        <v>ม.6</v>
      </c>
      <c r="M542" s="1" t="str">
        <f>IFERROR(__xludf.DUMMYFUNCTION("""COMPUTED_VALUE"""),"สุขศึกษา")</f>
        <v>สุขศึกษา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>
        <f>IFERROR(__xludf.DUMMYFUNCTION("""COMPUTED_VALUE"""),5.0)</f>
        <v>5</v>
      </c>
      <c r="B543" s="1">
        <f>IFERROR(__xludf.DUMMYFUNCTION("""COMPUTED_VALUE"""),2.0)</f>
        <v>2</v>
      </c>
      <c r="C543" s="1" t="str">
        <f>IFERROR(__xludf.DUMMYFUNCTION("""COMPUTED_VALUE"""),"ส20223")</f>
        <v>ส20223</v>
      </c>
      <c r="D543" s="1" t="str">
        <f>IFERROR(__xludf.DUMMYFUNCTION("""COMPUTED_VALUE"""),"การป้องกันการทุจริต 1")</f>
        <v>การป้องกันการทุจริต 1</v>
      </c>
      <c r="E543" s="1">
        <f>IFERROR(__xludf.DUMMYFUNCTION("""COMPUTED_VALUE"""),0.5)</f>
        <v>0.5</v>
      </c>
      <c r="F543" s="1">
        <f>IFERROR(__xludf.DUMMYFUNCTION("""COMPUTED_VALUE"""),2569.0)</f>
        <v>2569</v>
      </c>
      <c r="G543" s="1">
        <f>IFERROR(__xludf.DUMMYFUNCTION("""COMPUTED_VALUE"""),1.0)</f>
        <v>1</v>
      </c>
      <c r="H543" s="1">
        <f>IFERROR(__xludf.DUMMYFUNCTION("""COMPUTED_VALUE"""),512.0)</f>
        <v>512</v>
      </c>
      <c r="I543" s="1" t="str">
        <f>IFERROR(__xludf.DUMMYFUNCTION("""COMPUTED_VALUE"""),"นาย")</f>
        <v>นาย</v>
      </c>
      <c r="J543" s="1" t="str">
        <f>IFERROR(__xludf.DUMMYFUNCTION("""COMPUTED_VALUE"""),"ทวีศักดิ์")</f>
        <v>ทวีศักดิ์</v>
      </c>
      <c r="K543" s="1" t="str">
        <f>IFERROR(__xludf.DUMMYFUNCTION("""COMPUTED_VALUE"""),"พิทักษ์ศร")</f>
        <v>พิทักษ์ศร</v>
      </c>
      <c r="L543" s="1" t="str">
        <f>IFERROR(__xludf.DUMMYFUNCTION("""COMPUTED_VALUE"""),"ม.1")</f>
        <v>ม.1</v>
      </c>
      <c r="M543" s="1" t="str">
        <f>IFERROR(__xludf.DUMMYFUNCTION("""COMPUTED_VALUE"""),"สุขศึกษา")</f>
        <v>สุขศึกษา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>
        <f>IFERROR(__xludf.DUMMYFUNCTION("""COMPUTED_VALUE"""),1.0)</f>
        <v>1</v>
      </c>
      <c r="B544" s="1">
        <f>IFERROR(__xludf.DUMMYFUNCTION("""COMPUTED_VALUE"""),1.0)</f>
        <v>1</v>
      </c>
      <c r="C544" s="1" t="str">
        <f>IFERROR(__xludf.DUMMYFUNCTION("""COMPUTED_VALUE"""),"พ20220")</f>
        <v>พ20220</v>
      </c>
      <c r="D544" s="1" t="str">
        <f>IFERROR(__xludf.DUMMYFUNCTION("""COMPUTED_VALUE"""),"ฟุตซอล")</f>
        <v>ฟุตซอล</v>
      </c>
      <c r="E544" s="1">
        <f>IFERROR(__xludf.DUMMYFUNCTION("""COMPUTED_VALUE"""),0.5)</f>
        <v>0.5</v>
      </c>
      <c r="F544" s="1">
        <f>IFERROR(__xludf.DUMMYFUNCTION("""COMPUTED_VALUE"""),2569.0)</f>
        <v>2569</v>
      </c>
      <c r="G544" s="1">
        <f>IFERROR(__xludf.DUMMYFUNCTION("""COMPUTED_VALUE"""),1.0)</f>
        <v>1</v>
      </c>
      <c r="H544" s="1">
        <f>IFERROR(__xludf.DUMMYFUNCTION("""COMPUTED_VALUE"""),513.0)</f>
        <v>513</v>
      </c>
      <c r="I544" s="1" t="str">
        <f>IFERROR(__xludf.DUMMYFUNCTION("""COMPUTED_VALUE"""),"นาย")</f>
        <v>นาย</v>
      </c>
      <c r="J544" s="1" t="str">
        <f>IFERROR(__xludf.DUMMYFUNCTION("""COMPUTED_VALUE"""),"ศราวุฒิ")</f>
        <v>ศราวุฒิ</v>
      </c>
      <c r="K544" s="1" t="str">
        <f>IFERROR(__xludf.DUMMYFUNCTION("""COMPUTED_VALUE"""),"บำรุงศิลป์")</f>
        <v>บำรุงศิลป์</v>
      </c>
      <c r="L544" s="1" t="str">
        <f>IFERROR(__xludf.DUMMYFUNCTION("""COMPUTED_VALUE"""),"ม.1")</f>
        <v>ม.1</v>
      </c>
      <c r="M544" s="1" t="str">
        <f>IFERROR(__xludf.DUMMYFUNCTION("""COMPUTED_VALUE"""),"สุขศึกษา")</f>
        <v>สุขศึกษา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>
        <f>IFERROR(__xludf.DUMMYFUNCTION("""COMPUTED_VALUE"""),1.0)</f>
        <v>1</v>
      </c>
      <c r="B545" s="1">
        <f>IFERROR(__xludf.DUMMYFUNCTION("""COMPUTED_VALUE"""),1.0)</f>
        <v>1</v>
      </c>
      <c r="C545" s="1" t="str">
        <f>IFERROR(__xludf.DUMMYFUNCTION("""COMPUTED_VALUE"""),"พ21102")</f>
        <v>พ21102</v>
      </c>
      <c r="D545" s="1" t="str">
        <f>IFERROR(__xludf.DUMMYFUNCTION("""COMPUTED_VALUE"""),"พลศึกษา 1")</f>
        <v>พลศึกษา 1</v>
      </c>
      <c r="E545" s="1">
        <f>IFERROR(__xludf.DUMMYFUNCTION("""COMPUTED_VALUE"""),0.5)</f>
        <v>0.5</v>
      </c>
      <c r="F545" s="1">
        <f>IFERROR(__xludf.DUMMYFUNCTION("""COMPUTED_VALUE"""),2569.0)</f>
        <v>2569</v>
      </c>
      <c r="G545" s="1">
        <f>IFERROR(__xludf.DUMMYFUNCTION("""COMPUTED_VALUE"""),1.0)</f>
        <v>1</v>
      </c>
      <c r="H545" s="1">
        <f>IFERROR(__xludf.DUMMYFUNCTION("""COMPUTED_VALUE"""),513.0)</f>
        <v>513</v>
      </c>
      <c r="I545" s="1" t="str">
        <f>IFERROR(__xludf.DUMMYFUNCTION("""COMPUTED_VALUE"""),"นาย")</f>
        <v>นาย</v>
      </c>
      <c r="J545" s="1" t="str">
        <f>IFERROR(__xludf.DUMMYFUNCTION("""COMPUTED_VALUE"""),"ศราวุฒิ")</f>
        <v>ศราวุฒิ</v>
      </c>
      <c r="K545" s="1" t="str">
        <f>IFERROR(__xludf.DUMMYFUNCTION("""COMPUTED_VALUE"""),"บำรุงศิลป์")</f>
        <v>บำรุงศิลป์</v>
      </c>
      <c r="L545" s="1" t="str">
        <f>IFERROR(__xludf.DUMMYFUNCTION("""COMPUTED_VALUE"""),"ม.1")</f>
        <v>ม.1</v>
      </c>
      <c r="M545" s="1" t="str">
        <f>IFERROR(__xludf.DUMMYFUNCTION("""COMPUTED_VALUE"""),"สุขศึกษา")</f>
        <v>สุขศึกษา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>
        <f>IFERROR(__xludf.DUMMYFUNCTION("""COMPUTED_VALUE"""),2.0)</f>
        <v>2</v>
      </c>
      <c r="B546" s="1">
        <f>IFERROR(__xludf.DUMMYFUNCTION("""COMPUTED_VALUE"""),1.0)</f>
        <v>1</v>
      </c>
      <c r="C546" s="1" t="str">
        <f>IFERROR(__xludf.DUMMYFUNCTION("""COMPUTED_VALUE"""),"พ21102")</f>
        <v>พ21102</v>
      </c>
      <c r="D546" s="1" t="str">
        <f>IFERROR(__xludf.DUMMYFUNCTION("""COMPUTED_VALUE"""),"พลศึกษา 1")</f>
        <v>พลศึกษา 1</v>
      </c>
      <c r="E546" s="1">
        <f>IFERROR(__xludf.DUMMYFUNCTION("""COMPUTED_VALUE"""),0.5)</f>
        <v>0.5</v>
      </c>
      <c r="F546" s="1">
        <f>IFERROR(__xludf.DUMMYFUNCTION("""COMPUTED_VALUE"""),2569.0)</f>
        <v>2569</v>
      </c>
      <c r="G546" s="1">
        <f>IFERROR(__xludf.DUMMYFUNCTION("""COMPUTED_VALUE"""),1.0)</f>
        <v>1</v>
      </c>
      <c r="H546" s="1">
        <f>IFERROR(__xludf.DUMMYFUNCTION("""COMPUTED_VALUE"""),513.0)</f>
        <v>513</v>
      </c>
      <c r="I546" s="1" t="str">
        <f>IFERROR(__xludf.DUMMYFUNCTION("""COMPUTED_VALUE"""),"นาย")</f>
        <v>นาย</v>
      </c>
      <c r="J546" s="1" t="str">
        <f>IFERROR(__xludf.DUMMYFUNCTION("""COMPUTED_VALUE"""),"ศราวุฒิ")</f>
        <v>ศราวุฒิ</v>
      </c>
      <c r="K546" s="1" t="str">
        <f>IFERROR(__xludf.DUMMYFUNCTION("""COMPUTED_VALUE"""),"บำรุงศิลป์")</f>
        <v>บำรุงศิลป์</v>
      </c>
      <c r="L546" s="1" t="str">
        <f>IFERROR(__xludf.DUMMYFUNCTION("""COMPUTED_VALUE"""),"ม.1")</f>
        <v>ม.1</v>
      </c>
      <c r="M546" s="1" t="str">
        <f>IFERROR(__xludf.DUMMYFUNCTION("""COMPUTED_VALUE"""),"สุขศึกษา")</f>
        <v>สุขศึกษา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>
        <f>IFERROR(__xludf.DUMMYFUNCTION("""COMPUTED_VALUE"""),3.0)</f>
        <v>3</v>
      </c>
      <c r="B547" s="1">
        <f>IFERROR(__xludf.DUMMYFUNCTION("""COMPUTED_VALUE"""),1.0)</f>
        <v>1</v>
      </c>
      <c r="C547" s="1" t="str">
        <f>IFERROR(__xludf.DUMMYFUNCTION("""COMPUTED_VALUE"""),"พ21102")</f>
        <v>พ21102</v>
      </c>
      <c r="D547" s="1" t="str">
        <f>IFERROR(__xludf.DUMMYFUNCTION("""COMPUTED_VALUE"""),"พลศึกษา 1")</f>
        <v>พลศึกษา 1</v>
      </c>
      <c r="E547" s="1">
        <f>IFERROR(__xludf.DUMMYFUNCTION("""COMPUTED_VALUE"""),0.5)</f>
        <v>0.5</v>
      </c>
      <c r="F547" s="1">
        <f>IFERROR(__xludf.DUMMYFUNCTION("""COMPUTED_VALUE"""),2569.0)</f>
        <v>2569</v>
      </c>
      <c r="G547" s="1">
        <f>IFERROR(__xludf.DUMMYFUNCTION("""COMPUTED_VALUE"""),1.0)</f>
        <v>1</v>
      </c>
      <c r="H547" s="1">
        <f>IFERROR(__xludf.DUMMYFUNCTION("""COMPUTED_VALUE"""),513.0)</f>
        <v>513</v>
      </c>
      <c r="I547" s="1" t="str">
        <f>IFERROR(__xludf.DUMMYFUNCTION("""COMPUTED_VALUE"""),"นาย")</f>
        <v>นาย</v>
      </c>
      <c r="J547" s="1" t="str">
        <f>IFERROR(__xludf.DUMMYFUNCTION("""COMPUTED_VALUE"""),"ศราวุฒิ")</f>
        <v>ศราวุฒิ</v>
      </c>
      <c r="K547" s="1" t="str">
        <f>IFERROR(__xludf.DUMMYFUNCTION("""COMPUTED_VALUE"""),"บำรุงศิลป์")</f>
        <v>บำรุงศิลป์</v>
      </c>
      <c r="L547" s="1" t="str">
        <f>IFERROR(__xludf.DUMMYFUNCTION("""COMPUTED_VALUE"""),"ม.1")</f>
        <v>ม.1</v>
      </c>
      <c r="M547" s="1" t="str">
        <f>IFERROR(__xludf.DUMMYFUNCTION("""COMPUTED_VALUE"""),"สุขศึกษา")</f>
        <v>สุขศึกษา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>
        <f>IFERROR(__xludf.DUMMYFUNCTION("""COMPUTED_VALUE"""),4.0)</f>
        <v>4</v>
      </c>
      <c r="B548" s="1">
        <f>IFERROR(__xludf.DUMMYFUNCTION("""COMPUTED_VALUE"""),1.0)</f>
        <v>1</v>
      </c>
      <c r="C548" s="1" t="str">
        <f>IFERROR(__xludf.DUMMYFUNCTION("""COMPUTED_VALUE"""),"พ21102")</f>
        <v>พ21102</v>
      </c>
      <c r="D548" s="1" t="str">
        <f>IFERROR(__xludf.DUMMYFUNCTION("""COMPUTED_VALUE"""),"พลศึกษา 1")</f>
        <v>พลศึกษา 1</v>
      </c>
      <c r="E548" s="1">
        <f>IFERROR(__xludf.DUMMYFUNCTION("""COMPUTED_VALUE"""),0.5)</f>
        <v>0.5</v>
      </c>
      <c r="F548" s="1">
        <f>IFERROR(__xludf.DUMMYFUNCTION("""COMPUTED_VALUE"""),2569.0)</f>
        <v>2569</v>
      </c>
      <c r="G548" s="1">
        <f>IFERROR(__xludf.DUMMYFUNCTION("""COMPUTED_VALUE"""),1.0)</f>
        <v>1</v>
      </c>
      <c r="H548" s="1">
        <f>IFERROR(__xludf.DUMMYFUNCTION("""COMPUTED_VALUE"""),513.0)</f>
        <v>513</v>
      </c>
      <c r="I548" s="1" t="str">
        <f>IFERROR(__xludf.DUMMYFUNCTION("""COMPUTED_VALUE"""),"นาย")</f>
        <v>นาย</v>
      </c>
      <c r="J548" s="1" t="str">
        <f>IFERROR(__xludf.DUMMYFUNCTION("""COMPUTED_VALUE"""),"ศราวุฒิ")</f>
        <v>ศราวุฒิ</v>
      </c>
      <c r="K548" s="1" t="str">
        <f>IFERROR(__xludf.DUMMYFUNCTION("""COMPUTED_VALUE"""),"บำรุงศิลป์")</f>
        <v>บำรุงศิลป์</v>
      </c>
      <c r="L548" s="1" t="str">
        <f>IFERROR(__xludf.DUMMYFUNCTION("""COMPUTED_VALUE"""),"ม.1")</f>
        <v>ม.1</v>
      </c>
      <c r="M548" s="1" t="str">
        <f>IFERROR(__xludf.DUMMYFUNCTION("""COMPUTED_VALUE"""),"สุขศึกษา")</f>
        <v>สุขศึกษา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>
        <f>IFERROR(__xludf.DUMMYFUNCTION("""COMPUTED_VALUE"""),5.0)</f>
        <v>5</v>
      </c>
      <c r="B549" s="1">
        <f>IFERROR(__xludf.DUMMYFUNCTION("""COMPUTED_VALUE"""),1.0)</f>
        <v>1</v>
      </c>
      <c r="C549" s="1" t="str">
        <f>IFERROR(__xludf.DUMMYFUNCTION("""COMPUTED_VALUE"""),"พ21102")</f>
        <v>พ21102</v>
      </c>
      <c r="D549" s="1" t="str">
        <f>IFERROR(__xludf.DUMMYFUNCTION("""COMPUTED_VALUE"""),"พลศึกษา 1")</f>
        <v>พลศึกษา 1</v>
      </c>
      <c r="E549" s="1">
        <f>IFERROR(__xludf.DUMMYFUNCTION("""COMPUTED_VALUE"""),0.5)</f>
        <v>0.5</v>
      </c>
      <c r="F549" s="1">
        <f>IFERROR(__xludf.DUMMYFUNCTION("""COMPUTED_VALUE"""),2569.0)</f>
        <v>2569</v>
      </c>
      <c r="G549" s="1">
        <f>IFERROR(__xludf.DUMMYFUNCTION("""COMPUTED_VALUE"""),1.0)</f>
        <v>1</v>
      </c>
      <c r="H549" s="1">
        <f>IFERROR(__xludf.DUMMYFUNCTION("""COMPUTED_VALUE"""),513.0)</f>
        <v>513</v>
      </c>
      <c r="I549" s="1" t="str">
        <f>IFERROR(__xludf.DUMMYFUNCTION("""COMPUTED_VALUE"""),"นาย")</f>
        <v>นาย</v>
      </c>
      <c r="J549" s="1" t="str">
        <f>IFERROR(__xludf.DUMMYFUNCTION("""COMPUTED_VALUE"""),"ศราวุฒิ")</f>
        <v>ศราวุฒิ</v>
      </c>
      <c r="K549" s="1" t="str">
        <f>IFERROR(__xludf.DUMMYFUNCTION("""COMPUTED_VALUE"""),"บำรุงศิลป์")</f>
        <v>บำรุงศิลป์</v>
      </c>
      <c r="L549" s="1" t="str">
        <f>IFERROR(__xludf.DUMMYFUNCTION("""COMPUTED_VALUE"""),"ม.1")</f>
        <v>ม.1</v>
      </c>
      <c r="M549" s="1" t="str">
        <f>IFERROR(__xludf.DUMMYFUNCTION("""COMPUTED_VALUE"""),"สุขศึกษา")</f>
        <v>สุขศึกษา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>
        <f>IFERROR(__xludf.DUMMYFUNCTION("""COMPUTED_VALUE"""),6.0)</f>
        <v>6</v>
      </c>
      <c r="B550" s="1">
        <f>IFERROR(__xludf.DUMMYFUNCTION("""COMPUTED_VALUE"""),1.0)</f>
        <v>1</v>
      </c>
      <c r="C550" s="1" t="str">
        <f>IFERROR(__xludf.DUMMYFUNCTION("""COMPUTED_VALUE"""),"พ21102")</f>
        <v>พ21102</v>
      </c>
      <c r="D550" s="1" t="str">
        <f>IFERROR(__xludf.DUMMYFUNCTION("""COMPUTED_VALUE"""),"พลศึกษา 1")</f>
        <v>พลศึกษา 1</v>
      </c>
      <c r="E550" s="1">
        <f>IFERROR(__xludf.DUMMYFUNCTION("""COMPUTED_VALUE"""),0.5)</f>
        <v>0.5</v>
      </c>
      <c r="F550" s="1">
        <f>IFERROR(__xludf.DUMMYFUNCTION("""COMPUTED_VALUE"""),2569.0)</f>
        <v>2569</v>
      </c>
      <c r="G550" s="1">
        <f>IFERROR(__xludf.DUMMYFUNCTION("""COMPUTED_VALUE"""),1.0)</f>
        <v>1</v>
      </c>
      <c r="H550" s="1">
        <f>IFERROR(__xludf.DUMMYFUNCTION("""COMPUTED_VALUE"""),513.0)</f>
        <v>513</v>
      </c>
      <c r="I550" s="1" t="str">
        <f>IFERROR(__xludf.DUMMYFUNCTION("""COMPUTED_VALUE"""),"นาย")</f>
        <v>นาย</v>
      </c>
      <c r="J550" s="1" t="str">
        <f>IFERROR(__xludf.DUMMYFUNCTION("""COMPUTED_VALUE"""),"ศราวุฒิ")</f>
        <v>ศราวุฒิ</v>
      </c>
      <c r="K550" s="1" t="str">
        <f>IFERROR(__xludf.DUMMYFUNCTION("""COMPUTED_VALUE"""),"บำรุงศิลป์")</f>
        <v>บำรุงศิลป์</v>
      </c>
      <c r="L550" s="1" t="str">
        <f>IFERROR(__xludf.DUMMYFUNCTION("""COMPUTED_VALUE"""),"ม.1")</f>
        <v>ม.1</v>
      </c>
      <c r="M550" s="1" t="str">
        <f>IFERROR(__xludf.DUMMYFUNCTION("""COMPUTED_VALUE"""),"สุขศึกษา")</f>
        <v>สุขศึกษา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>
        <f>IFERROR(__xludf.DUMMYFUNCTION("""COMPUTED_VALUE"""),7.0)</f>
        <v>7</v>
      </c>
      <c r="B551" s="1">
        <f>IFERROR(__xludf.DUMMYFUNCTION("""COMPUTED_VALUE"""),1.0)</f>
        <v>1</v>
      </c>
      <c r="C551" s="1" t="str">
        <f>IFERROR(__xludf.DUMMYFUNCTION("""COMPUTED_VALUE"""),"พ21102")</f>
        <v>พ21102</v>
      </c>
      <c r="D551" s="1" t="str">
        <f>IFERROR(__xludf.DUMMYFUNCTION("""COMPUTED_VALUE"""),"พลศึกษา 1")</f>
        <v>พลศึกษา 1</v>
      </c>
      <c r="E551" s="1">
        <f>IFERROR(__xludf.DUMMYFUNCTION("""COMPUTED_VALUE"""),0.5)</f>
        <v>0.5</v>
      </c>
      <c r="F551" s="1">
        <f>IFERROR(__xludf.DUMMYFUNCTION("""COMPUTED_VALUE"""),2569.0)</f>
        <v>2569</v>
      </c>
      <c r="G551" s="1">
        <f>IFERROR(__xludf.DUMMYFUNCTION("""COMPUTED_VALUE"""),1.0)</f>
        <v>1</v>
      </c>
      <c r="H551" s="1">
        <f>IFERROR(__xludf.DUMMYFUNCTION("""COMPUTED_VALUE"""),513.0)</f>
        <v>513</v>
      </c>
      <c r="I551" s="1" t="str">
        <f>IFERROR(__xludf.DUMMYFUNCTION("""COMPUTED_VALUE"""),"นาย")</f>
        <v>นาย</v>
      </c>
      <c r="J551" s="1" t="str">
        <f>IFERROR(__xludf.DUMMYFUNCTION("""COMPUTED_VALUE"""),"ศราวุฒิ")</f>
        <v>ศราวุฒิ</v>
      </c>
      <c r="K551" s="1" t="str">
        <f>IFERROR(__xludf.DUMMYFUNCTION("""COMPUTED_VALUE"""),"บำรุงศิลป์")</f>
        <v>บำรุงศิลป์</v>
      </c>
      <c r="L551" s="1" t="str">
        <f>IFERROR(__xludf.DUMMYFUNCTION("""COMPUTED_VALUE"""),"ม.1")</f>
        <v>ม.1</v>
      </c>
      <c r="M551" s="1" t="str">
        <f>IFERROR(__xludf.DUMMYFUNCTION("""COMPUTED_VALUE"""),"สุขศึกษา")</f>
        <v>สุขศึกษา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>
        <f>IFERROR(__xludf.DUMMYFUNCTION("""COMPUTED_VALUE"""),1.0)</f>
        <v>1</v>
      </c>
      <c r="B552" s="1">
        <f>IFERROR(__xludf.DUMMYFUNCTION("""COMPUTED_VALUE"""),1.0)</f>
        <v>1</v>
      </c>
      <c r="C552" s="1" t="str">
        <f>IFERROR(__xludf.DUMMYFUNCTION("""COMPUTED_VALUE"""),"พ21101")</f>
        <v>พ21101</v>
      </c>
      <c r="D552" s="1" t="str">
        <f>IFERROR(__xludf.DUMMYFUNCTION("""COMPUTED_VALUE"""),"สุขศึกษา 1")</f>
        <v>สุขศึกษา 1</v>
      </c>
      <c r="E552" s="1">
        <f>IFERROR(__xludf.DUMMYFUNCTION("""COMPUTED_VALUE"""),0.5)</f>
        <v>0.5</v>
      </c>
      <c r="F552" s="1">
        <f>IFERROR(__xludf.DUMMYFUNCTION("""COMPUTED_VALUE"""),2569.0)</f>
        <v>2569</v>
      </c>
      <c r="G552" s="1">
        <f>IFERROR(__xludf.DUMMYFUNCTION("""COMPUTED_VALUE"""),1.0)</f>
        <v>1</v>
      </c>
      <c r="H552" s="1">
        <f>IFERROR(__xludf.DUMMYFUNCTION("""COMPUTED_VALUE"""),514.0)</f>
        <v>514</v>
      </c>
      <c r="I552" s="1" t="str">
        <f>IFERROR(__xludf.DUMMYFUNCTION("""COMPUTED_VALUE"""),"นาง")</f>
        <v>นาง</v>
      </c>
      <c r="J552" s="1" t="str">
        <f>IFERROR(__xludf.DUMMYFUNCTION("""COMPUTED_VALUE"""),"พรทิพา")</f>
        <v>พรทิพา</v>
      </c>
      <c r="K552" s="1" t="str">
        <f>IFERROR(__xludf.DUMMYFUNCTION("""COMPUTED_VALUE"""),"ทองแย้ม")</f>
        <v>ทองแย้ม</v>
      </c>
      <c r="L552" s="1" t="str">
        <f>IFERROR(__xludf.DUMMYFUNCTION("""COMPUTED_VALUE"""),"ม.1")</f>
        <v>ม.1</v>
      </c>
      <c r="M552" s="1" t="str">
        <f>IFERROR(__xludf.DUMMYFUNCTION("""COMPUTED_VALUE"""),"สุขศึกษา")</f>
        <v>สุขศึกษา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>
        <f>IFERROR(__xludf.DUMMYFUNCTION("""COMPUTED_VALUE"""),2.0)</f>
        <v>2</v>
      </c>
      <c r="B553" s="1">
        <f>IFERROR(__xludf.DUMMYFUNCTION("""COMPUTED_VALUE"""),1.0)</f>
        <v>1</v>
      </c>
      <c r="C553" s="1" t="str">
        <f>IFERROR(__xludf.DUMMYFUNCTION("""COMPUTED_VALUE"""),"พ21101")</f>
        <v>พ21101</v>
      </c>
      <c r="D553" s="1" t="str">
        <f>IFERROR(__xludf.DUMMYFUNCTION("""COMPUTED_VALUE"""),"สุขศึกษา 1")</f>
        <v>สุขศึกษา 1</v>
      </c>
      <c r="E553" s="1">
        <f>IFERROR(__xludf.DUMMYFUNCTION("""COMPUTED_VALUE"""),0.5)</f>
        <v>0.5</v>
      </c>
      <c r="F553" s="1">
        <f>IFERROR(__xludf.DUMMYFUNCTION("""COMPUTED_VALUE"""),2569.0)</f>
        <v>2569</v>
      </c>
      <c r="G553" s="1">
        <f>IFERROR(__xludf.DUMMYFUNCTION("""COMPUTED_VALUE"""),1.0)</f>
        <v>1</v>
      </c>
      <c r="H553" s="1">
        <f>IFERROR(__xludf.DUMMYFUNCTION("""COMPUTED_VALUE"""),514.0)</f>
        <v>514</v>
      </c>
      <c r="I553" s="1" t="str">
        <f>IFERROR(__xludf.DUMMYFUNCTION("""COMPUTED_VALUE"""),"นาง")</f>
        <v>นาง</v>
      </c>
      <c r="J553" s="1" t="str">
        <f>IFERROR(__xludf.DUMMYFUNCTION("""COMPUTED_VALUE"""),"พรทิพา")</f>
        <v>พรทิพา</v>
      </c>
      <c r="K553" s="1" t="str">
        <f>IFERROR(__xludf.DUMMYFUNCTION("""COMPUTED_VALUE"""),"ทองแย้ม")</f>
        <v>ทองแย้ม</v>
      </c>
      <c r="L553" s="1" t="str">
        <f>IFERROR(__xludf.DUMMYFUNCTION("""COMPUTED_VALUE"""),"ม.1")</f>
        <v>ม.1</v>
      </c>
      <c r="M553" s="1" t="str">
        <f>IFERROR(__xludf.DUMMYFUNCTION("""COMPUTED_VALUE"""),"สุขศึกษา")</f>
        <v>สุขศึกษา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>
        <f>IFERROR(__xludf.DUMMYFUNCTION("""COMPUTED_VALUE"""),3.0)</f>
        <v>3</v>
      </c>
      <c r="B554" s="1">
        <f>IFERROR(__xludf.DUMMYFUNCTION("""COMPUTED_VALUE"""),1.0)</f>
        <v>1</v>
      </c>
      <c r="C554" s="1" t="str">
        <f>IFERROR(__xludf.DUMMYFUNCTION("""COMPUTED_VALUE"""),"พ21101")</f>
        <v>พ21101</v>
      </c>
      <c r="D554" s="1" t="str">
        <f>IFERROR(__xludf.DUMMYFUNCTION("""COMPUTED_VALUE"""),"สุขศึกษา 1")</f>
        <v>สุขศึกษา 1</v>
      </c>
      <c r="E554" s="1">
        <f>IFERROR(__xludf.DUMMYFUNCTION("""COMPUTED_VALUE"""),0.5)</f>
        <v>0.5</v>
      </c>
      <c r="F554" s="1">
        <f>IFERROR(__xludf.DUMMYFUNCTION("""COMPUTED_VALUE"""),2569.0)</f>
        <v>2569</v>
      </c>
      <c r="G554" s="1">
        <f>IFERROR(__xludf.DUMMYFUNCTION("""COMPUTED_VALUE"""),1.0)</f>
        <v>1</v>
      </c>
      <c r="H554" s="1">
        <f>IFERROR(__xludf.DUMMYFUNCTION("""COMPUTED_VALUE"""),514.0)</f>
        <v>514</v>
      </c>
      <c r="I554" s="1" t="str">
        <f>IFERROR(__xludf.DUMMYFUNCTION("""COMPUTED_VALUE"""),"นาง")</f>
        <v>นาง</v>
      </c>
      <c r="J554" s="1" t="str">
        <f>IFERROR(__xludf.DUMMYFUNCTION("""COMPUTED_VALUE"""),"พรทิพา")</f>
        <v>พรทิพา</v>
      </c>
      <c r="K554" s="1" t="str">
        <f>IFERROR(__xludf.DUMMYFUNCTION("""COMPUTED_VALUE"""),"ทองแย้ม")</f>
        <v>ทองแย้ม</v>
      </c>
      <c r="L554" s="1" t="str">
        <f>IFERROR(__xludf.DUMMYFUNCTION("""COMPUTED_VALUE"""),"ม.1")</f>
        <v>ม.1</v>
      </c>
      <c r="M554" s="1" t="str">
        <f>IFERROR(__xludf.DUMMYFUNCTION("""COMPUTED_VALUE"""),"สุขศึกษา")</f>
        <v>สุขศึกษา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>
        <f>IFERROR(__xludf.DUMMYFUNCTION("""COMPUTED_VALUE"""),4.0)</f>
        <v>4</v>
      </c>
      <c r="B555" s="1">
        <f>IFERROR(__xludf.DUMMYFUNCTION("""COMPUTED_VALUE"""),1.0)</f>
        <v>1</v>
      </c>
      <c r="C555" s="1" t="str">
        <f>IFERROR(__xludf.DUMMYFUNCTION("""COMPUTED_VALUE"""),"พ21101")</f>
        <v>พ21101</v>
      </c>
      <c r="D555" s="1" t="str">
        <f>IFERROR(__xludf.DUMMYFUNCTION("""COMPUTED_VALUE"""),"สุขศึกษา 1")</f>
        <v>สุขศึกษา 1</v>
      </c>
      <c r="E555" s="1">
        <f>IFERROR(__xludf.DUMMYFUNCTION("""COMPUTED_VALUE"""),0.5)</f>
        <v>0.5</v>
      </c>
      <c r="F555" s="1">
        <f>IFERROR(__xludf.DUMMYFUNCTION("""COMPUTED_VALUE"""),2569.0)</f>
        <v>2569</v>
      </c>
      <c r="G555" s="1">
        <f>IFERROR(__xludf.DUMMYFUNCTION("""COMPUTED_VALUE"""),1.0)</f>
        <v>1</v>
      </c>
      <c r="H555" s="1">
        <f>IFERROR(__xludf.DUMMYFUNCTION("""COMPUTED_VALUE"""),514.0)</f>
        <v>514</v>
      </c>
      <c r="I555" s="1" t="str">
        <f>IFERROR(__xludf.DUMMYFUNCTION("""COMPUTED_VALUE"""),"นาง")</f>
        <v>นาง</v>
      </c>
      <c r="J555" s="1" t="str">
        <f>IFERROR(__xludf.DUMMYFUNCTION("""COMPUTED_VALUE"""),"พรทิพา")</f>
        <v>พรทิพา</v>
      </c>
      <c r="K555" s="1" t="str">
        <f>IFERROR(__xludf.DUMMYFUNCTION("""COMPUTED_VALUE"""),"ทองแย้ม")</f>
        <v>ทองแย้ม</v>
      </c>
      <c r="L555" s="1" t="str">
        <f>IFERROR(__xludf.DUMMYFUNCTION("""COMPUTED_VALUE"""),"ม.1")</f>
        <v>ม.1</v>
      </c>
      <c r="M555" s="1" t="str">
        <f>IFERROR(__xludf.DUMMYFUNCTION("""COMPUTED_VALUE"""),"สุขศึกษา")</f>
        <v>สุขศึกษา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>
        <f>IFERROR(__xludf.DUMMYFUNCTION("""COMPUTED_VALUE"""),5.0)</f>
        <v>5</v>
      </c>
      <c r="B556" s="1">
        <f>IFERROR(__xludf.DUMMYFUNCTION("""COMPUTED_VALUE"""),1.0)</f>
        <v>1</v>
      </c>
      <c r="C556" s="1" t="str">
        <f>IFERROR(__xludf.DUMMYFUNCTION("""COMPUTED_VALUE"""),"พ21101")</f>
        <v>พ21101</v>
      </c>
      <c r="D556" s="1" t="str">
        <f>IFERROR(__xludf.DUMMYFUNCTION("""COMPUTED_VALUE"""),"สุขศึกษา 1")</f>
        <v>สุขศึกษา 1</v>
      </c>
      <c r="E556" s="1">
        <f>IFERROR(__xludf.DUMMYFUNCTION("""COMPUTED_VALUE"""),0.5)</f>
        <v>0.5</v>
      </c>
      <c r="F556" s="1">
        <f>IFERROR(__xludf.DUMMYFUNCTION("""COMPUTED_VALUE"""),2569.0)</f>
        <v>2569</v>
      </c>
      <c r="G556" s="1">
        <f>IFERROR(__xludf.DUMMYFUNCTION("""COMPUTED_VALUE"""),1.0)</f>
        <v>1</v>
      </c>
      <c r="H556" s="1">
        <f>IFERROR(__xludf.DUMMYFUNCTION("""COMPUTED_VALUE"""),514.0)</f>
        <v>514</v>
      </c>
      <c r="I556" s="1" t="str">
        <f>IFERROR(__xludf.DUMMYFUNCTION("""COMPUTED_VALUE"""),"นาง")</f>
        <v>นาง</v>
      </c>
      <c r="J556" s="1" t="str">
        <f>IFERROR(__xludf.DUMMYFUNCTION("""COMPUTED_VALUE"""),"พรทิพา")</f>
        <v>พรทิพา</v>
      </c>
      <c r="K556" s="1" t="str">
        <f>IFERROR(__xludf.DUMMYFUNCTION("""COMPUTED_VALUE"""),"ทองแย้ม")</f>
        <v>ทองแย้ม</v>
      </c>
      <c r="L556" s="1" t="str">
        <f>IFERROR(__xludf.DUMMYFUNCTION("""COMPUTED_VALUE"""),"ม.1")</f>
        <v>ม.1</v>
      </c>
      <c r="M556" s="1" t="str">
        <f>IFERROR(__xludf.DUMMYFUNCTION("""COMPUTED_VALUE"""),"สุขศึกษา")</f>
        <v>สุขศึกษา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>
        <f>IFERROR(__xludf.DUMMYFUNCTION("""COMPUTED_VALUE"""),6.0)</f>
        <v>6</v>
      </c>
      <c r="B557" s="1">
        <f>IFERROR(__xludf.DUMMYFUNCTION("""COMPUTED_VALUE"""),1.0)</f>
        <v>1</v>
      </c>
      <c r="C557" s="1" t="str">
        <f>IFERROR(__xludf.DUMMYFUNCTION("""COMPUTED_VALUE"""),"พ21101")</f>
        <v>พ21101</v>
      </c>
      <c r="D557" s="1" t="str">
        <f>IFERROR(__xludf.DUMMYFUNCTION("""COMPUTED_VALUE"""),"สุขศึกษา 1")</f>
        <v>สุขศึกษา 1</v>
      </c>
      <c r="E557" s="1">
        <f>IFERROR(__xludf.DUMMYFUNCTION("""COMPUTED_VALUE"""),0.5)</f>
        <v>0.5</v>
      </c>
      <c r="F557" s="1">
        <f>IFERROR(__xludf.DUMMYFUNCTION("""COMPUTED_VALUE"""),2569.0)</f>
        <v>2569</v>
      </c>
      <c r="G557" s="1">
        <f>IFERROR(__xludf.DUMMYFUNCTION("""COMPUTED_VALUE"""),1.0)</f>
        <v>1</v>
      </c>
      <c r="H557" s="1">
        <f>IFERROR(__xludf.DUMMYFUNCTION("""COMPUTED_VALUE"""),514.0)</f>
        <v>514</v>
      </c>
      <c r="I557" s="1" t="str">
        <f>IFERROR(__xludf.DUMMYFUNCTION("""COMPUTED_VALUE"""),"นาง")</f>
        <v>นาง</v>
      </c>
      <c r="J557" s="1" t="str">
        <f>IFERROR(__xludf.DUMMYFUNCTION("""COMPUTED_VALUE"""),"พรทิพา")</f>
        <v>พรทิพา</v>
      </c>
      <c r="K557" s="1" t="str">
        <f>IFERROR(__xludf.DUMMYFUNCTION("""COMPUTED_VALUE"""),"ทองแย้ม")</f>
        <v>ทองแย้ม</v>
      </c>
      <c r="L557" s="1" t="str">
        <f>IFERROR(__xludf.DUMMYFUNCTION("""COMPUTED_VALUE"""),"ม.1")</f>
        <v>ม.1</v>
      </c>
      <c r="M557" s="1" t="str">
        <f>IFERROR(__xludf.DUMMYFUNCTION("""COMPUTED_VALUE"""),"สุขศึกษา")</f>
        <v>สุขศึกษา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>
        <f>IFERROR(__xludf.DUMMYFUNCTION("""COMPUTED_VALUE"""),7.0)</f>
        <v>7</v>
      </c>
      <c r="B558" s="1">
        <f>IFERROR(__xludf.DUMMYFUNCTION("""COMPUTED_VALUE"""),1.0)</f>
        <v>1</v>
      </c>
      <c r="C558" s="1" t="str">
        <f>IFERROR(__xludf.DUMMYFUNCTION("""COMPUTED_VALUE"""),"พ21101")</f>
        <v>พ21101</v>
      </c>
      <c r="D558" s="1" t="str">
        <f>IFERROR(__xludf.DUMMYFUNCTION("""COMPUTED_VALUE"""),"สุขศึกษา 1")</f>
        <v>สุขศึกษา 1</v>
      </c>
      <c r="E558" s="1">
        <f>IFERROR(__xludf.DUMMYFUNCTION("""COMPUTED_VALUE"""),0.5)</f>
        <v>0.5</v>
      </c>
      <c r="F558" s="1">
        <f>IFERROR(__xludf.DUMMYFUNCTION("""COMPUTED_VALUE"""),2569.0)</f>
        <v>2569</v>
      </c>
      <c r="G558" s="1">
        <f>IFERROR(__xludf.DUMMYFUNCTION("""COMPUTED_VALUE"""),1.0)</f>
        <v>1</v>
      </c>
      <c r="H558" s="1">
        <f>IFERROR(__xludf.DUMMYFUNCTION("""COMPUTED_VALUE"""),514.0)</f>
        <v>514</v>
      </c>
      <c r="I558" s="1" t="str">
        <f>IFERROR(__xludf.DUMMYFUNCTION("""COMPUTED_VALUE"""),"นาง")</f>
        <v>นาง</v>
      </c>
      <c r="J558" s="1" t="str">
        <f>IFERROR(__xludf.DUMMYFUNCTION("""COMPUTED_VALUE"""),"พรทิพา")</f>
        <v>พรทิพา</v>
      </c>
      <c r="K558" s="1" t="str">
        <f>IFERROR(__xludf.DUMMYFUNCTION("""COMPUTED_VALUE"""),"ทองแย้ม")</f>
        <v>ทองแย้ม</v>
      </c>
      <c r="L558" s="1" t="str">
        <f>IFERROR(__xludf.DUMMYFUNCTION("""COMPUTED_VALUE"""),"ม.1")</f>
        <v>ม.1</v>
      </c>
      <c r="M558" s="1" t="str">
        <f>IFERROR(__xludf.DUMMYFUNCTION("""COMPUTED_VALUE"""),"สุขศึกษา")</f>
        <v>สุขศึกษา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>
        <f>IFERROR(__xludf.DUMMYFUNCTION("""COMPUTED_VALUE"""),9.0)</f>
        <v>9</v>
      </c>
      <c r="B559" s="1">
        <f>IFERROR(__xludf.DUMMYFUNCTION("""COMPUTED_VALUE"""),1.0)</f>
        <v>1</v>
      </c>
      <c r="C559" s="1" t="str">
        <f>IFERROR(__xludf.DUMMYFUNCTION("""COMPUTED_VALUE"""),"พ30201")</f>
        <v>พ30201</v>
      </c>
      <c r="D559" s="1" t="str">
        <f>IFERROR(__xludf.DUMMYFUNCTION("""COMPUTED_VALUE"""),"แบดมินตัน")</f>
        <v>แบดมินตัน</v>
      </c>
      <c r="E559" s="1">
        <f>IFERROR(__xludf.DUMMYFUNCTION("""COMPUTED_VALUE"""),0.5)</f>
        <v>0.5</v>
      </c>
      <c r="F559" s="1">
        <f>IFERROR(__xludf.DUMMYFUNCTION("""COMPUTED_VALUE"""),2569.0)</f>
        <v>2569</v>
      </c>
      <c r="G559" s="1">
        <f>IFERROR(__xludf.DUMMYFUNCTION("""COMPUTED_VALUE"""),1.0)</f>
        <v>1</v>
      </c>
      <c r="H559" s="1">
        <f>IFERROR(__xludf.DUMMYFUNCTION("""COMPUTED_VALUE"""),514.0)</f>
        <v>514</v>
      </c>
      <c r="I559" s="1" t="str">
        <f>IFERROR(__xludf.DUMMYFUNCTION("""COMPUTED_VALUE"""),"นาง")</f>
        <v>นาง</v>
      </c>
      <c r="J559" s="1" t="str">
        <f>IFERROR(__xludf.DUMMYFUNCTION("""COMPUTED_VALUE"""),"พรทิพา")</f>
        <v>พรทิพา</v>
      </c>
      <c r="K559" s="1" t="str">
        <f>IFERROR(__xludf.DUMMYFUNCTION("""COMPUTED_VALUE"""),"ทองแย้ม")</f>
        <v>ทองแย้ม</v>
      </c>
      <c r="L559" s="1" t="str">
        <f>IFERROR(__xludf.DUMMYFUNCTION("""COMPUTED_VALUE"""),"ม.4")</f>
        <v>ม.4</v>
      </c>
      <c r="M559" s="1" t="str">
        <f>IFERROR(__xludf.DUMMYFUNCTION("""COMPUTED_VALUE"""),"สุขศึกษา")</f>
        <v>สุขศึกษา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>
        <f>IFERROR(__xludf.DUMMYFUNCTION("""COMPUTED_VALUE"""),1.0)</f>
        <v>1</v>
      </c>
      <c r="B560" s="1">
        <f>IFERROR(__xludf.DUMMYFUNCTION("""COMPUTED_VALUE"""),1.0)</f>
        <v>1</v>
      </c>
      <c r="C560" s="1" t="str">
        <f>IFERROR(__xludf.DUMMYFUNCTION("""COMPUTED_VALUE"""),"พ32101")</f>
        <v>พ32101</v>
      </c>
      <c r="D560" s="1" t="str">
        <f>IFERROR(__xludf.DUMMYFUNCTION("""COMPUTED_VALUE"""),"สุขศึกษาและพลศึกษา3")</f>
        <v>สุขศึกษาและพลศึกษา3</v>
      </c>
      <c r="E560" s="1">
        <f>IFERROR(__xludf.DUMMYFUNCTION("""COMPUTED_VALUE"""),0.5)</f>
        <v>0.5</v>
      </c>
      <c r="F560" s="1">
        <f>IFERROR(__xludf.DUMMYFUNCTION("""COMPUTED_VALUE"""),2569.0)</f>
        <v>2569</v>
      </c>
      <c r="G560" s="1">
        <f>IFERROR(__xludf.DUMMYFUNCTION("""COMPUTED_VALUE"""),1.0)</f>
        <v>1</v>
      </c>
      <c r="H560" s="1">
        <f>IFERROR(__xludf.DUMMYFUNCTION("""COMPUTED_VALUE"""),514.0)</f>
        <v>514</v>
      </c>
      <c r="I560" s="1" t="str">
        <f>IFERROR(__xludf.DUMMYFUNCTION("""COMPUTED_VALUE"""),"นาง")</f>
        <v>นาง</v>
      </c>
      <c r="J560" s="1" t="str">
        <f>IFERROR(__xludf.DUMMYFUNCTION("""COMPUTED_VALUE"""),"พรทิพา")</f>
        <v>พรทิพา</v>
      </c>
      <c r="K560" s="1" t="str">
        <f>IFERROR(__xludf.DUMMYFUNCTION("""COMPUTED_VALUE"""),"ทองแย้ม")</f>
        <v>ทองแย้ม</v>
      </c>
      <c r="L560" s="1" t="str">
        <f>IFERROR(__xludf.DUMMYFUNCTION("""COMPUTED_VALUE"""),"ม.5")</f>
        <v>ม.5</v>
      </c>
      <c r="M560" s="1" t="str">
        <f>IFERROR(__xludf.DUMMYFUNCTION("""COMPUTED_VALUE"""),"สุขศึกษา")</f>
        <v>สุขศึกษา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>
        <f>IFERROR(__xludf.DUMMYFUNCTION("""COMPUTED_VALUE"""),2.0)</f>
        <v>2</v>
      </c>
      <c r="B561" s="1">
        <f>IFERROR(__xludf.DUMMYFUNCTION("""COMPUTED_VALUE"""),1.0)</f>
        <v>1</v>
      </c>
      <c r="C561" s="1" t="str">
        <f>IFERROR(__xludf.DUMMYFUNCTION("""COMPUTED_VALUE"""),"พ32101")</f>
        <v>พ32101</v>
      </c>
      <c r="D561" s="1" t="str">
        <f>IFERROR(__xludf.DUMMYFUNCTION("""COMPUTED_VALUE"""),"สุขศึกษาและพลศึกษา3")</f>
        <v>สุขศึกษาและพลศึกษา3</v>
      </c>
      <c r="E561" s="1">
        <f>IFERROR(__xludf.DUMMYFUNCTION("""COMPUTED_VALUE"""),0.5)</f>
        <v>0.5</v>
      </c>
      <c r="F561" s="1">
        <f>IFERROR(__xludf.DUMMYFUNCTION("""COMPUTED_VALUE"""),2569.0)</f>
        <v>2569</v>
      </c>
      <c r="G561" s="1">
        <f>IFERROR(__xludf.DUMMYFUNCTION("""COMPUTED_VALUE"""),1.0)</f>
        <v>1</v>
      </c>
      <c r="H561" s="1">
        <f>IFERROR(__xludf.DUMMYFUNCTION("""COMPUTED_VALUE"""),514.0)</f>
        <v>514</v>
      </c>
      <c r="I561" s="1" t="str">
        <f>IFERROR(__xludf.DUMMYFUNCTION("""COMPUTED_VALUE"""),"นาง")</f>
        <v>นาง</v>
      </c>
      <c r="J561" s="1" t="str">
        <f>IFERROR(__xludf.DUMMYFUNCTION("""COMPUTED_VALUE"""),"พรทิพา")</f>
        <v>พรทิพา</v>
      </c>
      <c r="K561" s="1" t="str">
        <f>IFERROR(__xludf.DUMMYFUNCTION("""COMPUTED_VALUE"""),"ทองแย้ม")</f>
        <v>ทองแย้ม</v>
      </c>
      <c r="L561" s="1" t="str">
        <f>IFERROR(__xludf.DUMMYFUNCTION("""COMPUTED_VALUE"""),"ม.5")</f>
        <v>ม.5</v>
      </c>
      <c r="M561" s="1" t="str">
        <f>IFERROR(__xludf.DUMMYFUNCTION("""COMPUTED_VALUE"""),"สุขศึกษา")</f>
        <v>สุขศึกษา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>
        <f>IFERROR(__xludf.DUMMYFUNCTION("""COMPUTED_VALUE"""),3.0)</f>
        <v>3</v>
      </c>
      <c r="B562" s="1">
        <f>IFERROR(__xludf.DUMMYFUNCTION("""COMPUTED_VALUE"""),1.0)</f>
        <v>1</v>
      </c>
      <c r="C562" s="1" t="str">
        <f>IFERROR(__xludf.DUMMYFUNCTION("""COMPUTED_VALUE"""),"พ32101")</f>
        <v>พ32101</v>
      </c>
      <c r="D562" s="1" t="str">
        <f>IFERROR(__xludf.DUMMYFUNCTION("""COMPUTED_VALUE"""),"สุขศึกษาและพลศึกษา3")</f>
        <v>สุขศึกษาและพลศึกษา3</v>
      </c>
      <c r="E562" s="1">
        <f>IFERROR(__xludf.DUMMYFUNCTION("""COMPUTED_VALUE"""),0.5)</f>
        <v>0.5</v>
      </c>
      <c r="F562" s="1">
        <f>IFERROR(__xludf.DUMMYFUNCTION("""COMPUTED_VALUE"""),2569.0)</f>
        <v>2569</v>
      </c>
      <c r="G562" s="1">
        <f>IFERROR(__xludf.DUMMYFUNCTION("""COMPUTED_VALUE"""),1.0)</f>
        <v>1</v>
      </c>
      <c r="H562" s="1">
        <f>IFERROR(__xludf.DUMMYFUNCTION("""COMPUTED_VALUE"""),514.0)</f>
        <v>514</v>
      </c>
      <c r="I562" s="1" t="str">
        <f>IFERROR(__xludf.DUMMYFUNCTION("""COMPUTED_VALUE"""),"นาง")</f>
        <v>นาง</v>
      </c>
      <c r="J562" s="1" t="str">
        <f>IFERROR(__xludf.DUMMYFUNCTION("""COMPUTED_VALUE"""),"พรทิพา")</f>
        <v>พรทิพา</v>
      </c>
      <c r="K562" s="1" t="str">
        <f>IFERROR(__xludf.DUMMYFUNCTION("""COMPUTED_VALUE"""),"ทองแย้ม")</f>
        <v>ทองแย้ม</v>
      </c>
      <c r="L562" s="1" t="str">
        <f>IFERROR(__xludf.DUMMYFUNCTION("""COMPUTED_VALUE"""),"ม.5")</f>
        <v>ม.5</v>
      </c>
      <c r="M562" s="1" t="str">
        <f>IFERROR(__xludf.DUMMYFUNCTION("""COMPUTED_VALUE"""),"สุขศึกษา")</f>
        <v>สุขศึกษา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>
        <f>IFERROR(__xludf.DUMMYFUNCTION("""COMPUTED_VALUE"""),4.0)</f>
        <v>4</v>
      </c>
      <c r="B563" s="1">
        <f>IFERROR(__xludf.DUMMYFUNCTION("""COMPUTED_VALUE"""),1.0)</f>
        <v>1</v>
      </c>
      <c r="C563" s="1" t="str">
        <f>IFERROR(__xludf.DUMMYFUNCTION("""COMPUTED_VALUE"""),"พ32101")</f>
        <v>พ32101</v>
      </c>
      <c r="D563" s="1" t="str">
        <f>IFERROR(__xludf.DUMMYFUNCTION("""COMPUTED_VALUE"""),"สุขศึกษาและพลศึกษา3")</f>
        <v>สุขศึกษาและพลศึกษา3</v>
      </c>
      <c r="E563" s="1">
        <f>IFERROR(__xludf.DUMMYFUNCTION("""COMPUTED_VALUE"""),0.5)</f>
        <v>0.5</v>
      </c>
      <c r="F563" s="1">
        <f>IFERROR(__xludf.DUMMYFUNCTION("""COMPUTED_VALUE"""),2569.0)</f>
        <v>2569</v>
      </c>
      <c r="G563" s="1">
        <f>IFERROR(__xludf.DUMMYFUNCTION("""COMPUTED_VALUE"""),1.0)</f>
        <v>1</v>
      </c>
      <c r="H563" s="1">
        <f>IFERROR(__xludf.DUMMYFUNCTION("""COMPUTED_VALUE"""),514.0)</f>
        <v>514</v>
      </c>
      <c r="I563" s="1" t="str">
        <f>IFERROR(__xludf.DUMMYFUNCTION("""COMPUTED_VALUE"""),"นาง")</f>
        <v>นาง</v>
      </c>
      <c r="J563" s="1" t="str">
        <f>IFERROR(__xludf.DUMMYFUNCTION("""COMPUTED_VALUE"""),"พรทิพา")</f>
        <v>พรทิพา</v>
      </c>
      <c r="K563" s="1" t="str">
        <f>IFERROR(__xludf.DUMMYFUNCTION("""COMPUTED_VALUE"""),"ทองแย้ม")</f>
        <v>ทองแย้ม</v>
      </c>
      <c r="L563" s="1" t="str">
        <f>IFERROR(__xludf.DUMMYFUNCTION("""COMPUTED_VALUE"""),"ม.5")</f>
        <v>ม.5</v>
      </c>
      <c r="M563" s="1" t="str">
        <f>IFERROR(__xludf.DUMMYFUNCTION("""COMPUTED_VALUE"""),"สุขศึกษา")</f>
        <v>สุขศึกษา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>
        <f>IFERROR(__xludf.DUMMYFUNCTION("""COMPUTED_VALUE"""),5.0)</f>
        <v>5</v>
      </c>
      <c r="B564" s="1">
        <f>IFERROR(__xludf.DUMMYFUNCTION("""COMPUTED_VALUE"""),1.0)</f>
        <v>1</v>
      </c>
      <c r="C564" s="1" t="str">
        <f>IFERROR(__xludf.DUMMYFUNCTION("""COMPUTED_VALUE"""),"พ32101")</f>
        <v>พ32101</v>
      </c>
      <c r="D564" s="1" t="str">
        <f>IFERROR(__xludf.DUMMYFUNCTION("""COMPUTED_VALUE"""),"สุขศึกษาและพลศึกษา3")</f>
        <v>สุขศึกษาและพลศึกษา3</v>
      </c>
      <c r="E564" s="1">
        <f>IFERROR(__xludf.DUMMYFUNCTION("""COMPUTED_VALUE"""),0.5)</f>
        <v>0.5</v>
      </c>
      <c r="F564" s="1">
        <f>IFERROR(__xludf.DUMMYFUNCTION("""COMPUTED_VALUE"""),2569.0)</f>
        <v>2569</v>
      </c>
      <c r="G564" s="1">
        <f>IFERROR(__xludf.DUMMYFUNCTION("""COMPUTED_VALUE"""),1.0)</f>
        <v>1</v>
      </c>
      <c r="H564" s="1">
        <f>IFERROR(__xludf.DUMMYFUNCTION("""COMPUTED_VALUE"""),514.0)</f>
        <v>514</v>
      </c>
      <c r="I564" s="1" t="str">
        <f>IFERROR(__xludf.DUMMYFUNCTION("""COMPUTED_VALUE"""),"นาง")</f>
        <v>นาง</v>
      </c>
      <c r="J564" s="1" t="str">
        <f>IFERROR(__xludf.DUMMYFUNCTION("""COMPUTED_VALUE"""),"พรทิพา")</f>
        <v>พรทิพา</v>
      </c>
      <c r="K564" s="1" t="str">
        <f>IFERROR(__xludf.DUMMYFUNCTION("""COMPUTED_VALUE"""),"ทองแย้ม")</f>
        <v>ทองแย้ม</v>
      </c>
      <c r="L564" s="1" t="str">
        <f>IFERROR(__xludf.DUMMYFUNCTION("""COMPUTED_VALUE"""),"ม.5")</f>
        <v>ม.5</v>
      </c>
      <c r="M564" s="1" t="str">
        <f>IFERROR(__xludf.DUMMYFUNCTION("""COMPUTED_VALUE"""),"สุขศึกษา")</f>
        <v>สุขศึกษา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>
        <f>IFERROR(__xludf.DUMMYFUNCTION("""COMPUTED_VALUE"""),6.0)</f>
        <v>6</v>
      </c>
      <c r="B565" s="1">
        <f>IFERROR(__xludf.DUMMYFUNCTION("""COMPUTED_VALUE"""),1.0)</f>
        <v>1</v>
      </c>
      <c r="C565" s="1" t="str">
        <f>IFERROR(__xludf.DUMMYFUNCTION("""COMPUTED_VALUE"""),"พ32101")</f>
        <v>พ32101</v>
      </c>
      <c r="D565" s="1" t="str">
        <f>IFERROR(__xludf.DUMMYFUNCTION("""COMPUTED_VALUE"""),"สุขศึกษาและพลศึกษา3")</f>
        <v>สุขศึกษาและพลศึกษา3</v>
      </c>
      <c r="E565" s="1">
        <f>IFERROR(__xludf.DUMMYFUNCTION("""COMPUTED_VALUE"""),0.5)</f>
        <v>0.5</v>
      </c>
      <c r="F565" s="1">
        <f>IFERROR(__xludf.DUMMYFUNCTION("""COMPUTED_VALUE"""),2569.0)</f>
        <v>2569</v>
      </c>
      <c r="G565" s="1">
        <f>IFERROR(__xludf.DUMMYFUNCTION("""COMPUTED_VALUE"""),1.0)</f>
        <v>1</v>
      </c>
      <c r="H565" s="1">
        <f>IFERROR(__xludf.DUMMYFUNCTION("""COMPUTED_VALUE"""),514.0)</f>
        <v>514</v>
      </c>
      <c r="I565" s="1" t="str">
        <f>IFERROR(__xludf.DUMMYFUNCTION("""COMPUTED_VALUE"""),"นาง")</f>
        <v>นาง</v>
      </c>
      <c r="J565" s="1" t="str">
        <f>IFERROR(__xludf.DUMMYFUNCTION("""COMPUTED_VALUE"""),"พรทิพา")</f>
        <v>พรทิพา</v>
      </c>
      <c r="K565" s="1" t="str">
        <f>IFERROR(__xludf.DUMMYFUNCTION("""COMPUTED_VALUE"""),"ทองแย้ม")</f>
        <v>ทองแย้ม</v>
      </c>
      <c r="L565" s="1" t="str">
        <f>IFERROR(__xludf.DUMMYFUNCTION("""COMPUTED_VALUE"""),"ม.5")</f>
        <v>ม.5</v>
      </c>
      <c r="M565" s="1" t="str">
        <f>IFERROR(__xludf.DUMMYFUNCTION("""COMPUTED_VALUE"""),"สุขศึกษา")</f>
        <v>สุขศึกษา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>
        <f>IFERROR(__xludf.DUMMYFUNCTION("""COMPUTED_VALUE"""),7.0)</f>
        <v>7</v>
      </c>
      <c r="B566" s="1">
        <f>IFERROR(__xludf.DUMMYFUNCTION("""COMPUTED_VALUE"""),1.0)</f>
        <v>1</v>
      </c>
      <c r="C566" s="1" t="str">
        <f>IFERROR(__xludf.DUMMYFUNCTION("""COMPUTED_VALUE"""),"พ32101")</f>
        <v>พ32101</v>
      </c>
      <c r="D566" s="1" t="str">
        <f>IFERROR(__xludf.DUMMYFUNCTION("""COMPUTED_VALUE"""),"สุขศึกษาและพลศึกษา3")</f>
        <v>สุขศึกษาและพลศึกษา3</v>
      </c>
      <c r="E566" s="1">
        <f>IFERROR(__xludf.DUMMYFUNCTION("""COMPUTED_VALUE"""),0.5)</f>
        <v>0.5</v>
      </c>
      <c r="F566" s="1">
        <f>IFERROR(__xludf.DUMMYFUNCTION("""COMPUTED_VALUE"""),2569.0)</f>
        <v>2569</v>
      </c>
      <c r="G566" s="1">
        <f>IFERROR(__xludf.DUMMYFUNCTION("""COMPUTED_VALUE"""),1.0)</f>
        <v>1</v>
      </c>
      <c r="H566" s="1">
        <f>IFERROR(__xludf.DUMMYFUNCTION("""COMPUTED_VALUE"""),514.0)</f>
        <v>514</v>
      </c>
      <c r="I566" s="1" t="str">
        <f>IFERROR(__xludf.DUMMYFUNCTION("""COMPUTED_VALUE"""),"นาง")</f>
        <v>นาง</v>
      </c>
      <c r="J566" s="1" t="str">
        <f>IFERROR(__xludf.DUMMYFUNCTION("""COMPUTED_VALUE"""),"พรทิพา")</f>
        <v>พรทิพา</v>
      </c>
      <c r="K566" s="1" t="str">
        <f>IFERROR(__xludf.DUMMYFUNCTION("""COMPUTED_VALUE"""),"ทองแย้ม")</f>
        <v>ทองแย้ม</v>
      </c>
      <c r="L566" s="1" t="str">
        <f>IFERROR(__xludf.DUMMYFUNCTION("""COMPUTED_VALUE"""),"ม.5")</f>
        <v>ม.5</v>
      </c>
      <c r="M566" s="1" t="str">
        <f>IFERROR(__xludf.DUMMYFUNCTION("""COMPUTED_VALUE"""),"สุขศึกษา")</f>
        <v>สุขศึกษา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>
        <f>IFERROR(__xludf.DUMMYFUNCTION("""COMPUTED_VALUE"""),8.0)</f>
        <v>8</v>
      </c>
      <c r="B567" s="1">
        <f>IFERROR(__xludf.DUMMYFUNCTION("""COMPUTED_VALUE"""),1.0)</f>
        <v>1</v>
      </c>
      <c r="C567" s="1" t="str">
        <f>IFERROR(__xludf.DUMMYFUNCTION("""COMPUTED_VALUE"""),"พ32101")</f>
        <v>พ32101</v>
      </c>
      <c r="D567" s="1" t="str">
        <f>IFERROR(__xludf.DUMMYFUNCTION("""COMPUTED_VALUE"""),"สุขศึกษาและพลศึกษา3")</f>
        <v>สุขศึกษาและพลศึกษา3</v>
      </c>
      <c r="E567" s="1">
        <f>IFERROR(__xludf.DUMMYFUNCTION("""COMPUTED_VALUE"""),0.5)</f>
        <v>0.5</v>
      </c>
      <c r="F567" s="1">
        <f>IFERROR(__xludf.DUMMYFUNCTION("""COMPUTED_VALUE"""),2569.0)</f>
        <v>2569</v>
      </c>
      <c r="G567" s="1">
        <f>IFERROR(__xludf.DUMMYFUNCTION("""COMPUTED_VALUE"""),1.0)</f>
        <v>1</v>
      </c>
      <c r="H567" s="1">
        <f>IFERROR(__xludf.DUMMYFUNCTION("""COMPUTED_VALUE"""),514.0)</f>
        <v>514</v>
      </c>
      <c r="I567" s="1" t="str">
        <f>IFERROR(__xludf.DUMMYFUNCTION("""COMPUTED_VALUE"""),"นาง")</f>
        <v>นาง</v>
      </c>
      <c r="J567" s="1" t="str">
        <f>IFERROR(__xludf.DUMMYFUNCTION("""COMPUTED_VALUE"""),"พรทิพา")</f>
        <v>พรทิพา</v>
      </c>
      <c r="K567" s="1" t="str">
        <f>IFERROR(__xludf.DUMMYFUNCTION("""COMPUTED_VALUE"""),"ทองแย้ม")</f>
        <v>ทองแย้ม</v>
      </c>
      <c r="L567" s="1" t="str">
        <f>IFERROR(__xludf.DUMMYFUNCTION("""COMPUTED_VALUE"""),"ม.5")</f>
        <v>ม.5</v>
      </c>
      <c r="M567" s="1" t="str">
        <f>IFERROR(__xludf.DUMMYFUNCTION("""COMPUTED_VALUE"""),"สุขศึกษา")</f>
        <v>สุขศึกษา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>
        <f>IFERROR(__xludf.DUMMYFUNCTION("""COMPUTED_VALUE"""),9.0)</f>
        <v>9</v>
      </c>
      <c r="B568" s="1">
        <f>IFERROR(__xludf.DUMMYFUNCTION("""COMPUTED_VALUE"""),1.0)</f>
        <v>1</v>
      </c>
      <c r="C568" s="1" t="str">
        <f>IFERROR(__xludf.DUMMYFUNCTION("""COMPUTED_VALUE"""),"พ32101")</f>
        <v>พ32101</v>
      </c>
      <c r="D568" s="1" t="str">
        <f>IFERROR(__xludf.DUMMYFUNCTION("""COMPUTED_VALUE"""),"สุขศึกษาและพลศึกษา3")</f>
        <v>สุขศึกษาและพลศึกษา3</v>
      </c>
      <c r="E568" s="1">
        <f>IFERROR(__xludf.DUMMYFUNCTION("""COMPUTED_VALUE"""),0.5)</f>
        <v>0.5</v>
      </c>
      <c r="F568" s="1">
        <f>IFERROR(__xludf.DUMMYFUNCTION("""COMPUTED_VALUE"""),2569.0)</f>
        <v>2569</v>
      </c>
      <c r="G568" s="1">
        <f>IFERROR(__xludf.DUMMYFUNCTION("""COMPUTED_VALUE"""),1.0)</f>
        <v>1</v>
      </c>
      <c r="H568" s="1">
        <f>IFERROR(__xludf.DUMMYFUNCTION("""COMPUTED_VALUE"""),514.0)</f>
        <v>514</v>
      </c>
      <c r="I568" s="1" t="str">
        <f>IFERROR(__xludf.DUMMYFUNCTION("""COMPUTED_VALUE"""),"นาง")</f>
        <v>นาง</v>
      </c>
      <c r="J568" s="1" t="str">
        <f>IFERROR(__xludf.DUMMYFUNCTION("""COMPUTED_VALUE"""),"พรทิพา")</f>
        <v>พรทิพา</v>
      </c>
      <c r="K568" s="1" t="str">
        <f>IFERROR(__xludf.DUMMYFUNCTION("""COMPUTED_VALUE"""),"ทองแย้ม")</f>
        <v>ทองแย้ม</v>
      </c>
      <c r="L568" s="1" t="str">
        <f>IFERROR(__xludf.DUMMYFUNCTION("""COMPUTED_VALUE"""),"ม.5")</f>
        <v>ม.5</v>
      </c>
      <c r="M568" s="1" t="str">
        <f>IFERROR(__xludf.DUMMYFUNCTION("""COMPUTED_VALUE"""),"สุขศึกษา")</f>
        <v>สุขศึกษา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>
        <f>IFERROR(__xludf.DUMMYFUNCTION("""COMPUTED_VALUE"""),6.0)</f>
        <v>6</v>
      </c>
      <c r="B569" s="1">
        <f>IFERROR(__xludf.DUMMYFUNCTION("""COMPUTED_VALUE"""),2.0)</f>
        <v>2</v>
      </c>
      <c r="C569" s="1" t="str">
        <f>IFERROR(__xludf.DUMMYFUNCTION("""COMPUTED_VALUE"""),"ส20223")</f>
        <v>ส20223</v>
      </c>
      <c r="D569" s="1" t="str">
        <f>IFERROR(__xludf.DUMMYFUNCTION("""COMPUTED_VALUE"""),"การป้องกันการทุจริต 1")</f>
        <v>การป้องกันการทุจริต 1</v>
      </c>
      <c r="E569" s="1">
        <f>IFERROR(__xludf.DUMMYFUNCTION("""COMPUTED_VALUE"""),0.5)</f>
        <v>0.5</v>
      </c>
      <c r="F569" s="1">
        <f>IFERROR(__xludf.DUMMYFUNCTION("""COMPUTED_VALUE"""),2569.0)</f>
        <v>2569</v>
      </c>
      <c r="G569" s="1">
        <f>IFERROR(__xludf.DUMMYFUNCTION("""COMPUTED_VALUE"""),1.0)</f>
        <v>1</v>
      </c>
      <c r="H569" s="1">
        <f>IFERROR(__xludf.DUMMYFUNCTION("""COMPUTED_VALUE"""),514.0)</f>
        <v>514</v>
      </c>
      <c r="I569" s="1" t="str">
        <f>IFERROR(__xludf.DUMMYFUNCTION("""COMPUTED_VALUE"""),"นาง")</f>
        <v>นาง</v>
      </c>
      <c r="J569" s="1" t="str">
        <f>IFERROR(__xludf.DUMMYFUNCTION("""COMPUTED_VALUE"""),"พรทิพา")</f>
        <v>พรทิพา</v>
      </c>
      <c r="K569" s="1" t="str">
        <f>IFERROR(__xludf.DUMMYFUNCTION("""COMPUTED_VALUE"""),"ทองแย้ม")</f>
        <v>ทองแย้ม</v>
      </c>
      <c r="L569" s="1" t="str">
        <f>IFERROR(__xludf.DUMMYFUNCTION("""COMPUTED_VALUE"""),"ม.1")</f>
        <v>ม.1</v>
      </c>
      <c r="M569" s="1" t="str">
        <f>IFERROR(__xludf.DUMMYFUNCTION("""COMPUTED_VALUE"""),"สุขศึกษา")</f>
        <v>สุขศึกษา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>
        <f>IFERROR(__xludf.DUMMYFUNCTION("""COMPUTED_VALUE"""),1.0)</f>
        <v>1</v>
      </c>
      <c r="B570" s="1">
        <f>IFERROR(__xludf.DUMMYFUNCTION("""COMPUTED_VALUE"""),1.0)</f>
        <v>1</v>
      </c>
      <c r="C570" s="1" t="str">
        <f>IFERROR(__xludf.DUMMYFUNCTION("""COMPUTED_VALUE"""),"พ20223")</f>
        <v>พ20223</v>
      </c>
      <c r="D570" s="1" t="str">
        <f>IFERROR(__xludf.DUMMYFUNCTION("""COMPUTED_VALUE"""),"แบตมินตัน")</f>
        <v>แบตมินตัน</v>
      </c>
      <c r="E570" s="1">
        <f>IFERROR(__xludf.DUMMYFUNCTION("""COMPUTED_VALUE"""),1.0)</f>
        <v>1</v>
      </c>
      <c r="F570" s="1">
        <f>IFERROR(__xludf.DUMMYFUNCTION("""COMPUTED_VALUE"""),2569.0)</f>
        <v>2569</v>
      </c>
      <c r="G570" s="1">
        <f>IFERROR(__xludf.DUMMYFUNCTION("""COMPUTED_VALUE"""),1.0)</f>
        <v>1</v>
      </c>
      <c r="H570" s="1">
        <f>IFERROR(__xludf.DUMMYFUNCTION("""COMPUTED_VALUE"""),515.0)</f>
        <v>515</v>
      </c>
      <c r="I570" s="1" t="str">
        <f>IFERROR(__xludf.DUMMYFUNCTION("""COMPUTED_VALUE"""),"นาย")</f>
        <v>นาย</v>
      </c>
      <c r="J570" s="1" t="str">
        <f>IFERROR(__xludf.DUMMYFUNCTION("""COMPUTED_VALUE"""),"วีรภัทร")</f>
        <v>วีรภัทร</v>
      </c>
      <c r="K570" s="1" t="str">
        <f>IFERROR(__xludf.DUMMYFUNCTION("""COMPUTED_VALUE"""),"กองแก้ว")</f>
        <v>กองแก้ว</v>
      </c>
      <c r="L570" s="1" t="str">
        <f>IFERROR(__xludf.DUMMYFUNCTION("""COMPUTED_VALUE"""),"ม.3")</f>
        <v>ม.3</v>
      </c>
      <c r="M570" s="1" t="str">
        <f>IFERROR(__xludf.DUMMYFUNCTION("""COMPUTED_VALUE"""),"สุขศึกษา")</f>
        <v>สุขศึกษา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>
        <f>IFERROR(__xludf.DUMMYFUNCTION("""COMPUTED_VALUE"""),1.0)</f>
        <v>1</v>
      </c>
      <c r="B571" s="1">
        <f>IFERROR(__xludf.DUMMYFUNCTION("""COMPUTED_VALUE"""),1.0)</f>
        <v>1</v>
      </c>
      <c r="C571" s="1" t="str">
        <f>IFERROR(__xludf.DUMMYFUNCTION("""COMPUTED_VALUE"""),"พ23101")</f>
        <v>พ23101</v>
      </c>
      <c r="D571" s="1" t="str">
        <f>IFERROR(__xludf.DUMMYFUNCTION("""COMPUTED_VALUE"""),"สุขศึกษา5")</f>
        <v>สุขศึกษา5</v>
      </c>
      <c r="E571" s="1">
        <f>IFERROR(__xludf.DUMMYFUNCTION("""COMPUTED_VALUE"""),0.5)</f>
        <v>0.5</v>
      </c>
      <c r="F571" s="1">
        <f>IFERROR(__xludf.DUMMYFUNCTION("""COMPUTED_VALUE"""),2569.0)</f>
        <v>2569</v>
      </c>
      <c r="G571" s="1">
        <f>IFERROR(__xludf.DUMMYFUNCTION("""COMPUTED_VALUE"""),1.0)</f>
        <v>1</v>
      </c>
      <c r="H571" s="1">
        <f>IFERROR(__xludf.DUMMYFUNCTION("""COMPUTED_VALUE"""),515.0)</f>
        <v>515</v>
      </c>
      <c r="I571" s="1" t="str">
        <f>IFERROR(__xludf.DUMMYFUNCTION("""COMPUTED_VALUE"""),"นาย")</f>
        <v>นาย</v>
      </c>
      <c r="J571" s="1" t="str">
        <f>IFERROR(__xludf.DUMMYFUNCTION("""COMPUTED_VALUE"""),"วีรภัทร")</f>
        <v>วีรภัทร</v>
      </c>
      <c r="K571" s="1" t="str">
        <f>IFERROR(__xludf.DUMMYFUNCTION("""COMPUTED_VALUE"""),"กองแก้ว")</f>
        <v>กองแก้ว</v>
      </c>
      <c r="L571" s="1" t="str">
        <f>IFERROR(__xludf.DUMMYFUNCTION("""COMPUTED_VALUE"""),"ม.3")</f>
        <v>ม.3</v>
      </c>
      <c r="M571" s="1" t="str">
        <f>IFERROR(__xludf.DUMMYFUNCTION("""COMPUTED_VALUE"""),"สุขศึกษา")</f>
        <v>สุขศึกษา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>
        <f>IFERROR(__xludf.DUMMYFUNCTION("""COMPUTED_VALUE"""),2.0)</f>
        <v>2</v>
      </c>
      <c r="B572" s="1">
        <f>IFERROR(__xludf.DUMMYFUNCTION("""COMPUTED_VALUE"""),1.0)</f>
        <v>1</v>
      </c>
      <c r="C572" s="1" t="str">
        <f>IFERROR(__xludf.DUMMYFUNCTION("""COMPUTED_VALUE"""),"พ23101")</f>
        <v>พ23101</v>
      </c>
      <c r="D572" s="1" t="str">
        <f>IFERROR(__xludf.DUMMYFUNCTION("""COMPUTED_VALUE"""),"สุขศึกษา5")</f>
        <v>สุขศึกษา5</v>
      </c>
      <c r="E572" s="1">
        <f>IFERROR(__xludf.DUMMYFUNCTION("""COMPUTED_VALUE"""),0.5)</f>
        <v>0.5</v>
      </c>
      <c r="F572" s="1">
        <f>IFERROR(__xludf.DUMMYFUNCTION("""COMPUTED_VALUE"""),2569.0)</f>
        <v>2569</v>
      </c>
      <c r="G572" s="1">
        <f>IFERROR(__xludf.DUMMYFUNCTION("""COMPUTED_VALUE"""),1.0)</f>
        <v>1</v>
      </c>
      <c r="H572" s="1">
        <f>IFERROR(__xludf.DUMMYFUNCTION("""COMPUTED_VALUE"""),515.0)</f>
        <v>515</v>
      </c>
      <c r="I572" s="1" t="str">
        <f>IFERROR(__xludf.DUMMYFUNCTION("""COMPUTED_VALUE"""),"นาย")</f>
        <v>นาย</v>
      </c>
      <c r="J572" s="1" t="str">
        <f>IFERROR(__xludf.DUMMYFUNCTION("""COMPUTED_VALUE"""),"วีรภัทร")</f>
        <v>วีรภัทร</v>
      </c>
      <c r="K572" s="1" t="str">
        <f>IFERROR(__xludf.DUMMYFUNCTION("""COMPUTED_VALUE"""),"กองแก้ว")</f>
        <v>กองแก้ว</v>
      </c>
      <c r="L572" s="1" t="str">
        <f>IFERROR(__xludf.DUMMYFUNCTION("""COMPUTED_VALUE"""),"ม.3")</f>
        <v>ม.3</v>
      </c>
      <c r="M572" s="1" t="str">
        <f>IFERROR(__xludf.DUMMYFUNCTION("""COMPUTED_VALUE"""),"สุขศึกษา")</f>
        <v>สุขศึกษา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>
        <f>IFERROR(__xludf.DUMMYFUNCTION("""COMPUTED_VALUE"""),3.0)</f>
        <v>3</v>
      </c>
      <c r="B573" s="1">
        <f>IFERROR(__xludf.DUMMYFUNCTION("""COMPUTED_VALUE"""),1.0)</f>
        <v>1</v>
      </c>
      <c r="C573" s="1" t="str">
        <f>IFERROR(__xludf.DUMMYFUNCTION("""COMPUTED_VALUE"""),"พ23101")</f>
        <v>พ23101</v>
      </c>
      <c r="D573" s="1" t="str">
        <f>IFERROR(__xludf.DUMMYFUNCTION("""COMPUTED_VALUE"""),"สุขศึกษา5")</f>
        <v>สุขศึกษา5</v>
      </c>
      <c r="E573" s="1">
        <f>IFERROR(__xludf.DUMMYFUNCTION("""COMPUTED_VALUE"""),0.5)</f>
        <v>0.5</v>
      </c>
      <c r="F573" s="1">
        <f>IFERROR(__xludf.DUMMYFUNCTION("""COMPUTED_VALUE"""),2569.0)</f>
        <v>2569</v>
      </c>
      <c r="G573" s="1">
        <f>IFERROR(__xludf.DUMMYFUNCTION("""COMPUTED_VALUE"""),1.0)</f>
        <v>1</v>
      </c>
      <c r="H573" s="1">
        <f>IFERROR(__xludf.DUMMYFUNCTION("""COMPUTED_VALUE"""),515.0)</f>
        <v>515</v>
      </c>
      <c r="I573" s="1" t="str">
        <f>IFERROR(__xludf.DUMMYFUNCTION("""COMPUTED_VALUE"""),"นาย")</f>
        <v>นาย</v>
      </c>
      <c r="J573" s="1" t="str">
        <f>IFERROR(__xludf.DUMMYFUNCTION("""COMPUTED_VALUE"""),"วีรภัทร")</f>
        <v>วีรภัทร</v>
      </c>
      <c r="K573" s="1" t="str">
        <f>IFERROR(__xludf.DUMMYFUNCTION("""COMPUTED_VALUE"""),"กองแก้ว")</f>
        <v>กองแก้ว</v>
      </c>
      <c r="L573" s="1" t="str">
        <f>IFERROR(__xludf.DUMMYFUNCTION("""COMPUTED_VALUE"""),"ม.3")</f>
        <v>ม.3</v>
      </c>
      <c r="M573" s="1" t="str">
        <f>IFERROR(__xludf.DUMMYFUNCTION("""COMPUTED_VALUE"""),"สุขศึกษา")</f>
        <v>สุขศึกษา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>
        <f>IFERROR(__xludf.DUMMYFUNCTION("""COMPUTED_VALUE"""),4.0)</f>
        <v>4</v>
      </c>
      <c r="B574" s="1">
        <f>IFERROR(__xludf.DUMMYFUNCTION("""COMPUTED_VALUE"""),1.0)</f>
        <v>1</v>
      </c>
      <c r="C574" s="1" t="str">
        <f>IFERROR(__xludf.DUMMYFUNCTION("""COMPUTED_VALUE"""),"พ23101")</f>
        <v>พ23101</v>
      </c>
      <c r="D574" s="1" t="str">
        <f>IFERROR(__xludf.DUMMYFUNCTION("""COMPUTED_VALUE"""),"สุขศึกษา5")</f>
        <v>สุขศึกษา5</v>
      </c>
      <c r="E574" s="1">
        <f>IFERROR(__xludf.DUMMYFUNCTION("""COMPUTED_VALUE"""),0.5)</f>
        <v>0.5</v>
      </c>
      <c r="F574" s="1">
        <f>IFERROR(__xludf.DUMMYFUNCTION("""COMPUTED_VALUE"""),2569.0)</f>
        <v>2569</v>
      </c>
      <c r="G574" s="1">
        <f>IFERROR(__xludf.DUMMYFUNCTION("""COMPUTED_VALUE"""),1.0)</f>
        <v>1</v>
      </c>
      <c r="H574" s="1">
        <f>IFERROR(__xludf.DUMMYFUNCTION("""COMPUTED_VALUE"""),515.0)</f>
        <v>515</v>
      </c>
      <c r="I574" s="1" t="str">
        <f>IFERROR(__xludf.DUMMYFUNCTION("""COMPUTED_VALUE"""),"นาย")</f>
        <v>นาย</v>
      </c>
      <c r="J574" s="1" t="str">
        <f>IFERROR(__xludf.DUMMYFUNCTION("""COMPUTED_VALUE"""),"วีรภัทร")</f>
        <v>วีรภัทร</v>
      </c>
      <c r="K574" s="1" t="str">
        <f>IFERROR(__xludf.DUMMYFUNCTION("""COMPUTED_VALUE"""),"กองแก้ว")</f>
        <v>กองแก้ว</v>
      </c>
      <c r="L574" s="1" t="str">
        <f>IFERROR(__xludf.DUMMYFUNCTION("""COMPUTED_VALUE"""),"ม.3")</f>
        <v>ม.3</v>
      </c>
      <c r="M574" s="1" t="str">
        <f>IFERROR(__xludf.DUMMYFUNCTION("""COMPUTED_VALUE"""),"สุขศึกษา")</f>
        <v>สุขศึกษา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>
        <f>IFERROR(__xludf.DUMMYFUNCTION("""COMPUTED_VALUE"""),5.0)</f>
        <v>5</v>
      </c>
      <c r="B575" s="1">
        <f>IFERROR(__xludf.DUMMYFUNCTION("""COMPUTED_VALUE"""),1.0)</f>
        <v>1</v>
      </c>
      <c r="C575" s="1" t="str">
        <f>IFERROR(__xludf.DUMMYFUNCTION("""COMPUTED_VALUE"""),"พ23101")</f>
        <v>พ23101</v>
      </c>
      <c r="D575" s="1" t="str">
        <f>IFERROR(__xludf.DUMMYFUNCTION("""COMPUTED_VALUE"""),"สุขศึกษา5")</f>
        <v>สุขศึกษา5</v>
      </c>
      <c r="E575" s="1">
        <f>IFERROR(__xludf.DUMMYFUNCTION("""COMPUTED_VALUE"""),0.5)</f>
        <v>0.5</v>
      </c>
      <c r="F575" s="1">
        <f>IFERROR(__xludf.DUMMYFUNCTION("""COMPUTED_VALUE"""),2569.0)</f>
        <v>2569</v>
      </c>
      <c r="G575" s="1">
        <f>IFERROR(__xludf.DUMMYFUNCTION("""COMPUTED_VALUE"""),1.0)</f>
        <v>1</v>
      </c>
      <c r="H575" s="1">
        <f>IFERROR(__xludf.DUMMYFUNCTION("""COMPUTED_VALUE"""),515.0)</f>
        <v>515</v>
      </c>
      <c r="I575" s="1" t="str">
        <f>IFERROR(__xludf.DUMMYFUNCTION("""COMPUTED_VALUE"""),"นาย")</f>
        <v>นาย</v>
      </c>
      <c r="J575" s="1" t="str">
        <f>IFERROR(__xludf.DUMMYFUNCTION("""COMPUTED_VALUE"""),"วีรภัทร")</f>
        <v>วีรภัทร</v>
      </c>
      <c r="K575" s="1" t="str">
        <f>IFERROR(__xludf.DUMMYFUNCTION("""COMPUTED_VALUE"""),"กองแก้ว")</f>
        <v>กองแก้ว</v>
      </c>
      <c r="L575" s="1" t="str">
        <f>IFERROR(__xludf.DUMMYFUNCTION("""COMPUTED_VALUE"""),"ม.3")</f>
        <v>ม.3</v>
      </c>
      <c r="M575" s="1" t="str">
        <f>IFERROR(__xludf.DUMMYFUNCTION("""COMPUTED_VALUE"""),"สุขศึกษา")</f>
        <v>สุขศึกษา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>
        <f>IFERROR(__xludf.DUMMYFUNCTION("""COMPUTED_VALUE"""),6.0)</f>
        <v>6</v>
      </c>
      <c r="B576" s="1">
        <f>IFERROR(__xludf.DUMMYFUNCTION("""COMPUTED_VALUE"""),1.0)</f>
        <v>1</v>
      </c>
      <c r="C576" s="1" t="str">
        <f>IFERROR(__xludf.DUMMYFUNCTION("""COMPUTED_VALUE"""),"พ23101")</f>
        <v>พ23101</v>
      </c>
      <c r="D576" s="1" t="str">
        <f>IFERROR(__xludf.DUMMYFUNCTION("""COMPUTED_VALUE"""),"สุขศึกษา5")</f>
        <v>สุขศึกษา5</v>
      </c>
      <c r="E576" s="1">
        <f>IFERROR(__xludf.DUMMYFUNCTION("""COMPUTED_VALUE"""),0.5)</f>
        <v>0.5</v>
      </c>
      <c r="F576" s="1">
        <f>IFERROR(__xludf.DUMMYFUNCTION("""COMPUTED_VALUE"""),2569.0)</f>
        <v>2569</v>
      </c>
      <c r="G576" s="1">
        <f>IFERROR(__xludf.DUMMYFUNCTION("""COMPUTED_VALUE"""),1.0)</f>
        <v>1</v>
      </c>
      <c r="H576" s="1">
        <f>IFERROR(__xludf.DUMMYFUNCTION("""COMPUTED_VALUE"""),515.0)</f>
        <v>515</v>
      </c>
      <c r="I576" s="1" t="str">
        <f>IFERROR(__xludf.DUMMYFUNCTION("""COMPUTED_VALUE"""),"นาย")</f>
        <v>นาย</v>
      </c>
      <c r="J576" s="1" t="str">
        <f>IFERROR(__xludf.DUMMYFUNCTION("""COMPUTED_VALUE"""),"วีรภัทร")</f>
        <v>วีรภัทร</v>
      </c>
      <c r="K576" s="1" t="str">
        <f>IFERROR(__xludf.DUMMYFUNCTION("""COMPUTED_VALUE"""),"กองแก้ว")</f>
        <v>กองแก้ว</v>
      </c>
      <c r="L576" s="1" t="str">
        <f>IFERROR(__xludf.DUMMYFUNCTION("""COMPUTED_VALUE"""),"ม.3")</f>
        <v>ม.3</v>
      </c>
      <c r="M576" s="1" t="str">
        <f>IFERROR(__xludf.DUMMYFUNCTION("""COMPUTED_VALUE"""),"สุขศึกษา")</f>
        <v>สุขศึกษา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>
        <f>IFERROR(__xludf.DUMMYFUNCTION("""COMPUTED_VALUE"""),7.0)</f>
        <v>7</v>
      </c>
      <c r="B577" s="1">
        <f>IFERROR(__xludf.DUMMYFUNCTION("""COMPUTED_VALUE"""),1.0)</f>
        <v>1</v>
      </c>
      <c r="C577" s="1" t="str">
        <f>IFERROR(__xludf.DUMMYFUNCTION("""COMPUTED_VALUE"""),"พ23101")</f>
        <v>พ23101</v>
      </c>
      <c r="D577" s="1" t="str">
        <f>IFERROR(__xludf.DUMMYFUNCTION("""COMPUTED_VALUE"""),"สุขศึกษา5")</f>
        <v>สุขศึกษา5</v>
      </c>
      <c r="E577" s="1">
        <f>IFERROR(__xludf.DUMMYFUNCTION("""COMPUTED_VALUE"""),0.5)</f>
        <v>0.5</v>
      </c>
      <c r="F577" s="1">
        <f>IFERROR(__xludf.DUMMYFUNCTION("""COMPUTED_VALUE"""),2569.0)</f>
        <v>2569</v>
      </c>
      <c r="G577" s="1">
        <f>IFERROR(__xludf.DUMMYFUNCTION("""COMPUTED_VALUE"""),1.0)</f>
        <v>1</v>
      </c>
      <c r="H577" s="1">
        <f>IFERROR(__xludf.DUMMYFUNCTION("""COMPUTED_VALUE"""),515.0)</f>
        <v>515</v>
      </c>
      <c r="I577" s="1" t="str">
        <f>IFERROR(__xludf.DUMMYFUNCTION("""COMPUTED_VALUE"""),"นาย")</f>
        <v>นาย</v>
      </c>
      <c r="J577" s="1" t="str">
        <f>IFERROR(__xludf.DUMMYFUNCTION("""COMPUTED_VALUE"""),"วีรภัทร")</f>
        <v>วีรภัทร</v>
      </c>
      <c r="K577" s="1" t="str">
        <f>IFERROR(__xludf.DUMMYFUNCTION("""COMPUTED_VALUE"""),"กองแก้ว")</f>
        <v>กองแก้ว</v>
      </c>
      <c r="L577" s="1" t="str">
        <f>IFERROR(__xludf.DUMMYFUNCTION("""COMPUTED_VALUE"""),"ม.3")</f>
        <v>ม.3</v>
      </c>
      <c r="M577" s="1" t="str">
        <f>IFERROR(__xludf.DUMMYFUNCTION("""COMPUTED_VALUE"""),"สุขศึกษา")</f>
        <v>สุขศึกษา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>
        <f>IFERROR(__xludf.DUMMYFUNCTION("""COMPUTED_VALUE"""),8.0)</f>
        <v>8</v>
      </c>
      <c r="B578" s="1">
        <f>IFERROR(__xludf.DUMMYFUNCTION("""COMPUTED_VALUE"""),1.0)</f>
        <v>1</v>
      </c>
      <c r="C578" s="1" t="str">
        <f>IFERROR(__xludf.DUMMYFUNCTION("""COMPUTED_VALUE"""),"พ23101")</f>
        <v>พ23101</v>
      </c>
      <c r="D578" s="1" t="str">
        <f>IFERROR(__xludf.DUMMYFUNCTION("""COMPUTED_VALUE"""),"สุขศึกษา5")</f>
        <v>สุขศึกษา5</v>
      </c>
      <c r="E578" s="1">
        <f>IFERROR(__xludf.DUMMYFUNCTION("""COMPUTED_VALUE"""),0.5)</f>
        <v>0.5</v>
      </c>
      <c r="F578" s="1">
        <f>IFERROR(__xludf.DUMMYFUNCTION("""COMPUTED_VALUE"""),2569.0)</f>
        <v>2569</v>
      </c>
      <c r="G578" s="1">
        <f>IFERROR(__xludf.DUMMYFUNCTION("""COMPUTED_VALUE"""),1.0)</f>
        <v>1</v>
      </c>
      <c r="H578" s="1">
        <f>IFERROR(__xludf.DUMMYFUNCTION("""COMPUTED_VALUE"""),515.0)</f>
        <v>515</v>
      </c>
      <c r="I578" s="1" t="str">
        <f>IFERROR(__xludf.DUMMYFUNCTION("""COMPUTED_VALUE"""),"นาย")</f>
        <v>นาย</v>
      </c>
      <c r="J578" s="1" t="str">
        <f>IFERROR(__xludf.DUMMYFUNCTION("""COMPUTED_VALUE"""),"วีรภัทร")</f>
        <v>วีรภัทร</v>
      </c>
      <c r="K578" s="1" t="str">
        <f>IFERROR(__xludf.DUMMYFUNCTION("""COMPUTED_VALUE"""),"กองแก้ว")</f>
        <v>กองแก้ว</v>
      </c>
      <c r="L578" s="1" t="str">
        <f>IFERROR(__xludf.DUMMYFUNCTION("""COMPUTED_VALUE"""),"ม.3")</f>
        <v>ม.3</v>
      </c>
      <c r="M578" s="1" t="str">
        <f>IFERROR(__xludf.DUMMYFUNCTION("""COMPUTED_VALUE"""),"สุขศึกษา")</f>
        <v>สุขศึกษา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>
        <f>IFERROR(__xludf.DUMMYFUNCTION("""COMPUTED_VALUE"""),1.0)</f>
        <v>1</v>
      </c>
      <c r="B579" s="1">
        <f>IFERROR(__xludf.DUMMYFUNCTION("""COMPUTED_VALUE"""),1.0)</f>
        <v>1</v>
      </c>
      <c r="C579" s="1" t="str">
        <f>IFERROR(__xludf.DUMMYFUNCTION("""COMPUTED_VALUE"""),"พ23102")</f>
        <v>พ23102</v>
      </c>
      <c r="D579" s="1" t="str">
        <f>IFERROR(__xludf.DUMMYFUNCTION("""COMPUTED_VALUE"""),"พลศึกษา5")</f>
        <v>พลศึกษา5</v>
      </c>
      <c r="E579" s="1">
        <f>IFERROR(__xludf.DUMMYFUNCTION("""COMPUTED_VALUE"""),0.5)</f>
        <v>0.5</v>
      </c>
      <c r="F579" s="1">
        <f>IFERROR(__xludf.DUMMYFUNCTION("""COMPUTED_VALUE"""),2569.0)</f>
        <v>2569</v>
      </c>
      <c r="G579" s="1">
        <f>IFERROR(__xludf.DUMMYFUNCTION("""COMPUTED_VALUE"""),1.0)</f>
        <v>1</v>
      </c>
      <c r="H579" s="1">
        <f>IFERROR(__xludf.DUMMYFUNCTION("""COMPUTED_VALUE"""),515.0)</f>
        <v>515</v>
      </c>
      <c r="I579" s="1" t="str">
        <f>IFERROR(__xludf.DUMMYFUNCTION("""COMPUTED_VALUE"""),"นาย")</f>
        <v>นาย</v>
      </c>
      <c r="J579" s="1" t="str">
        <f>IFERROR(__xludf.DUMMYFUNCTION("""COMPUTED_VALUE"""),"วีรภัทร")</f>
        <v>วีรภัทร</v>
      </c>
      <c r="K579" s="1" t="str">
        <f>IFERROR(__xludf.DUMMYFUNCTION("""COMPUTED_VALUE"""),"กองแก้ว")</f>
        <v>กองแก้ว</v>
      </c>
      <c r="L579" s="1" t="str">
        <f>IFERROR(__xludf.DUMMYFUNCTION("""COMPUTED_VALUE"""),"ม.3")</f>
        <v>ม.3</v>
      </c>
      <c r="M579" s="1" t="str">
        <f>IFERROR(__xludf.DUMMYFUNCTION("""COMPUTED_VALUE"""),"สุขศึกษา")</f>
        <v>สุขศึกษา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>
        <f>IFERROR(__xludf.DUMMYFUNCTION("""COMPUTED_VALUE"""),2.0)</f>
        <v>2</v>
      </c>
      <c r="B580" s="1">
        <f>IFERROR(__xludf.DUMMYFUNCTION("""COMPUTED_VALUE"""),1.0)</f>
        <v>1</v>
      </c>
      <c r="C580" s="1" t="str">
        <f>IFERROR(__xludf.DUMMYFUNCTION("""COMPUTED_VALUE"""),"พ23102")</f>
        <v>พ23102</v>
      </c>
      <c r="D580" s="1" t="str">
        <f>IFERROR(__xludf.DUMMYFUNCTION("""COMPUTED_VALUE"""),"พลศึกษา5")</f>
        <v>พลศึกษา5</v>
      </c>
      <c r="E580" s="1">
        <f>IFERROR(__xludf.DUMMYFUNCTION("""COMPUTED_VALUE"""),0.5)</f>
        <v>0.5</v>
      </c>
      <c r="F580" s="1">
        <f>IFERROR(__xludf.DUMMYFUNCTION("""COMPUTED_VALUE"""),2569.0)</f>
        <v>2569</v>
      </c>
      <c r="G580" s="1">
        <f>IFERROR(__xludf.DUMMYFUNCTION("""COMPUTED_VALUE"""),1.0)</f>
        <v>1</v>
      </c>
      <c r="H580" s="1">
        <f>IFERROR(__xludf.DUMMYFUNCTION("""COMPUTED_VALUE"""),515.0)</f>
        <v>515</v>
      </c>
      <c r="I580" s="1" t="str">
        <f>IFERROR(__xludf.DUMMYFUNCTION("""COMPUTED_VALUE"""),"นาย")</f>
        <v>นาย</v>
      </c>
      <c r="J580" s="1" t="str">
        <f>IFERROR(__xludf.DUMMYFUNCTION("""COMPUTED_VALUE"""),"วีรภัทร")</f>
        <v>วีรภัทร</v>
      </c>
      <c r="K580" s="1" t="str">
        <f>IFERROR(__xludf.DUMMYFUNCTION("""COMPUTED_VALUE"""),"กองแก้ว")</f>
        <v>กองแก้ว</v>
      </c>
      <c r="L580" s="1" t="str">
        <f>IFERROR(__xludf.DUMMYFUNCTION("""COMPUTED_VALUE"""),"ม.3")</f>
        <v>ม.3</v>
      </c>
      <c r="M580" s="1" t="str">
        <f>IFERROR(__xludf.DUMMYFUNCTION("""COMPUTED_VALUE"""),"สุขศึกษา")</f>
        <v>สุขศึกษา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>
        <f>IFERROR(__xludf.DUMMYFUNCTION("""COMPUTED_VALUE"""),3.0)</f>
        <v>3</v>
      </c>
      <c r="B581" s="1">
        <f>IFERROR(__xludf.DUMMYFUNCTION("""COMPUTED_VALUE"""),1.0)</f>
        <v>1</v>
      </c>
      <c r="C581" s="1" t="str">
        <f>IFERROR(__xludf.DUMMYFUNCTION("""COMPUTED_VALUE"""),"พ23102")</f>
        <v>พ23102</v>
      </c>
      <c r="D581" s="1" t="str">
        <f>IFERROR(__xludf.DUMMYFUNCTION("""COMPUTED_VALUE"""),"พลศึกษา5")</f>
        <v>พลศึกษา5</v>
      </c>
      <c r="E581" s="1">
        <f>IFERROR(__xludf.DUMMYFUNCTION("""COMPUTED_VALUE"""),0.5)</f>
        <v>0.5</v>
      </c>
      <c r="F581" s="1">
        <f>IFERROR(__xludf.DUMMYFUNCTION("""COMPUTED_VALUE"""),2569.0)</f>
        <v>2569</v>
      </c>
      <c r="G581" s="1">
        <f>IFERROR(__xludf.DUMMYFUNCTION("""COMPUTED_VALUE"""),1.0)</f>
        <v>1</v>
      </c>
      <c r="H581" s="1">
        <f>IFERROR(__xludf.DUMMYFUNCTION("""COMPUTED_VALUE"""),515.0)</f>
        <v>515</v>
      </c>
      <c r="I581" s="1" t="str">
        <f>IFERROR(__xludf.DUMMYFUNCTION("""COMPUTED_VALUE"""),"นาย")</f>
        <v>นาย</v>
      </c>
      <c r="J581" s="1" t="str">
        <f>IFERROR(__xludf.DUMMYFUNCTION("""COMPUTED_VALUE"""),"วีรภัทร")</f>
        <v>วีรภัทร</v>
      </c>
      <c r="K581" s="1" t="str">
        <f>IFERROR(__xludf.DUMMYFUNCTION("""COMPUTED_VALUE"""),"กองแก้ว")</f>
        <v>กองแก้ว</v>
      </c>
      <c r="L581" s="1" t="str">
        <f>IFERROR(__xludf.DUMMYFUNCTION("""COMPUTED_VALUE"""),"ม.3")</f>
        <v>ม.3</v>
      </c>
      <c r="M581" s="1" t="str">
        <f>IFERROR(__xludf.DUMMYFUNCTION("""COMPUTED_VALUE"""),"สุขศึกษา")</f>
        <v>สุขศึกษา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>
        <f>IFERROR(__xludf.DUMMYFUNCTION("""COMPUTED_VALUE"""),4.0)</f>
        <v>4</v>
      </c>
      <c r="B582" s="1">
        <f>IFERROR(__xludf.DUMMYFUNCTION("""COMPUTED_VALUE"""),1.0)</f>
        <v>1</v>
      </c>
      <c r="C582" s="1" t="str">
        <f>IFERROR(__xludf.DUMMYFUNCTION("""COMPUTED_VALUE"""),"พ23102")</f>
        <v>พ23102</v>
      </c>
      <c r="D582" s="1" t="str">
        <f>IFERROR(__xludf.DUMMYFUNCTION("""COMPUTED_VALUE"""),"พลศึกษา5")</f>
        <v>พลศึกษา5</v>
      </c>
      <c r="E582" s="1">
        <f>IFERROR(__xludf.DUMMYFUNCTION("""COMPUTED_VALUE"""),0.5)</f>
        <v>0.5</v>
      </c>
      <c r="F582" s="1">
        <f>IFERROR(__xludf.DUMMYFUNCTION("""COMPUTED_VALUE"""),2569.0)</f>
        <v>2569</v>
      </c>
      <c r="G582" s="1">
        <f>IFERROR(__xludf.DUMMYFUNCTION("""COMPUTED_VALUE"""),1.0)</f>
        <v>1</v>
      </c>
      <c r="H582" s="1">
        <f>IFERROR(__xludf.DUMMYFUNCTION("""COMPUTED_VALUE"""),515.0)</f>
        <v>515</v>
      </c>
      <c r="I582" s="1" t="str">
        <f>IFERROR(__xludf.DUMMYFUNCTION("""COMPUTED_VALUE"""),"นาย")</f>
        <v>นาย</v>
      </c>
      <c r="J582" s="1" t="str">
        <f>IFERROR(__xludf.DUMMYFUNCTION("""COMPUTED_VALUE"""),"วีรภัทร")</f>
        <v>วีรภัทร</v>
      </c>
      <c r="K582" s="1" t="str">
        <f>IFERROR(__xludf.DUMMYFUNCTION("""COMPUTED_VALUE"""),"กองแก้ว")</f>
        <v>กองแก้ว</v>
      </c>
      <c r="L582" s="1" t="str">
        <f>IFERROR(__xludf.DUMMYFUNCTION("""COMPUTED_VALUE"""),"ม.3")</f>
        <v>ม.3</v>
      </c>
      <c r="M582" s="1" t="str">
        <f>IFERROR(__xludf.DUMMYFUNCTION("""COMPUTED_VALUE"""),"สุขศึกษา")</f>
        <v>สุขศึกษา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>
        <f>IFERROR(__xludf.DUMMYFUNCTION("""COMPUTED_VALUE"""),5.0)</f>
        <v>5</v>
      </c>
      <c r="B583" s="1">
        <f>IFERROR(__xludf.DUMMYFUNCTION("""COMPUTED_VALUE"""),1.0)</f>
        <v>1</v>
      </c>
      <c r="C583" s="1" t="str">
        <f>IFERROR(__xludf.DUMMYFUNCTION("""COMPUTED_VALUE"""),"พ23102")</f>
        <v>พ23102</v>
      </c>
      <c r="D583" s="1" t="str">
        <f>IFERROR(__xludf.DUMMYFUNCTION("""COMPUTED_VALUE"""),"พลศึกษา5")</f>
        <v>พลศึกษา5</v>
      </c>
      <c r="E583" s="1">
        <f>IFERROR(__xludf.DUMMYFUNCTION("""COMPUTED_VALUE"""),0.5)</f>
        <v>0.5</v>
      </c>
      <c r="F583" s="1">
        <f>IFERROR(__xludf.DUMMYFUNCTION("""COMPUTED_VALUE"""),2569.0)</f>
        <v>2569</v>
      </c>
      <c r="G583" s="1">
        <f>IFERROR(__xludf.DUMMYFUNCTION("""COMPUTED_VALUE"""),1.0)</f>
        <v>1</v>
      </c>
      <c r="H583" s="1">
        <f>IFERROR(__xludf.DUMMYFUNCTION("""COMPUTED_VALUE"""),515.0)</f>
        <v>515</v>
      </c>
      <c r="I583" s="1" t="str">
        <f>IFERROR(__xludf.DUMMYFUNCTION("""COMPUTED_VALUE"""),"นาย")</f>
        <v>นาย</v>
      </c>
      <c r="J583" s="1" t="str">
        <f>IFERROR(__xludf.DUMMYFUNCTION("""COMPUTED_VALUE"""),"วีรภัทร")</f>
        <v>วีรภัทร</v>
      </c>
      <c r="K583" s="1" t="str">
        <f>IFERROR(__xludf.DUMMYFUNCTION("""COMPUTED_VALUE"""),"กองแก้ว")</f>
        <v>กองแก้ว</v>
      </c>
      <c r="L583" s="1" t="str">
        <f>IFERROR(__xludf.DUMMYFUNCTION("""COMPUTED_VALUE"""),"ม.3")</f>
        <v>ม.3</v>
      </c>
      <c r="M583" s="1" t="str">
        <f>IFERROR(__xludf.DUMMYFUNCTION("""COMPUTED_VALUE"""),"สุขศึกษา")</f>
        <v>สุขศึกษา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>
        <f>IFERROR(__xludf.DUMMYFUNCTION("""COMPUTED_VALUE"""),6.0)</f>
        <v>6</v>
      </c>
      <c r="B584" s="1">
        <f>IFERROR(__xludf.DUMMYFUNCTION("""COMPUTED_VALUE"""),1.0)</f>
        <v>1</v>
      </c>
      <c r="C584" s="1" t="str">
        <f>IFERROR(__xludf.DUMMYFUNCTION("""COMPUTED_VALUE"""),"พ23102")</f>
        <v>พ23102</v>
      </c>
      <c r="D584" s="1" t="str">
        <f>IFERROR(__xludf.DUMMYFUNCTION("""COMPUTED_VALUE"""),"พลศึกษา5")</f>
        <v>พลศึกษา5</v>
      </c>
      <c r="E584" s="1">
        <f>IFERROR(__xludf.DUMMYFUNCTION("""COMPUTED_VALUE"""),0.5)</f>
        <v>0.5</v>
      </c>
      <c r="F584" s="1">
        <f>IFERROR(__xludf.DUMMYFUNCTION("""COMPUTED_VALUE"""),2569.0)</f>
        <v>2569</v>
      </c>
      <c r="G584" s="1">
        <f>IFERROR(__xludf.DUMMYFUNCTION("""COMPUTED_VALUE"""),1.0)</f>
        <v>1</v>
      </c>
      <c r="H584" s="1">
        <f>IFERROR(__xludf.DUMMYFUNCTION("""COMPUTED_VALUE"""),515.0)</f>
        <v>515</v>
      </c>
      <c r="I584" s="1" t="str">
        <f>IFERROR(__xludf.DUMMYFUNCTION("""COMPUTED_VALUE"""),"นาย")</f>
        <v>นาย</v>
      </c>
      <c r="J584" s="1" t="str">
        <f>IFERROR(__xludf.DUMMYFUNCTION("""COMPUTED_VALUE"""),"วีรภัทร")</f>
        <v>วีรภัทร</v>
      </c>
      <c r="K584" s="1" t="str">
        <f>IFERROR(__xludf.DUMMYFUNCTION("""COMPUTED_VALUE"""),"กองแก้ว")</f>
        <v>กองแก้ว</v>
      </c>
      <c r="L584" s="1" t="str">
        <f>IFERROR(__xludf.DUMMYFUNCTION("""COMPUTED_VALUE"""),"ม.3")</f>
        <v>ม.3</v>
      </c>
      <c r="M584" s="1" t="str">
        <f>IFERROR(__xludf.DUMMYFUNCTION("""COMPUTED_VALUE"""),"สุขศึกษา")</f>
        <v>สุขศึกษา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>
        <f>IFERROR(__xludf.DUMMYFUNCTION("""COMPUTED_VALUE"""),7.0)</f>
        <v>7</v>
      </c>
      <c r="B585" s="1">
        <f>IFERROR(__xludf.DUMMYFUNCTION("""COMPUTED_VALUE"""),1.0)</f>
        <v>1</v>
      </c>
      <c r="C585" s="1" t="str">
        <f>IFERROR(__xludf.DUMMYFUNCTION("""COMPUTED_VALUE"""),"พ23102")</f>
        <v>พ23102</v>
      </c>
      <c r="D585" s="1" t="str">
        <f>IFERROR(__xludf.DUMMYFUNCTION("""COMPUTED_VALUE"""),"พลศึกษา5")</f>
        <v>พลศึกษา5</v>
      </c>
      <c r="E585" s="1">
        <f>IFERROR(__xludf.DUMMYFUNCTION("""COMPUTED_VALUE"""),0.5)</f>
        <v>0.5</v>
      </c>
      <c r="F585" s="1">
        <f>IFERROR(__xludf.DUMMYFUNCTION("""COMPUTED_VALUE"""),2569.0)</f>
        <v>2569</v>
      </c>
      <c r="G585" s="1">
        <f>IFERROR(__xludf.DUMMYFUNCTION("""COMPUTED_VALUE"""),1.0)</f>
        <v>1</v>
      </c>
      <c r="H585" s="1">
        <f>IFERROR(__xludf.DUMMYFUNCTION("""COMPUTED_VALUE"""),515.0)</f>
        <v>515</v>
      </c>
      <c r="I585" s="1" t="str">
        <f>IFERROR(__xludf.DUMMYFUNCTION("""COMPUTED_VALUE"""),"นาย")</f>
        <v>นาย</v>
      </c>
      <c r="J585" s="1" t="str">
        <f>IFERROR(__xludf.DUMMYFUNCTION("""COMPUTED_VALUE"""),"วีรภัทร")</f>
        <v>วีรภัทร</v>
      </c>
      <c r="K585" s="1" t="str">
        <f>IFERROR(__xludf.DUMMYFUNCTION("""COMPUTED_VALUE"""),"กองแก้ว")</f>
        <v>กองแก้ว</v>
      </c>
      <c r="L585" s="1" t="str">
        <f>IFERROR(__xludf.DUMMYFUNCTION("""COMPUTED_VALUE"""),"ม.3")</f>
        <v>ม.3</v>
      </c>
      <c r="M585" s="1" t="str">
        <f>IFERROR(__xludf.DUMMYFUNCTION("""COMPUTED_VALUE"""),"สุขศึกษา")</f>
        <v>สุขศึกษา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>
        <f>IFERROR(__xludf.DUMMYFUNCTION("""COMPUTED_VALUE"""),8.0)</f>
        <v>8</v>
      </c>
      <c r="B586" s="1">
        <f>IFERROR(__xludf.DUMMYFUNCTION("""COMPUTED_VALUE"""),1.0)</f>
        <v>1</v>
      </c>
      <c r="C586" s="1" t="str">
        <f>IFERROR(__xludf.DUMMYFUNCTION("""COMPUTED_VALUE"""),"พ23102")</f>
        <v>พ23102</v>
      </c>
      <c r="D586" s="1" t="str">
        <f>IFERROR(__xludf.DUMMYFUNCTION("""COMPUTED_VALUE"""),"พลศึกษา5")</f>
        <v>พลศึกษา5</v>
      </c>
      <c r="E586" s="1">
        <f>IFERROR(__xludf.DUMMYFUNCTION("""COMPUTED_VALUE"""),0.5)</f>
        <v>0.5</v>
      </c>
      <c r="F586" s="1">
        <f>IFERROR(__xludf.DUMMYFUNCTION("""COMPUTED_VALUE"""),2569.0)</f>
        <v>2569</v>
      </c>
      <c r="G586" s="1">
        <f>IFERROR(__xludf.DUMMYFUNCTION("""COMPUTED_VALUE"""),1.0)</f>
        <v>1</v>
      </c>
      <c r="H586" s="1">
        <f>IFERROR(__xludf.DUMMYFUNCTION("""COMPUTED_VALUE"""),515.0)</f>
        <v>515</v>
      </c>
      <c r="I586" s="1" t="str">
        <f>IFERROR(__xludf.DUMMYFUNCTION("""COMPUTED_VALUE"""),"นาย")</f>
        <v>นาย</v>
      </c>
      <c r="J586" s="1" t="str">
        <f>IFERROR(__xludf.DUMMYFUNCTION("""COMPUTED_VALUE"""),"วีรภัทร")</f>
        <v>วีรภัทร</v>
      </c>
      <c r="K586" s="1" t="str">
        <f>IFERROR(__xludf.DUMMYFUNCTION("""COMPUTED_VALUE"""),"กองแก้ว")</f>
        <v>กองแก้ว</v>
      </c>
      <c r="L586" s="1" t="str">
        <f>IFERROR(__xludf.DUMMYFUNCTION("""COMPUTED_VALUE"""),"ม.3")</f>
        <v>ม.3</v>
      </c>
      <c r="M586" s="1" t="str">
        <f>IFERROR(__xludf.DUMMYFUNCTION("""COMPUTED_VALUE"""),"สุขศึกษา")</f>
        <v>สุขศึกษา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>
        <f>IFERROR(__xludf.DUMMYFUNCTION("""COMPUTED_VALUE"""),7.0)</f>
        <v>7</v>
      </c>
      <c r="B587" s="1">
        <f>IFERROR(__xludf.DUMMYFUNCTION("""COMPUTED_VALUE"""),2.0)</f>
        <v>2</v>
      </c>
      <c r="C587" s="1" t="str">
        <f>IFERROR(__xludf.DUMMYFUNCTION("""COMPUTED_VALUE"""),"ส20227")</f>
        <v>ส20227</v>
      </c>
      <c r="D587" s="1" t="str">
        <f>IFERROR(__xludf.DUMMYFUNCTION("""COMPUTED_VALUE"""),"การป้องกันการทุจริต 5")</f>
        <v>การป้องกันการทุจริต 5</v>
      </c>
      <c r="E587" s="1">
        <f>IFERROR(__xludf.DUMMYFUNCTION("""COMPUTED_VALUE"""),0.5)</f>
        <v>0.5</v>
      </c>
      <c r="F587" s="1">
        <f>IFERROR(__xludf.DUMMYFUNCTION("""COMPUTED_VALUE"""),2569.0)</f>
        <v>2569</v>
      </c>
      <c r="G587" s="1">
        <f>IFERROR(__xludf.DUMMYFUNCTION("""COMPUTED_VALUE"""),1.0)</f>
        <v>1</v>
      </c>
      <c r="H587" s="1">
        <f>IFERROR(__xludf.DUMMYFUNCTION("""COMPUTED_VALUE"""),515.0)</f>
        <v>515</v>
      </c>
      <c r="I587" s="1" t="str">
        <f>IFERROR(__xludf.DUMMYFUNCTION("""COMPUTED_VALUE"""),"นาย")</f>
        <v>นาย</v>
      </c>
      <c r="J587" s="1" t="str">
        <f>IFERROR(__xludf.DUMMYFUNCTION("""COMPUTED_VALUE"""),"วีรภัทร")</f>
        <v>วีรภัทร</v>
      </c>
      <c r="K587" s="1" t="str">
        <f>IFERROR(__xludf.DUMMYFUNCTION("""COMPUTED_VALUE"""),"กองแก้ว")</f>
        <v>กองแก้ว</v>
      </c>
      <c r="L587" s="1" t="str">
        <f>IFERROR(__xludf.DUMMYFUNCTION("""COMPUTED_VALUE"""),"ม.3")</f>
        <v>ม.3</v>
      </c>
      <c r="M587" s="1" t="str">
        <f>IFERROR(__xludf.DUMMYFUNCTION("""COMPUTED_VALUE"""),"สุขศึกษา")</f>
        <v>สุขศึกษา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>
        <f>IFERROR(__xludf.DUMMYFUNCTION("""COMPUTED_VALUE"""),1.0)</f>
        <v>1</v>
      </c>
      <c r="B588" s="1">
        <f>IFERROR(__xludf.DUMMYFUNCTION("""COMPUTED_VALUE"""),1.0)</f>
        <v>1</v>
      </c>
      <c r="C588" s="1" t="str">
        <f>IFERROR(__xludf.DUMMYFUNCTION("""COMPUTED_VALUE"""),"ศ31101")</f>
        <v>ศ31101</v>
      </c>
      <c r="D588" s="1" t="str">
        <f>IFERROR(__xludf.DUMMYFUNCTION("""COMPUTED_VALUE"""),"ศิลปะ 1")</f>
        <v>ศิลปะ 1</v>
      </c>
      <c r="E588" s="1">
        <f>IFERROR(__xludf.DUMMYFUNCTION("""COMPUTED_VALUE"""),0.5)</f>
        <v>0.5</v>
      </c>
      <c r="F588" s="1">
        <f>IFERROR(__xludf.DUMMYFUNCTION("""COMPUTED_VALUE"""),2569.0)</f>
        <v>2569</v>
      </c>
      <c r="G588" s="1">
        <f>IFERROR(__xludf.DUMMYFUNCTION("""COMPUTED_VALUE"""),1.0)</f>
        <v>1</v>
      </c>
      <c r="H588" s="1">
        <f>IFERROR(__xludf.DUMMYFUNCTION("""COMPUTED_VALUE"""),615.0)</f>
        <v>615</v>
      </c>
      <c r="I588" s="1" t="str">
        <f>IFERROR(__xludf.DUMMYFUNCTION("""COMPUTED_VALUE"""),"นาย")</f>
        <v>นาย</v>
      </c>
      <c r="J588" s="1" t="str">
        <f>IFERROR(__xludf.DUMMYFUNCTION("""COMPUTED_VALUE"""),"อิฐสรา")</f>
        <v>อิฐสรา</v>
      </c>
      <c r="K588" s="1" t="str">
        <f>IFERROR(__xludf.DUMMYFUNCTION("""COMPUTED_VALUE"""),"บุญคล้าย")</f>
        <v>บุญคล้าย</v>
      </c>
      <c r="L588" s="1" t="str">
        <f>IFERROR(__xludf.DUMMYFUNCTION("""COMPUTED_VALUE"""),"ม.4")</f>
        <v>ม.4</v>
      </c>
      <c r="M588" s="1" t="str">
        <f>IFERROR(__xludf.DUMMYFUNCTION("""COMPUTED_VALUE"""),"ศิลปะ")</f>
        <v>ศิลปะ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>
        <f>IFERROR(__xludf.DUMMYFUNCTION("""COMPUTED_VALUE"""),2.0)</f>
        <v>2</v>
      </c>
      <c r="B589" s="1">
        <f>IFERROR(__xludf.DUMMYFUNCTION("""COMPUTED_VALUE"""),1.0)</f>
        <v>1</v>
      </c>
      <c r="C589" s="1" t="str">
        <f>IFERROR(__xludf.DUMMYFUNCTION("""COMPUTED_VALUE"""),"ศ31101")</f>
        <v>ศ31101</v>
      </c>
      <c r="D589" s="1" t="str">
        <f>IFERROR(__xludf.DUMMYFUNCTION("""COMPUTED_VALUE"""),"ศิลปะ 1")</f>
        <v>ศิลปะ 1</v>
      </c>
      <c r="E589" s="1">
        <f>IFERROR(__xludf.DUMMYFUNCTION("""COMPUTED_VALUE"""),0.5)</f>
        <v>0.5</v>
      </c>
      <c r="F589" s="1">
        <f>IFERROR(__xludf.DUMMYFUNCTION("""COMPUTED_VALUE"""),2569.0)</f>
        <v>2569</v>
      </c>
      <c r="G589" s="1">
        <f>IFERROR(__xludf.DUMMYFUNCTION("""COMPUTED_VALUE"""),1.0)</f>
        <v>1</v>
      </c>
      <c r="H589" s="1">
        <f>IFERROR(__xludf.DUMMYFUNCTION("""COMPUTED_VALUE"""),615.0)</f>
        <v>615</v>
      </c>
      <c r="I589" s="1" t="str">
        <f>IFERROR(__xludf.DUMMYFUNCTION("""COMPUTED_VALUE"""),"นาย")</f>
        <v>นาย</v>
      </c>
      <c r="J589" s="1" t="str">
        <f>IFERROR(__xludf.DUMMYFUNCTION("""COMPUTED_VALUE"""),"อิฐสรา")</f>
        <v>อิฐสรา</v>
      </c>
      <c r="K589" s="1" t="str">
        <f>IFERROR(__xludf.DUMMYFUNCTION("""COMPUTED_VALUE"""),"บุญคล้าย")</f>
        <v>บุญคล้าย</v>
      </c>
      <c r="L589" s="1" t="str">
        <f>IFERROR(__xludf.DUMMYFUNCTION("""COMPUTED_VALUE"""),"ม.4")</f>
        <v>ม.4</v>
      </c>
      <c r="M589" s="1" t="str">
        <f>IFERROR(__xludf.DUMMYFUNCTION("""COMPUTED_VALUE"""),"ศิลปะ")</f>
        <v>ศิลปะ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>
        <f>IFERROR(__xludf.DUMMYFUNCTION("""COMPUTED_VALUE"""),3.0)</f>
        <v>3</v>
      </c>
      <c r="B590" s="1">
        <f>IFERROR(__xludf.DUMMYFUNCTION("""COMPUTED_VALUE"""),1.0)</f>
        <v>1</v>
      </c>
      <c r="C590" s="1" t="str">
        <f>IFERROR(__xludf.DUMMYFUNCTION("""COMPUTED_VALUE"""),"ศ31101")</f>
        <v>ศ31101</v>
      </c>
      <c r="D590" s="1" t="str">
        <f>IFERROR(__xludf.DUMMYFUNCTION("""COMPUTED_VALUE"""),"ศิลปะ 1")</f>
        <v>ศิลปะ 1</v>
      </c>
      <c r="E590" s="1">
        <f>IFERROR(__xludf.DUMMYFUNCTION("""COMPUTED_VALUE"""),0.5)</f>
        <v>0.5</v>
      </c>
      <c r="F590" s="1">
        <f>IFERROR(__xludf.DUMMYFUNCTION("""COMPUTED_VALUE"""),2569.0)</f>
        <v>2569</v>
      </c>
      <c r="G590" s="1">
        <f>IFERROR(__xludf.DUMMYFUNCTION("""COMPUTED_VALUE"""),1.0)</f>
        <v>1</v>
      </c>
      <c r="H590" s="1">
        <f>IFERROR(__xludf.DUMMYFUNCTION("""COMPUTED_VALUE"""),615.0)</f>
        <v>615</v>
      </c>
      <c r="I590" s="1" t="str">
        <f>IFERROR(__xludf.DUMMYFUNCTION("""COMPUTED_VALUE"""),"นาย")</f>
        <v>นาย</v>
      </c>
      <c r="J590" s="1" t="str">
        <f>IFERROR(__xludf.DUMMYFUNCTION("""COMPUTED_VALUE"""),"อิฐสรา")</f>
        <v>อิฐสรา</v>
      </c>
      <c r="K590" s="1" t="str">
        <f>IFERROR(__xludf.DUMMYFUNCTION("""COMPUTED_VALUE"""),"บุญคล้าย")</f>
        <v>บุญคล้าย</v>
      </c>
      <c r="L590" s="1" t="str">
        <f>IFERROR(__xludf.DUMMYFUNCTION("""COMPUTED_VALUE"""),"ม.4")</f>
        <v>ม.4</v>
      </c>
      <c r="M590" s="1" t="str">
        <f>IFERROR(__xludf.DUMMYFUNCTION("""COMPUTED_VALUE"""),"ศิลปะ")</f>
        <v>ศิลปะ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>
        <f>IFERROR(__xludf.DUMMYFUNCTION("""COMPUTED_VALUE"""),4.0)</f>
        <v>4</v>
      </c>
      <c r="B591" s="1">
        <f>IFERROR(__xludf.DUMMYFUNCTION("""COMPUTED_VALUE"""),1.0)</f>
        <v>1</v>
      </c>
      <c r="C591" s="1" t="str">
        <f>IFERROR(__xludf.DUMMYFUNCTION("""COMPUTED_VALUE"""),"ศ31101")</f>
        <v>ศ31101</v>
      </c>
      <c r="D591" s="1" t="str">
        <f>IFERROR(__xludf.DUMMYFUNCTION("""COMPUTED_VALUE"""),"ศิลปะ 1")</f>
        <v>ศิลปะ 1</v>
      </c>
      <c r="E591" s="1">
        <f>IFERROR(__xludf.DUMMYFUNCTION("""COMPUTED_VALUE"""),0.5)</f>
        <v>0.5</v>
      </c>
      <c r="F591" s="1">
        <f>IFERROR(__xludf.DUMMYFUNCTION("""COMPUTED_VALUE"""),2569.0)</f>
        <v>2569</v>
      </c>
      <c r="G591" s="1">
        <f>IFERROR(__xludf.DUMMYFUNCTION("""COMPUTED_VALUE"""),1.0)</f>
        <v>1</v>
      </c>
      <c r="H591" s="1">
        <f>IFERROR(__xludf.DUMMYFUNCTION("""COMPUTED_VALUE"""),615.0)</f>
        <v>615</v>
      </c>
      <c r="I591" s="1" t="str">
        <f>IFERROR(__xludf.DUMMYFUNCTION("""COMPUTED_VALUE"""),"นาย")</f>
        <v>นาย</v>
      </c>
      <c r="J591" s="1" t="str">
        <f>IFERROR(__xludf.DUMMYFUNCTION("""COMPUTED_VALUE"""),"อิฐสรา")</f>
        <v>อิฐสรา</v>
      </c>
      <c r="K591" s="1" t="str">
        <f>IFERROR(__xludf.DUMMYFUNCTION("""COMPUTED_VALUE"""),"บุญคล้าย")</f>
        <v>บุญคล้าย</v>
      </c>
      <c r="L591" s="1" t="str">
        <f>IFERROR(__xludf.DUMMYFUNCTION("""COMPUTED_VALUE"""),"ม.4")</f>
        <v>ม.4</v>
      </c>
      <c r="M591" s="1" t="str">
        <f>IFERROR(__xludf.DUMMYFUNCTION("""COMPUTED_VALUE"""),"ศิลปะ")</f>
        <v>ศิลปะ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>
        <f>IFERROR(__xludf.DUMMYFUNCTION("""COMPUTED_VALUE"""),5.0)</f>
        <v>5</v>
      </c>
      <c r="B592" s="1">
        <f>IFERROR(__xludf.DUMMYFUNCTION("""COMPUTED_VALUE"""),1.0)</f>
        <v>1</v>
      </c>
      <c r="C592" s="1" t="str">
        <f>IFERROR(__xludf.DUMMYFUNCTION("""COMPUTED_VALUE"""),"ศ31101")</f>
        <v>ศ31101</v>
      </c>
      <c r="D592" s="1" t="str">
        <f>IFERROR(__xludf.DUMMYFUNCTION("""COMPUTED_VALUE"""),"ศิลปะ 1")</f>
        <v>ศิลปะ 1</v>
      </c>
      <c r="E592" s="1">
        <f>IFERROR(__xludf.DUMMYFUNCTION("""COMPUTED_VALUE"""),0.5)</f>
        <v>0.5</v>
      </c>
      <c r="F592" s="1">
        <f>IFERROR(__xludf.DUMMYFUNCTION("""COMPUTED_VALUE"""),2569.0)</f>
        <v>2569</v>
      </c>
      <c r="G592" s="1">
        <f>IFERROR(__xludf.DUMMYFUNCTION("""COMPUTED_VALUE"""),1.0)</f>
        <v>1</v>
      </c>
      <c r="H592" s="1">
        <f>IFERROR(__xludf.DUMMYFUNCTION("""COMPUTED_VALUE"""),615.0)</f>
        <v>615</v>
      </c>
      <c r="I592" s="1" t="str">
        <f>IFERROR(__xludf.DUMMYFUNCTION("""COMPUTED_VALUE"""),"นาย")</f>
        <v>นาย</v>
      </c>
      <c r="J592" s="1" t="str">
        <f>IFERROR(__xludf.DUMMYFUNCTION("""COMPUTED_VALUE"""),"อิฐสรา")</f>
        <v>อิฐสรา</v>
      </c>
      <c r="K592" s="1" t="str">
        <f>IFERROR(__xludf.DUMMYFUNCTION("""COMPUTED_VALUE"""),"บุญคล้าย")</f>
        <v>บุญคล้าย</v>
      </c>
      <c r="L592" s="1" t="str">
        <f>IFERROR(__xludf.DUMMYFUNCTION("""COMPUTED_VALUE"""),"ม.4")</f>
        <v>ม.4</v>
      </c>
      <c r="M592" s="1" t="str">
        <f>IFERROR(__xludf.DUMMYFUNCTION("""COMPUTED_VALUE"""),"ศิลปะ")</f>
        <v>ศิลปะ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>
        <f>IFERROR(__xludf.DUMMYFUNCTION("""COMPUTED_VALUE"""),6.0)</f>
        <v>6</v>
      </c>
      <c r="B593" s="1">
        <f>IFERROR(__xludf.DUMMYFUNCTION("""COMPUTED_VALUE"""),1.0)</f>
        <v>1</v>
      </c>
      <c r="C593" s="1" t="str">
        <f>IFERROR(__xludf.DUMMYFUNCTION("""COMPUTED_VALUE"""),"ศ31101")</f>
        <v>ศ31101</v>
      </c>
      <c r="D593" s="1" t="str">
        <f>IFERROR(__xludf.DUMMYFUNCTION("""COMPUTED_VALUE"""),"ศิลปะ 1")</f>
        <v>ศิลปะ 1</v>
      </c>
      <c r="E593" s="1">
        <f>IFERROR(__xludf.DUMMYFUNCTION("""COMPUTED_VALUE"""),0.5)</f>
        <v>0.5</v>
      </c>
      <c r="F593" s="1">
        <f>IFERROR(__xludf.DUMMYFUNCTION("""COMPUTED_VALUE"""),2569.0)</f>
        <v>2569</v>
      </c>
      <c r="G593" s="1">
        <f>IFERROR(__xludf.DUMMYFUNCTION("""COMPUTED_VALUE"""),1.0)</f>
        <v>1</v>
      </c>
      <c r="H593" s="1">
        <f>IFERROR(__xludf.DUMMYFUNCTION("""COMPUTED_VALUE"""),615.0)</f>
        <v>615</v>
      </c>
      <c r="I593" s="1" t="str">
        <f>IFERROR(__xludf.DUMMYFUNCTION("""COMPUTED_VALUE"""),"นาย")</f>
        <v>นาย</v>
      </c>
      <c r="J593" s="1" t="str">
        <f>IFERROR(__xludf.DUMMYFUNCTION("""COMPUTED_VALUE"""),"อิฐสรา")</f>
        <v>อิฐสรา</v>
      </c>
      <c r="K593" s="1" t="str">
        <f>IFERROR(__xludf.DUMMYFUNCTION("""COMPUTED_VALUE"""),"บุญคล้าย")</f>
        <v>บุญคล้าย</v>
      </c>
      <c r="L593" s="1" t="str">
        <f>IFERROR(__xludf.DUMMYFUNCTION("""COMPUTED_VALUE"""),"ม.4")</f>
        <v>ม.4</v>
      </c>
      <c r="M593" s="1" t="str">
        <f>IFERROR(__xludf.DUMMYFUNCTION("""COMPUTED_VALUE"""),"ศิลปะ")</f>
        <v>ศิลปะ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>
        <f>IFERROR(__xludf.DUMMYFUNCTION("""COMPUTED_VALUE"""),7.0)</f>
        <v>7</v>
      </c>
      <c r="B594" s="1">
        <f>IFERROR(__xludf.DUMMYFUNCTION("""COMPUTED_VALUE"""),1.0)</f>
        <v>1</v>
      </c>
      <c r="C594" s="1" t="str">
        <f>IFERROR(__xludf.DUMMYFUNCTION("""COMPUTED_VALUE"""),"ศ31101")</f>
        <v>ศ31101</v>
      </c>
      <c r="D594" s="1" t="str">
        <f>IFERROR(__xludf.DUMMYFUNCTION("""COMPUTED_VALUE"""),"ศิลปะ 1")</f>
        <v>ศิลปะ 1</v>
      </c>
      <c r="E594" s="1">
        <f>IFERROR(__xludf.DUMMYFUNCTION("""COMPUTED_VALUE"""),0.5)</f>
        <v>0.5</v>
      </c>
      <c r="F594" s="1">
        <f>IFERROR(__xludf.DUMMYFUNCTION("""COMPUTED_VALUE"""),2569.0)</f>
        <v>2569</v>
      </c>
      <c r="G594" s="1">
        <f>IFERROR(__xludf.DUMMYFUNCTION("""COMPUTED_VALUE"""),1.0)</f>
        <v>1</v>
      </c>
      <c r="H594" s="1">
        <f>IFERROR(__xludf.DUMMYFUNCTION("""COMPUTED_VALUE"""),615.0)</f>
        <v>615</v>
      </c>
      <c r="I594" s="1" t="str">
        <f>IFERROR(__xludf.DUMMYFUNCTION("""COMPUTED_VALUE"""),"นาย")</f>
        <v>นาย</v>
      </c>
      <c r="J594" s="1" t="str">
        <f>IFERROR(__xludf.DUMMYFUNCTION("""COMPUTED_VALUE"""),"อิฐสรา")</f>
        <v>อิฐสรา</v>
      </c>
      <c r="K594" s="1" t="str">
        <f>IFERROR(__xludf.DUMMYFUNCTION("""COMPUTED_VALUE"""),"บุญคล้าย")</f>
        <v>บุญคล้าย</v>
      </c>
      <c r="L594" s="1" t="str">
        <f>IFERROR(__xludf.DUMMYFUNCTION("""COMPUTED_VALUE"""),"ม.4")</f>
        <v>ม.4</v>
      </c>
      <c r="M594" s="1" t="str">
        <f>IFERROR(__xludf.DUMMYFUNCTION("""COMPUTED_VALUE"""),"ศิลปะ")</f>
        <v>ศิลปะ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>
        <f>IFERROR(__xludf.DUMMYFUNCTION("""COMPUTED_VALUE"""),8.0)</f>
        <v>8</v>
      </c>
      <c r="B595" s="1">
        <f>IFERROR(__xludf.DUMMYFUNCTION("""COMPUTED_VALUE"""),1.0)</f>
        <v>1</v>
      </c>
      <c r="C595" s="1" t="str">
        <f>IFERROR(__xludf.DUMMYFUNCTION("""COMPUTED_VALUE"""),"ศ31101")</f>
        <v>ศ31101</v>
      </c>
      <c r="D595" s="1" t="str">
        <f>IFERROR(__xludf.DUMMYFUNCTION("""COMPUTED_VALUE"""),"ศิลปะ 1")</f>
        <v>ศิลปะ 1</v>
      </c>
      <c r="E595" s="1">
        <f>IFERROR(__xludf.DUMMYFUNCTION("""COMPUTED_VALUE"""),0.5)</f>
        <v>0.5</v>
      </c>
      <c r="F595" s="1">
        <f>IFERROR(__xludf.DUMMYFUNCTION("""COMPUTED_VALUE"""),2569.0)</f>
        <v>2569</v>
      </c>
      <c r="G595" s="1">
        <f>IFERROR(__xludf.DUMMYFUNCTION("""COMPUTED_VALUE"""),1.0)</f>
        <v>1</v>
      </c>
      <c r="H595" s="1">
        <f>IFERROR(__xludf.DUMMYFUNCTION("""COMPUTED_VALUE"""),615.0)</f>
        <v>615</v>
      </c>
      <c r="I595" s="1" t="str">
        <f>IFERROR(__xludf.DUMMYFUNCTION("""COMPUTED_VALUE"""),"นาย")</f>
        <v>นาย</v>
      </c>
      <c r="J595" s="1" t="str">
        <f>IFERROR(__xludf.DUMMYFUNCTION("""COMPUTED_VALUE"""),"อิฐสรา")</f>
        <v>อิฐสรา</v>
      </c>
      <c r="K595" s="1" t="str">
        <f>IFERROR(__xludf.DUMMYFUNCTION("""COMPUTED_VALUE"""),"บุญคล้าย")</f>
        <v>บุญคล้าย</v>
      </c>
      <c r="L595" s="1" t="str">
        <f>IFERROR(__xludf.DUMMYFUNCTION("""COMPUTED_VALUE"""),"ม.4")</f>
        <v>ม.4</v>
      </c>
      <c r="M595" s="1" t="str">
        <f>IFERROR(__xludf.DUMMYFUNCTION("""COMPUTED_VALUE"""),"ศิลปะ")</f>
        <v>ศิลปะ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>
        <f>IFERROR(__xludf.DUMMYFUNCTION("""COMPUTED_VALUE"""),9.0)</f>
        <v>9</v>
      </c>
      <c r="B596" s="1">
        <f>IFERROR(__xludf.DUMMYFUNCTION("""COMPUTED_VALUE"""),1.0)</f>
        <v>1</v>
      </c>
      <c r="C596" s="1" t="str">
        <f>IFERROR(__xludf.DUMMYFUNCTION("""COMPUTED_VALUE"""),"ศ31101")</f>
        <v>ศ31101</v>
      </c>
      <c r="D596" s="1" t="str">
        <f>IFERROR(__xludf.DUMMYFUNCTION("""COMPUTED_VALUE"""),"ศิลปะ 1")</f>
        <v>ศิลปะ 1</v>
      </c>
      <c r="E596" s="1">
        <f>IFERROR(__xludf.DUMMYFUNCTION("""COMPUTED_VALUE"""),0.5)</f>
        <v>0.5</v>
      </c>
      <c r="F596" s="1">
        <f>IFERROR(__xludf.DUMMYFUNCTION("""COMPUTED_VALUE"""),2569.0)</f>
        <v>2569</v>
      </c>
      <c r="G596" s="1">
        <f>IFERROR(__xludf.DUMMYFUNCTION("""COMPUTED_VALUE"""),1.0)</f>
        <v>1</v>
      </c>
      <c r="H596" s="1">
        <f>IFERROR(__xludf.DUMMYFUNCTION("""COMPUTED_VALUE"""),615.0)</f>
        <v>615</v>
      </c>
      <c r="I596" s="1" t="str">
        <f>IFERROR(__xludf.DUMMYFUNCTION("""COMPUTED_VALUE"""),"นาย")</f>
        <v>นาย</v>
      </c>
      <c r="J596" s="1" t="str">
        <f>IFERROR(__xludf.DUMMYFUNCTION("""COMPUTED_VALUE"""),"อิฐสรา")</f>
        <v>อิฐสรา</v>
      </c>
      <c r="K596" s="1" t="str">
        <f>IFERROR(__xludf.DUMMYFUNCTION("""COMPUTED_VALUE"""),"บุญคล้าย")</f>
        <v>บุญคล้าย</v>
      </c>
      <c r="L596" s="1" t="str">
        <f>IFERROR(__xludf.DUMMYFUNCTION("""COMPUTED_VALUE"""),"ม.4")</f>
        <v>ม.4</v>
      </c>
      <c r="M596" s="1" t="str">
        <f>IFERROR(__xludf.DUMMYFUNCTION("""COMPUTED_VALUE"""),"ศิลปะ")</f>
        <v>ศิลปะ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>
        <f>IFERROR(__xludf.DUMMYFUNCTION("""COMPUTED_VALUE"""),10.0)</f>
        <v>10</v>
      </c>
      <c r="B597" s="1">
        <f>IFERROR(__xludf.DUMMYFUNCTION("""COMPUTED_VALUE"""),1.0)</f>
        <v>1</v>
      </c>
      <c r="C597" s="1" t="str">
        <f>IFERROR(__xludf.DUMMYFUNCTION("""COMPUTED_VALUE"""),"ศ31101")</f>
        <v>ศ31101</v>
      </c>
      <c r="D597" s="1" t="str">
        <f>IFERROR(__xludf.DUMMYFUNCTION("""COMPUTED_VALUE"""),"ศิลปะ 1")</f>
        <v>ศิลปะ 1</v>
      </c>
      <c r="E597" s="1">
        <f>IFERROR(__xludf.DUMMYFUNCTION("""COMPUTED_VALUE"""),0.5)</f>
        <v>0.5</v>
      </c>
      <c r="F597" s="1">
        <f>IFERROR(__xludf.DUMMYFUNCTION("""COMPUTED_VALUE"""),2569.0)</f>
        <v>2569</v>
      </c>
      <c r="G597" s="1">
        <f>IFERROR(__xludf.DUMMYFUNCTION("""COMPUTED_VALUE"""),1.0)</f>
        <v>1</v>
      </c>
      <c r="H597" s="1">
        <f>IFERROR(__xludf.DUMMYFUNCTION("""COMPUTED_VALUE"""),615.0)</f>
        <v>615</v>
      </c>
      <c r="I597" s="1" t="str">
        <f>IFERROR(__xludf.DUMMYFUNCTION("""COMPUTED_VALUE"""),"นาย")</f>
        <v>นาย</v>
      </c>
      <c r="J597" s="1" t="str">
        <f>IFERROR(__xludf.DUMMYFUNCTION("""COMPUTED_VALUE"""),"อิฐสรา")</f>
        <v>อิฐสรา</v>
      </c>
      <c r="K597" s="1" t="str">
        <f>IFERROR(__xludf.DUMMYFUNCTION("""COMPUTED_VALUE"""),"บุญคล้าย")</f>
        <v>บุญคล้าย</v>
      </c>
      <c r="L597" s="1" t="str">
        <f>IFERROR(__xludf.DUMMYFUNCTION("""COMPUTED_VALUE"""),"ม.4")</f>
        <v>ม.4</v>
      </c>
      <c r="M597" s="1" t="str">
        <f>IFERROR(__xludf.DUMMYFUNCTION("""COMPUTED_VALUE"""),"ศิลปะ")</f>
        <v>ศิลปะ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>
        <f>IFERROR(__xludf.DUMMYFUNCTION("""COMPUTED_VALUE"""),11.0)</f>
        <v>11</v>
      </c>
      <c r="B598" s="1">
        <f>IFERROR(__xludf.DUMMYFUNCTION("""COMPUTED_VALUE"""),1.0)</f>
        <v>1</v>
      </c>
      <c r="C598" s="1" t="str">
        <f>IFERROR(__xludf.DUMMYFUNCTION("""COMPUTED_VALUE"""),"ศ31101")</f>
        <v>ศ31101</v>
      </c>
      <c r="D598" s="1" t="str">
        <f>IFERROR(__xludf.DUMMYFUNCTION("""COMPUTED_VALUE"""),"ศิลปะ 1")</f>
        <v>ศิลปะ 1</v>
      </c>
      <c r="E598" s="1">
        <f>IFERROR(__xludf.DUMMYFUNCTION("""COMPUTED_VALUE"""),0.5)</f>
        <v>0.5</v>
      </c>
      <c r="F598" s="1">
        <f>IFERROR(__xludf.DUMMYFUNCTION("""COMPUTED_VALUE"""),2569.0)</f>
        <v>2569</v>
      </c>
      <c r="G598" s="1">
        <f>IFERROR(__xludf.DUMMYFUNCTION("""COMPUTED_VALUE"""),1.0)</f>
        <v>1</v>
      </c>
      <c r="H598" s="1">
        <f>IFERROR(__xludf.DUMMYFUNCTION("""COMPUTED_VALUE"""),615.0)</f>
        <v>615</v>
      </c>
      <c r="I598" s="1" t="str">
        <f>IFERROR(__xludf.DUMMYFUNCTION("""COMPUTED_VALUE"""),"นาย")</f>
        <v>นาย</v>
      </c>
      <c r="J598" s="1" t="str">
        <f>IFERROR(__xludf.DUMMYFUNCTION("""COMPUTED_VALUE"""),"อิฐสรา")</f>
        <v>อิฐสรา</v>
      </c>
      <c r="K598" s="1" t="str">
        <f>IFERROR(__xludf.DUMMYFUNCTION("""COMPUTED_VALUE"""),"บุญคล้าย")</f>
        <v>บุญคล้าย</v>
      </c>
      <c r="L598" s="1" t="str">
        <f>IFERROR(__xludf.DUMMYFUNCTION("""COMPUTED_VALUE"""),"ม.4")</f>
        <v>ม.4</v>
      </c>
      <c r="M598" s="1" t="str">
        <f>IFERROR(__xludf.DUMMYFUNCTION("""COMPUTED_VALUE"""),"ศิลปะ")</f>
        <v>ศิลปะ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>
        <f>IFERROR(__xludf.DUMMYFUNCTION("""COMPUTED_VALUE"""),11.0)</f>
        <v>11</v>
      </c>
      <c r="B599" s="1">
        <f>IFERROR(__xludf.DUMMYFUNCTION("""COMPUTED_VALUE"""),1.0)</f>
        <v>1</v>
      </c>
      <c r="C599" s="1" t="str">
        <f>IFERROR(__xludf.DUMMYFUNCTION("""COMPUTED_VALUE"""),"ส30247")</f>
        <v>ส30247</v>
      </c>
      <c r="D599" s="1" t="str">
        <f>IFERROR(__xludf.DUMMYFUNCTION("""COMPUTED_VALUE"""),"การป้องกันการทุจริต 1")</f>
        <v>การป้องกันการทุจริต 1</v>
      </c>
      <c r="E599" s="1">
        <f>IFERROR(__xludf.DUMMYFUNCTION("""COMPUTED_VALUE"""),0.5)</f>
        <v>0.5</v>
      </c>
      <c r="F599" s="1">
        <f>IFERROR(__xludf.DUMMYFUNCTION("""COMPUTED_VALUE"""),2569.0)</f>
        <v>2569</v>
      </c>
      <c r="G599" s="1">
        <f>IFERROR(__xludf.DUMMYFUNCTION("""COMPUTED_VALUE"""),1.0)</f>
        <v>1</v>
      </c>
      <c r="H599" s="1">
        <f>IFERROR(__xludf.DUMMYFUNCTION("""COMPUTED_VALUE"""),615.0)</f>
        <v>615</v>
      </c>
      <c r="I599" s="1" t="str">
        <f>IFERROR(__xludf.DUMMYFUNCTION("""COMPUTED_VALUE"""),"นาย")</f>
        <v>นาย</v>
      </c>
      <c r="J599" s="1" t="str">
        <f>IFERROR(__xludf.DUMMYFUNCTION("""COMPUTED_VALUE"""),"อิฐสรา")</f>
        <v>อิฐสรา</v>
      </c>
      <c r="K599" s="1" t="str">
        <f>IFERROR(__xludf.DUMMYFUNCTION("""COMPUTED_VALUE"""),"บุญคล้าย")</f>
        <v>บุญคล้าย</v>
      </c>
      <c r="L599" s="1" t="str">
        <f>IFERROR(__xludf.DUMMYFUNCTION("""COMPUTED_VALUE"""),"ม.4")</f>
        <v>ม.4</v>
      </c>
      <c r="M599" s="1" t="str">
        <f>IFERROR(__xludf.DUMMYFUNCTION("""COMPUTED_VALUE"""),"ศิลปะ")</f>
        <v>ศิลปะ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>
        <f>IFERROR(__xludf.DUMMYFUNCTION("""COMPUTED_VALUE"""),11.0)</f>
        <v>11</v>
      </c>
      <c r="B600" s="1">
        <f>IFERROR(__xludf.DUMMYFUNCTION("""COMPUTED_VALUE"""),1.0)</f>
        <v>1</v>
      </c>
      <c r="C600" s="1" t="str">
        <f>IFERROR(__xludf.DUMMYFUNCTION("""COMPUTED_VALUE"""),"ศ31207")</f>
        <v>ศ31207</v>
      </c>
      <c r="D600" s="1" t="str">
        <f>IFERROR(__xludf.DUMMYFUNCTION("""COMPUTED_VALUE"""),"Drawing 1")</f>
        <v>Drawing 1</v>
      </c>
      <c r="E600" s="1">
        <f>IFERROR(__xludf.DUMMYFUNCTION("""COMPUTED_VALUE"""),1.0)</f>
        <v>1</v>
      </c>
      <c r="F600" s="1">
        <f>IFERROR(__xludf.DUMMYFUNCTION("""COMPUTED_VALUE"""),2569.0)</f>
        <v>2569</v>
      </c>
      <c r="G600" s="1">
        <f>IFERROR(__xludf.DUMMYFUNCTION("""COMPUTED_VALUE"""),1.0)</f>
        <v>1</v>
      </c>
      <c r="H600" s="1">
        <f>IFERROR(__xludf.DUMMYFUNCTION("""COMPUTED_VALUE"""),616.0)</f>
        <v>616</v>
      </c>
      <c r="I600" s="1" t="str">
        <f>IFERROR(__xludf.DUMMYFUNCTION("""COMPUTED_VALUE"""),"นางสาว")</f>
        <v>นางสาว</v>
      </c>
      <c r="J600" s="1" t="str">
        <f>IFERROR(__xludf.DUMMYFUNCTION("""COMPUTED_VALUE"""),"ศิริรัตน์")</f>
        <v>ศิริรัตน์</v>
      </c>
      <c r="K600" s="1" t="str">
        <f>IFERROR(__xludf.DUMMYFUNCTION("""COMPUTED_VALUE"""),"เถื่อนดี")</f>
        <v>เถื่อนดี</v>
      </c>
      <c r="L600" s="1" t="str">
        <f>IFERROR(__xludf.DUMMYFUNCTION("""COMPUTED_VALUE"""),"ม.4")</f>
        <v>ม.4</v>
      </c>
      <c r="M600" s="1" t="str">
        <f>IFERROR(__xludf.DUMMYFUNCTION("""COMPUTED_VALUE"""),"ศิลปะ")</f>
        <v>ศิลปะ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>
        <f>IFERROR(__xludf.DUMMYFUNCTION("""COMPUTED_VALUE"""),11.0)</f>
        <v>11</v>
      </c>
      <c r="B601" s="1">
        <f>IFERROR(__xludf.DUMMYFUNCTION("""COMPUTED_VALUE"""),1.0)</f>
        <v>1</v>
      </c>
      <c r="C601" s="1" t="str">
        <f>IFERROR(__xludf.DUMMYFUNCTION("""COMPUTED_VALUE"""),"ศ31208")</f>
        <v>ศ31208</v>
      </c>
      <c r="D601" s="1" t="str">
        <f>IFERROR(__xludf.DUMMYFUNCTION("""COMPUTED_VALUE"""),"Sketch design 1")</f>
        <v>Sketch design 1</v>
      </c>
      <c r="E601" s="1">
        <f>IFERROR(__xludf.DUMMYFUNCTION("""COMPUTED_VALUE"""),1.0)</f>
        <v>1</v>
      </c>
      <c r="F601" s="1">
        <f>IFERROR(__xludf.DUMMYFUNCTION("""COMPUTED_VALUE"""),2569.0)</f>
        <v>2569</v>
      </c>
      <c r="G601" s="1">
        <f>IFERROR(__xludf.DUMMYFUNCTION("""COMPUTED_VALUE"""),1.0)</f>
        <v>1</v>
      </c>
      <c r="H601" s="1">
        <f>IFERROR(__xludf.DUMMYFUNCTION("""COMPUTED_VALUE"""),616.0)</f>
        <v>616</v>
      </c>
      <c r="I601" s="1" t="str">
        <f>IFERROR(__xludf.DUMMYFUNCTION("""COMPUTED_VALUE"""),"นางสาว")</f>
        <v>นางสาว</v>
      </c>
      <c r="J601" s="1" t="str">
        <f>IFERROR(__xludf.DUMMYFUNCTION("""COMPUTED_VALUE"""),"ศิริรัตน์")</f>
        <v>ศิริรัตน์</v>
      </c>
      <c r="K601" s="1" t="str">
        <f>IFERROR(__xludf.DUMMYFUNCTION("""COMPUTED_VALUE"""),"เถื่อนดี")</f>
        <v>เถื่อนดี</v>
      </c>
      <c r="L601" s="1" t="str">
        <f>IFERROR(__xludf.DUMMYFUNCTION("""COMPUTED_VALUE"""),"ม.4")</f>
        <v>ม.4</v>
      </c>
      <c r="M601" s="1" t="str">
        <f>IFERROR(__xludf.DUMMYFUNCTION("""COMPUTED_VALUE"""),"ศิลปะ")</f>
        <v>ศิลปะ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>
        <f>IFERROR(__xludf.DUMMYFUNCTION("""COMPUTED_VALUE"""),1.0)</f>
        <v>1</v>
      </c>
      <c r="B602" s="1">
        <f>IFERROR(__xludf.DUMMYFUNCTION("""COMPUTED_VALUE"""),1.0)</f>
        <v>1</v>
      </c>
      <c r="C602" s="1" t="str">
        <f>IFERROR(__xludf.DUMMYFUNCTION("""COMPUTED_VALUE"""),"ศ32101")</f>
        <v>ศ32101</v>
      </c>
      <c r="D602" s="1" t="str">
        <f>IFERROR(__xludf.DUMMYFUNCTION("""COMPUTED_VALUE"""),"ศิลปะ3")</f>
        <v>ศิลปะ3</v>
      </c>
      <c r="E602" s="1">
        <f>IFERROR(__xludf.DUMMYFUNCTION("""COMPUTED_VALUE"""),0.5)</f>
        <v>0.5</v>
      </c>
      <c r="F602" s="1">
        <f>IFERROR(__xludf.DUMMYFUNCTION("""COMPUTED_VALUE"""),2569.0)</f>
        <v>2569</v>
      </c>
      <c r="G602" s="1">
        <f>IFERROR(__xludf.DUMMYFUNCTION("""COMPUTED_VALUE"""),1.0)</f>
        <v>1</v>
      </c>
      <c r="H602" s="1">
        <f>IFERROR(__xludf.DUMMYFUNCTION("""COMPUTED_VALUE"""),616.0)</f>
        <v>616</v>
      </c>
      <c r="I602" s="1" t="str">
        <f>IFERROR(__xludf.DUMMYFUNCTION("""COMPUTED_VALUE"""),"นางสาว")</f>
        <v>นางสาว</v>
      </c>
      <c r="J602" s="1" t="str">
        <f>IFERROR(__xludf.DUMMYFUNCTION("""COMPUTED_VALUE"""),"ศิริรัตน์")</f>
        <v>ศิริรัตน์</v>
      </c>
      <c r="K602" s="1" t="str">
        <f>IFERROR(__xludf.DUMMYFUNCTION("""COMPUTED_VALUE"""),"เถื่อนดี")</f>
        <v>เถื่อนดี</v>
      </c>
      <c r="L602" s="1" t="str">
        <f>IFERROR(__xludf.DUMMYFUNCTION("""COMPUTED_VALUE"""),"ม.5")</f>
        <v>ม.5</v>
      </c>
      <c r="M602" s="1" t="str">
        <f>IFERROR(__xludf.DUMMYFUNCTION("""COMPUTED_VALUE"""),"ศิลปะ")</f>
        <v>ศิลปะ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>
        <f>IFERROR(__xludf.DUMMYFUNCTION("""COMPUTED_VALUE"""),2.0)</f>
        <v>2</v>
      </c>
      <c r="B603" s="1">
        <f>IFERROR(__xludf.DUMMYFUNCTION("""COMPUTED_VALUE"""),1.0)</f>
        <v>1</v>
      </c>
      <c r="C603" s="1" t="str">
        <f>IFERROR(__xludf.DUMMYFUNCTION("""COMPUTED_VALUE"""),"ศ32101")</f>
        <v>ศ32101</v>
      </c>
      <c r="D603" s="1" t="str">
        <f>IFERROR(__xludf.DUMMYFUNCTION("""COMPUTED_VALUE"""),"ศิลปะ3")</f>
        <v>ศิลปะ3</v>
      </c>
      <c r="E603" s="1">
        <f>IFERROR(__xludf.DUMMYFUNCTION("""COMPUTED_VALUE"""),0.5)</f>
        <v>0.5</v>
      </c>
      <c r="F603" s="1">
        <f>IFERROR(__xludf.DUMMYFUNCTION("""COMPUTED_VALUE"""),2569.0)</f>
        <v>2569</v>
      </c>
      <c r="G603" s="1">
        <f>IFERROR(__xludf.DUMMYFUNCTION("""COMPUTED_VALUE"""),1.0)</f>
        <v>1</v>
      </c>
      <c r="H603" s="1">
        <f>IFERROR(__xludf.DUMMYFUNCTION("""COMPUTED_VALUE"""),616.0)</f>
        <v>616</v>
      </c>
      <c r="I603" s="1" t="str">
        <f>IFERROR(__xludf.DUMMYFUNCTION("""COMPUTED_VALUE"""),"นางสาว")</f>
        <v>นางสาว</v>
      </c>
      <c r="J603" s="1" t="str">
        <f>IFERROR(__xludf.DUMMYFUNCTION("""COMPUTED_VALUE"""),"ศิริรัตน์")</f>
        <v>ศิริรัตน์</v>
      </c>
      <c r="K603" s="1" t="str">
        <f>IFERROR(__xludf.DUMMYFUNCTION("""COMPUTED_VALUE"""),"เถื่อนดี")</f>
        <v>เถื่อนดี</v>
      </c>
      <c r="L603" s="1" t="str">
        <f>IFERROR(__xludf.DUMMYFUNCTION("""COMPUTED_VALUE"""),"ม.5")</f>
        <v>ม.5</v>
      </c>
      <c r="M603" s="1" t="str">
        <f>IFERROR(__xludf.DUMMYFUNCTION("""COMPUTED_VALUE"""),"ศิลปะ")</f>
        <v>ศิลปะ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>
        <f>IFERROR(__xludf.DUMMYFUNCTION("""COMPUTED_VALUE"""),3.0)</f>
        <v>3</v>
      </c>
      <c r="B604" s="1">
        <f>IFERROR(__xludf.DUMMYFUNCTION("""COMPUTED_VALUE"""),1.0)</f>
        <v>1</v>
      </c>
      <c r="C604" s="1" t="str">
        <f>IFERROR(__xludf.DUMMYFUNCTION("""COMPUTED_VALUE"""),"ศ32101")</f>
        <v>ศ32101</v>
      </c>
      <c r="D604" s="1" t="str">
        <f>IFERROR(__xludf.DUMMYFUNCTION("""COMPUTED_VALUE"""),"ศิลปะ3")</f>
        <v>ศิลปะ3</v>
      </c>
      <c r="E604" s="1">
        <f>IFERROR(__xludf.DUMMYFUNCTION("""COMPUTED_VALUE"""),0.5)</f>
        <v>0.5</v>
      </c>
      <c r="F604" s="1">
        <f>IFERROR(__xludf.DUMMYFUNCTION("""COMPUTED_VALUE"""),2569.0)</f>
        <v>2569</v>
      </c>
      <c r="G604" s="1">
        <f>IFERROR(__xludf.DUMMYFUNCTION("""COMPUTED_VALUE"""),1.0)</f>
        <v>1</v>
      </c>
      <c r="H604" s="1">
        <f>IFERROR(__xludf.DUMMYFUNCTION("""COMPUTED_VALUE"""),616.0)</f>
        <v>616</v>
      </c>
      <c r="I604" s="1" t="str">
        <f>IFERROR(__xludf.DUMMYFUNCTION("""COMPUTED_VALUE"""),"นางสาว")</f>
        <v>นางสาว</v>
      </c>
      <c r="J604" s="1" t="str">
        <f>IFERROR(__xludf.DUMMYFUNCTION("""COMPUTED_VALUE"""),"ศิริรัตน์")</f>
        <v>ศิริรัตน์</v>
      </c>
      <c r="K604" s="1" t="str">
        <f>IFERROR(__xludf.DUMMYFUNCTION("""COMPUTED_VALUE"""),"เถื่อนดี")</f>
        <v>เถื่อนดี</v>
      </c>
      <c r="L604" s="1" t="str">
        <f>IFERROR(__xludf.DUMMYFUNCTION("""COMPUTED_VALUE"""),"ม.5")</f>
        <v>ม.5</v>
      </c>
      <c r="M604" s="1" t="str">
        <f>IFERROR(__xludf.DUMMYFUNCTION("""COMPUTED_VALUE"""),"ศิลปะ")</f>
        <v>ศิลปะ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>
        <f>IFERROR(__xludf.DUMMYFUNCTION("""COMPUTED_VALUE"""),4.0)</f>
        <v>4</v>
      </c>
      <c r="B605" s="1">
        <f>IFERROR(__xludf.DUMMYFUNCTION("""COMPUTED_VALUE"""),1.0)</f>
        <v>1</v>
      </c>
      <c r="C605" s="1" t="str">
        <f>IFERROR(__xludf.DUMMYFUNCTION("""COMPUTED_VALUE"""),"ศ32101")</f>
        <v>ศ32101</v>
      </c>
      <c r="D605" s="1" t="str">
        <f>IFERROR(__xludf.DUMMYFUNCTION("""COMPUTED_VALUE"""),"ศิลปะ3")</f>
        <v>ศิลปะ3</v>
      </c>
      <c r="E605" s="1">
        <f>IFERROR(__xludf.DUMMYFUNCTION("""COMPUTED_VALUE"""),0.5)</f>
        <v>0.5</v>
      </c>
      <c r="F605" s="1">
        <f>IFERROR(__xludf.DUMMYFUNCTION("""COMPUTED_VALUE"""),2569.0)</f>
        <v>2569</v>
      </c>
      <c r="G605" s="1">
        <f>IFERROR(__xludf.DUMMYFUNCTION("""COMPUTED_VALUE"""),1.0)</f>
        <v>1</v>
      </c>
      <c r="H605" s="1">
        <f>IFERROR(__xludf.DUMMYFUNCTION("""COMPUTED_VALUE"""),616.0)</f>
        <v>616</v>
      </c>
      <c r="I605" s="1" t="str">
        <f>IFERROR(__xludf.DUMMYFUNCTION("""COMPUTED_VALUE"""),"นางสาว")</f>
        <v>นางสาว</v>
      </c>
      <c r="J605" s="1" t="str">
        <f>IFERROR(__xludf.DUMMYFUNCTION("""COMPUTED_VALUE"""),"ศิริรัตน์")</f>
        <v>ศิริรัตน์</v>
      </c>
      <c r="K605" s="1" t="str">
        <f>IFERROR(__xludf.DUMMYFUNCTION("""COMPUTED_VALUE"""),"เถื่อนดี")</f>
        <v>เถื่อนดี</v>
      </c>
      <c r="L605" s="1" t="str">
        <f>IFERROR(__xludf.DUMMYFUNCTION("""COMPUTED_VALUE"""),"ม.5")</f>
        <v>ม.5</v>
      </c>
      <c r="M605" s="1" t="str">
        <f>IFERROR(__xludf.DUMMYFUNCTION("""COMPUTED_VALUE"""),"ศิลปะ")</f>
        <v>ศิลปะ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>
        <f>IFERROR(__xludf.DUMMYFUNCTION("""COMPUTED_VALUE"""),5.0)</f>
        <v>5</v>
      </c>
      <c r="B606" s="1">
        <f>IFERROR(__xludf.DUMMYFUNCTION("""COMPUTED_VALUE"""),1.0)</f>
        <v>1</v>
      </c>
      <c r="C606" s="1" t="str">
        <f>IFERROR(__xludf.DUMMYFUNCTION("""COMPUTED_VALUE"""),"ศ32101")</f>
        <v>ศ32101</v>
      </c>
      <c r="D606" s="1" t="str">
        <f>IFERROR(__xludf.DUMMYFUNCTION("""COMPUTED_VALUE"""),"ศิลปะ3")</f>
        <v>ศิลปะ3</v>
      </c>
      <c r="E606" s="1">
        <f>IFERROR(__xludf.DUMMYFUNCTION("""COMPUTED_VALUE"""),0.5)</f>
        <v>0.5</v>
      </c>
      <c r="F606" s="1">
        <f>IFERROR(__xludf.DUMMYFUNCTION("""COMPUTED_VALUE"""),2569.0)</f>
        <v>2569</v>
      </c>
      <c r="G606" s="1">
        <f>IFERROR(__xludf.DUMMYFUNCTION("""COMPUTED_VALUE"""),1.0)</f>
        <v>1</v>
      </c>
      <c r="H606" s="1">
        <f>IFERROR(__xludf.DUMMYFUNCTION("""COMPUTED_VALUE"""),616.0)</f>
        <v>616</v>
      </c>
      <c r="I606" s="1" t="str">
        <f>IFERROR(__xludf.DUMMYFUNCTION("""COMPUTED_VALUE"""),"นางสาว")</f>
        <v>นางสาว</v>
      </c>
      <c r="J606" s="1" t="str">
        <f>IFERROR(__xludf.DUMMYFUNCTION("""COMPUTED_VALUE"""),"ศิริรัตน์")</f>
        <v>ศิริรัตน์</v>
      </c>
      <c r="K606" s="1" t="str">
        <f>IFERROR(__xludf.DUMMYFUNCTION("""COMPUTED_VALUE"""),"เถื่อนดี")</f>
        <v>เถื่อนดี</v>
      </c>
      <c r="L606" s="1" t="str">
        <f>IFERROR(__xludf.DUMMYFUNCTION("""COMPUTED_VALUE"""),"ม.5")</f>
        <v>ม.5</v>
      </c>
      <c r="M606" s="1" t="str">
        <f>IFERROR(__xludf.DUMMYFUNCTION("""COMPUTED_VALUE"""),"ศิลปะ")</f>
        <v>ศิลปะ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>
        <f>IFERROR(__xludf.DUMMYFUNCTION("""COMPUTED_VALUE"""),6.0)</f>
        <v>6</v>
      </c>
      <c r="B607" s="1">
        <f>IFERROR(__xludf.DUMMYFUNCTION("""COMPUTED_VALUE"""),1.0)</f>
        <v>1</v>
      </c>
      <c r="C607" s="1" t="str">
        <f>IFERROR(__xludf.DUMMYFUNCTION("""COMPUTED_VALUE"""),"ศ32101")</f>
        <v>ศ32101</v>
      </c>
      <c r="D607" s="1" t="str">
        <f>IFERROR(__xludf.DUMMYFUNCTION("""COMPUTED_VALUE"""),"ศิลปะ3")</f>
        <v>ศิลปะ3</v>
      </c>
      <c r="E607" s="1">
        <f>IFERROR(__xludf.DUMMYFUNCTION("""COMPUTED_VALUE"""),0.5)</f>
        <v>0.5</v>
      </c>
      <c r="F607" s="1">
        <f>IFERROR(__xludf.DUMMYFUNCTION("""COMPUTED_VALUE"""),2569.0)</f>
        <v>2569</v>
      </c>
      <c r="G607" s="1">
        <f>IFERROR(__xludf.DUMMYFUNCTION("""COMPUTED_VALUE"""),1.0)</f>
        <v>1</v>
      </c>
      <c r="H607" s="1">
        <f>IFERROR(__xludf.DUMMYFUNCTION("""COMPUTED_VALUE"""),616.0)</f>
        <v>616</v>
      </c>
      <c r="I607" s="1" t="str">
        <f>IFERROR(__xludf.DUMMYFUNCTION("""COMPUTED_VALUE"""),"นางสาว")</f>
        <v>นางสาว</v>
      </c>
      <c r="J607" s="1" t="str">
        <f>IFERROR(__xludf.DUMMYFUNCTION("""COMPUTED_VALUE"""),"ศิริรัตน์")</f>
        <v>ศิริรัตน์</v>
      </c>
      <c r="K607" s="1" t="str">
        <f>IFERROR(__xludf.DUMMYFUNCTION("""COMPUTED_VALUE"""),"เถื่อนดี")</f>
        <v>เถื่อนดี</v>
      </c>
      <c r="L607" s="1" t="str">
        <f>IFERROR(__xludf.DUMMYFUNCTION("""COMPUTED_VALUE"""),"ม.5")</f>
        <v>ม.5</v>
      </c>
      <c r="M607" s="1" t="str">
        <f>IFERROR(__xludf.DUMMYFUNCTION("""COMPUTED_VALUE"""),"ศิลปะ")</f>
        <v>ศิลปะ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>
        <f>IFERROR(__xludf.DUMMYFUNCTION("""COMPUTED_VALUE"""),7.0)</f>
        <v>7</v>
      </c>
      <c r="B608" s="1">
        <f>IFERROR(__xludf.DUMMYFUNCTION("""COMPUTED_VALUE"""),1.0)</f>
        <v>1</v>
      </c>
      <c r="C608" s="1" t="str">
        <f>IFERROR(__xludf.DUMMYFUNCTION("""COMPUTED_VALUE"""),"ศ32101")</f>
        <v>ศ32101</v>
      </c>
      <c r="D608" s="1" t="str">
        <f>IFERROR(__xludf.DUMMYFUNCTION("""COMPUTED_VALUE"""),"ศิลปะ3")</f>
        <v>ศิลปะ3</v>
      </c>
      <c r="E608" s="1">
        <f>IFERROR(__xludf.DUMMYFUNCTION("""COMPUTED_VALUE"""),0.5)</f>
        <v>0.5</v>
      </c>
      <c r="F608" s="1">
        <f>IFERROR(__xludf.DUMMYFUNCTION("""COMPUTED_VALUE"""),2569.0)</f>
        <v>2569</v>
      </c>
      <c r="G608" s="1">
        <f>IFERROR(__xludf.DUMMYFUNCTION("""COMPUTED_VALUE"""),1.0)</f>
        <v>1</v>
      </c>
      <c r="H608" s="1">
        <f>IFERROR(__xludf.DUMMYFUNCTION("""COMPUTED_VALUE"""),616.0)</f>
        <v>616</v>
      </c>
      <c r="I608" s="1" t="str">
        <f>IFERROR(__xludf.DUMMYFUNCTION("""COMPUTED_VALUE"""),"นางสาว")</f>
        <v>นางสาว</v>
      </c>
      <c r="J608" s="1" t="str">
        <f>IFERROR(__xludf.DUMMYFUNCTION("""COMPUTED_VALUE"""),"ศิริรัตน์")</f>
        <v>ศิริรัตน์</v>
      </c>
      <c r="K608" s="1" t="str">
        <f>IFERROR(__xludf.DUMMYFUNCTION("""COMPUTED_VALUE"""),"เถื่อนดี")</f>
        <v>เถื่อนดี</v>
      </c>
      <c r="L608" s="1" t="str">
        <f>IFERROR(__xludf.DUMMYFUNCTION("""COMPUTED_VALUE"""),"ม.5")</f>
        <v>ม.5</v>
      </c>
      <c r="M608" s="1" t="str">
        <f>IFERROR(__xludf.DUMMYFUNCTION("""COMPUTED_VALUE"""),"ศิลปะ")</f>
        <v>ศิลปะ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>
        <f>IFERROR(__xludf.DUMMYFUNCTION("""COMPUTED_VALUE"""),8.0)</f>
        <v>8</v>
      </c>
      <c r="B609" s="1">
        <f>IFERROR(__xludf.DUMMYFUNCTION("""COMPUTED_VALUE"""),1.0)</f>
        <v>1</v>
      </c>
      <c r="C609" s="1" t="str">
        <f>IFERROR(__xludf.DUMMYFUNCTION("""COMPUTED_VALUE"""),"ศ32101")</f>
        <v>ศ32101</v>
      </c>
      <c r="D609" s="1" t="str">
        <f>IFERROR(__xludf.DUMMYFUNCTION("""COMPUTED_VALUE"""),"ศิลปะ3")</f>
        <v>ศิลปะ3</v>
      </c>
      <c r="E609" s="1">
        <f>IFERROR(__xludf.DUMMYFUNCTION("""COMPUTED_VALUE"""),0.5)</f>
        <v>0.5</v>
      </c>
      <c r="F609" s="1">
        <f>IFERROR(__xludf.DUMMYFUNCTION("""COMPUTED_VALUE"""),2569.0)</f>
        <v>2569</v>
      </c>
      <c r="G609" s="1">
        <f>IFERROR(__xludf.DUMMYFUNCTION("""COMPUTED_VALUE"""),1.0)</f>
        <v>1</v>
      </c>
      <c r="H609" s="1">
        <f>IFERROR(__xludf.DUMMYFUNCTION("""COMPUTED_VALUE"""),616.0)</f>
        <v>616</v>
      </c>
      <c r="I609" s="1" t="str">
        <f>IFERROR(__xludf.DUMMYFUNCTION("""COMPUTED_VALUE"""),"นางสาว")</f>
        <v>นางสาว</v>
      </c>
      <c r="J609" s="1" t="str">
        <f>IFERROR(__xludf.DUMMYFUNCTION("""COMPUTED_VALUE"""),"ศิริรัตน์")</f>
        <v>ศิริรัตน์</v>
      </c>
      <c r="K609" s="1" t="str">
        <f>IFERROR(__xludf.DUMMYFUNCTION("""COMPUTED_VALUE"""),"เถื่อนดี")</f>
        <v>เถื่อนดี</v>
      </c>
      <c r="L609" s="1" t="str">
        <f>IFERROR(__xludf.DUMMYFUNCTION("""COMPUTED_VALUE"""),"ม.5")</f>
        <v>ม.5</v>
      </c>
      <c r="M609" s="1" t="str">
        <f>IFERROR(__xludf.DUMMYFUNCTION("""COMPUTED_VALUE"""),"ศิลปะ")</f>
        <v>ศิลปะ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>
        <f>IFERROR(__xludf.DUMMYFUNCTION("""COMPUTED_VALUE"""),9.0)</f>
        <v>9</v>
      </c>
      <c r="B610" s="1">
        <f>IFERROR(__xludf.DUMMYFUNCTION("""COMPUTED_VALUE"""),1.0)</f>
        <v>1</v>
      </c>
      <c r="C610" s="1" t="str">
        <f>IFERROR(__xludf.DUMMYFUNCTION("""COMPUTED_VALUE"""),"ศ32101")</f>
        <v>ศ32101</v>
      </c>
      <c r="D610" s="1" t="str">
        <f>IFERROR(__xludf.DUMMYFUNCTION("""COMPUTED_VALUE"""),"ศิลปะ3")</f>
        <v>ศิลปะ3</v>
      </c>
      <c r="E610" s="1">
        <f>IFERROR(__xludf.DUMMYFUNCTION("""COMPUTED_VALUE"""),0.5)</f>
        <v>0.5</v>
      </c>
      <c r="F610" s="1">
        <f>IFERROR(__xludf.DUMMYFUNCTION("""COMPUTED_VALUE"""),2569.0)</f>
        <v>2569</v>
      </c>
      <c r="G610" s="1">
        <f>IFERROR(__xludf.DUMMYFUNCTION("""COMPUTED_VALUE"""),1.0)</f>
        <v>1</v>
      </c>
      <c r="H610" s="1">
        <f>IFERROR(__xludf.DUMMYFUNCTION("""COMPUTED_VALUE"""),616.0)</f>
        <v>616</v>
      </c>
      <c r="I610" s="1" t="str">
        <f>IFERROR(__xludf.DUMMYFUNCTION("""COMPUTED_VALUE"""),"นางสาว")</f>
        <v>นางสาว</v>
      </c>
      <c r="J610" s="1" t="str">
        <f>IFERROR(__xludf.DUMMYFUNCTION("""COMPUTED_VALUE"""),"ศิริรัตน์")</f>
        <v>ศิริรัตน์</v>
      </c>
      <c r="K610" s="1" t="str">
        <f>IFERROR(__xludf.DUMMYFUNCTION("""COMPUTED_VALUE"""),"เถื่อนดี")</f>
        <v>เถื่อนดี</v>
      </c>
      <c r="L610" s="1" t="str">
        <f>IFERROR(__xludf.DUMMYFUNCTION("""COMPUTED_VALUE"""),"ม.5")</f>
        <v>ม.5</v>
      </c>
      <c r="M610" s="1" t="str">
        <f>IFERROR(__xludf.DUMMYFUNCTION("""COMPUTED_VALUE"""),"ศิลปะ")</f>
        <v>ศิลปะ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>
        <f>IFERROR(__xludf.DUMMYFUNCTION("""COMPUTED_VALUE"""),10.0)</f>
        <v>10</v>
      </c>
      <c r="B611" s="1">
        <f>IFERROR(__xludf.DUMMYFUNCTION("""COMPUTED_VALUE"""),1.0)</f>
        <v>1</v>
      </c>
      <c r="C611" s="1" t="str">
        <f>IFERROR(__xludf.DUMMYFUNCTION("""COMPUTED_VALUE"""),"ศ32101")</f>
        <v>ศ32101</v>
      </c>
      <c r="D611" s="1" t="str">
        <f>IFERROR(__xludf.DUMMYFUNCTION("""COMPUTED_VALUE"""),"ศิลปะ3")</f>
        <v>ศิลปะ3</v>
      </c>
      <c r="E611" s="1">
        <f>IFERROR(__xludf.DUMMYFUNCTION("""COMPUTED_VALUE"""),0.5)</f>
        <v>0.5</v>
      </c>
      <c r="F611" s="1">
        <f>IFERROR(__xludf.DUMMYFUNCTION("""COMPUTED_VALUE"""),2569.0)</f>
        <v>2569</v>
      </c>
      <c r="G611" s="1">
        <f>IFERROR(__xludf.DUMMYFUNCTION("""COMPUTED_VALUE"""),1.0)</f>
        <v>1</v>
      </c>
      <c r="H611" s="1">
        <f>IFERROR(__xludf.DUMMYFUNCTION("""COMPUTED_VALUE"""),616.0)</f>
        <v>616</v>
      </c>
      <c r="I611" s="1" t="str">
        <f>IFERROR(__xludf.DUMMYFUNCTION("""COMPUTED_VALUE"""),"นางสาว")</f>
        <v>นางสาว</v>
      </c>
      <c r="J611" s="1" t="str">
        <f>IFERROR(__xludf.DUMMYFUNCTION("""COMPUTED_VALUE"""),"ศิริรัตน์")</f>
        <v>ศิริรัตน์</v>
      </c>
      <c r="K611" s="1" t="str">
        <f>IFERROR(__xludf.DUMMYFUNCTION("""COMPUTED_VALUE"""),"เถื่อนดี")</f>
        <v>เถื่อนดี</v>
      </c>
      <c r="L611" s="1" t="str">
        <f>IFERROR(__xludf.DUMMYFUNCTION("""COMPUTED_VALUE"""),"ม.5")</f>
        <v>ม.5</v>
      </c>
      <c r="M611" s="1" t="str">
        <f>IFERROR(__xludf.DUMMYFUNCTION("""COMPUTED_VALUE"""),"ศิลปะ")</f>
        <v>ศิลปะ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>
        <f>IFERROR(__xludf.DUMMYFUNCTION("""COMPUTED_VALUE"""),11.0)</f>
        <v>11</v>
      </c>
      <c r="B612" s="1">
        <f>IFERROR(__xludf.DUMMYFUNCTION("""COMPUTED_VALUE"""),1.0)</f>
        <v>1</v>
      </c>
      <c r="C612" s="1" t="str">
        <f>IFERROR(__xludf.DUMMYFUNCTION("""COMPUTED_VALUE"""),"ศ32101")</f>
        <v>ศ32101</v>
      </c>
      <c r="D612" s="1" t="str">
        <f>IFERROR(__xludf.DUMMYFUNCTION("""COMPUTED_VALUE"""),"ศิลปะ3")</f>
        <v>ศิลปะ3</v>
      </c>
      <c r="E612" s="1">
        <f>IFERROR(__xludf.DUMMYFUNCTION("""COMPUTED_VALUE"""),0.5)</f>
        <v>0.5</v>
      </c>
      <c r="F612" s="1">
        <f>IFERROR(__xludf.DUMMYFUNCTION("""COMPUTED_VALUE"""),2569.0)</f>
        <v>2569</v>
      </c>
      <c r="G612" s="1">
        <f>IFERROR(__xludf.DUMMYFUNCTION("""COMPUTED_VALUE"""),1.0)</f>
        <v>1</v>
      </c>
      <c r="H612" s="1">
        <f>IFERROR(__xludf.DUMMYFUNCTION("""COMPUTED_VALUE"""),616.0)</f>
        <v>616</v>
      </c>
      <c r="I612" s="1" t="str">
        <f>IFERROR(__xludf.DUMMYFUNCTION("""COMPUTED_VALUE"""),"นางสาว")</f>
        <v>นางสาว</v>
      </c>
      <c r="J612" s="1" t="str">
        <f>IFERROR(__xludf.DUMMYFUNCTION("""COMPUTED_VALUE"""),"ศิริรัตน์")</f>
        <v>ศิริรัตน์</v>
      </c>
      <c r="K612" s="1" t="str">
        <f>IFERROR(__xludf.DUMMYFUNCTION("""COMPUTED_VALUE"""),"เถื่อนดี")</f>
        <v>เถื่อนดี</v>
      </c>
      <c r="L612" s="1" t="str">
        <f>IFERROR(__xludf.DUMMYFUNCTION("""COMPUTED_VALUE"""),"ม.5")</f>
        <v>ม.5</v>
      </c>
      <c r="M612" s="1" t="str">
        <f>IFERROR(__xludf.DUMMYFUNCTION("""COMPUTED_VALUE"""),"ศิลปะ")</f>
        <v>ศิลปะ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>
        <f>IFERROR(__xludf.DUMMYFUNCTION("""COMPUTED_VALUE"""),4.0)</f>
        <v>4</v>
      </c>
      <c r="B613" s="1">
        <f>IFERROR(__xludf.DUMMYFUNCTION("""COMPUTED_VALUE"""),1.0)</f>
        <v>1</v>
      </c>
      <c r="C613" s="1" t="str">
        <f>IFERROR(__xludf.DUMMYFUNCTION("""COMPUTED_VALUE"""),"ส20225")</f>
        <v>ส20225</v>
      </c>
      <c r="D613" s="1" t="str">
        <f>IFERROR(__xludf.DUMMYFUNCTION("""COMPUTED_VALUE"""),"การป้องกันการทุจริต 3")</f>
        <v>การป้องกันการทุจริต 3</v>
      </c>
      <c r="E613" s="1">
        <f>IFERROR(__xludf.DUMMYFUNCTION("""COMPUTED_VALUE"""),0.5)</f>
        <v>0.5</v>
      </c>
      <c r="F613" s="1">
        <f>IFERROR(__xludf.DUMMYFUNCTION("""COMPUTED_VALUE"""),2569.0)</f>
        <v>2569</v>
      </c>
      <c r="G613" s="1">
        <f>IFERROR(__xludf.DUMMYFUNCTION("""COMPUTED_VALUE"""),1.0)</f>
        <v>1</v>
      </c>
      <c r="H613" s="1">
        <f>IFERROR(__xludf.DUMMYFUNCTION("""COMPUTED_VALUE"""),616.0)</f>
        <v>616</v>
      </c>
      <c r="I613" s="1" t="str">
        <f>IFERROR(__xludf.DUMMYFUNCTION("""COMPUTED_VALUE"""),"นางสาว")</f>
        <v>นางสาว</v>
      </c>
      <c r="J613" s="1" t="str">
        <f>IFERROR(__xludf.DUMMYFUNCTION("""COMPUTED_VALUE"""),"ศิริรัตน์")</f>
        <v>ศิริรัตน์</v>
      </c>
      <c r="K613" s="1" t="str">
        <f>IFERROR(__xludf.DUMMYFUNCTION("""COMPUTED_VALUE"""),"เถื่อนดี")</f>
        <v>เถื่อนดี</v>
      </c>
      <c r="L613" s="1" t="str">
        <f>IFERROR(__xludf.DUMMYFUNCTION("""COMPUTED_VALUE"""),"ม.2")</f>
        <v>ม.2</v>
      </c>
      <c r="M613" s="1" t="str">
        <f>IFERROR(__xludf.DUMMYFUNCTION("""COMPUTED_VALUE"""),"ศิลปะ")</f>
        <v>ศิลปะ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>
        <f>IFERROR(__xludf.DUMMYFUNCTION("""COMPUTED_VALUE"""),1.0)</f>
        <v>1</v>
      </c>
      <c r="B614" s="1">
        <f>IFERROR(__xludf.DUMMYFUNCTION("""COMPUTED_VALUE"""),1.0)</f>
        <v>1</v>
      </c>
      <c r="C614" s="1" t="str">
        <f>IFERROR(__xludf.DUMMYFUNCTION("""COMPUTED_VALUE"""),"ศ23101")</f>
        <v>ศ23101</v>
      </c>
      <c r="D614" s="1" t="str">
        <f>IFERROR(__xludf.DUMMYFUNCTION("""COMPUTED_VALUE"""),"ศิลปะพื้นฐาน 5")</f>
        <v>ศิลปะพื้นฐาน 5</v>
      </c>
      <c r="E614" s="1">
        <f>IFERROR(__xludf.DUMMYFUNCTION("""COMPUTED_VALUE"""),1.0)</f>
        <v>1</v>
      </c>
      <c r="F614" s="1">
        <f>IFERROR(__xludf.DUMMYFUNCTION("""COMPUTED_VALUE"""),2569.0)</f>
        <v>2569</v>
      </c>
      <c r="G614" s="1">
        <f>IFERROR(__xludf.DUMMYFUNCTION("""COMPUTED_VALUE"""),1.0)</f>
        <v>1</v>
      </c>
      <c r="H614" s="1">
        <f>IFERROR(__xludf.DUMMYFUNCTION("""COMPUTED_VALUE"""),617.0)</f>
        <v>617</v>
      </c>
      <c r="I614" s="1" t="str">
        <f>IFERROR(__xludf.DUMMYFUNCTION("""COMPUTED_VALUE"""),"นางสาว")</f>
        <v>นางสาว</v>
      </c>
      <c r="J614" s="1" t="str">
        <f>IFERROR(__xludf.DUMMYFUNCTION("""COMPUTED_VALUE"""),"สุนันทณี")</f>
        <v>สุนันทณี</v>
      </c>
      <c r="K614" s="1" t="str">
        <f>IFERROR(__xludf.DUMMYFUNCTION("""COMPUTED_VALUE"""),"ขุนทอง")</f>
        <v>ขุนทอง</v>
      </c>
      <c r="L614" s="1" t="str">
        <f>IFERROR(__xludf.DUMMYFUNCTION("""COMPUTED_VALUE"""),"ม.3")</f>
        <v>ม.3</v>
      </c>
      <c r="M614" s="1" t="str">
        <f>IFERROR(__xludf.DUMMYFUNCTION("""COMPUTED_VALUE"""),"ศิลปะ")</f>
        <v>ศิลปะ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>
        <f>IFERROR(__xludf.DUMMYFUNCTION("""COMPUTED_VALUE"""),2.0)</f>
        <v>2</v>
      </c>
      <c r="B615" s="1">
        <f>IFERROR(__xludf.DUMMYFUNCTION("""COMPUTED_VALUE"""),1.0)</f>
        <v>1</v>
      </c>
      <c r="C615" s="1" t="str">
        <f>IFERROR(__xludf.DUMMYFUNCTION("""COMPUTED_VALUE"""),"ศ23101")</f>
        <v>ศ23101</v>
      </c>
      <c r="D615" s="1" t="str">
        <f>IFERROR(__xludf.DUMMYFUNCTION("""COMPUTED_VALUE"""),"ศิลปะพื้นฐาน 5")</f>
        <v>ศิลปะพื้นฐาน 5</v>
      </c>
      <c r="E615" s="1">
        <f>IFERROR(__xludf.DUMMYFUNCTION("""COMPUTED_VALUE"""),1.0)</f>
        <v>1</v>
      </c>
      <c r="F615" s="1">
        <f>IFERROR(__xludf.DUMMYFUNCTION("""COMPUTED_VALUE"""),2569.0)</f>
        <v>2569</v>
      </c>
      <c r="G615" s="1">
        <f>IFERROR(__xludf.DUMMYFUNCTION("""COMPUTED_VALUE"""),1.0)</f>
        <v>1</v>
      </c>
      <c r="H615" s="1">
        <f>IFERROR(__xludf.DUMMYFUNCTION("""COMPUTED_VALUE"""),617.0)</f>
        <v>617</v>
      </c>
      <c r="I615" s="1" t="str">
        <f>IFERROR(__xludf.DUMMYFUNCTION("""COMPUTED_VALUE"""),"นางสาว")</f>
        <v>นางสาว</v>
      </c>
      <c r="J615" s="1" t="str">
        <f>IFERROR(__xludf.DUMMYFUNCTION("""COMPUTED_VALUE"""),"สุนันทณี")</f>
        <v>สุนันทณี</v>
      </c>
      <c r="K615" s="1" t="str">
        <f>IFERROR(__xludf.DUMMYFUNCTION("""COMPUTED_VALUE"""),"ขุนทอง")</f>
        <v>ขุนทอง</v>
      </c>
      <c r="L615" s="1" t="str">
        <f>IFERROR(__xludf.DUMMYFUNCTION("""COMPUTED_VALUE"""),"ม.3")</f>
        <v>ม.3</v>
      </c>
      <c r="M615" s="1" t="str">
        <f>IFERROR(__xludf.DUMMYFUNCTION("""COMPUTED_VALUE"""),"ศิลปะ")</f>
        <v>ศิลปะ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>
        <f>IFERROR(__xludf.DUMMYFUNCTION("""COMPUTED_VALUE"""),3.0)</f>
        <v>3</v>
      </c>
      <c r="B616" s="1">
        <f>IFERROR(__xludf.DUMMYFUNCTION("""COMPUTED_VALUE"""),1.0)</f>
        <v>1</v>
      </c>
      <c r="C616" s="1" t="str">
        <f>IFERROR(__xludf.DUMMYFUNCTION("""COMPUTED_VALUE"""),"ศ23101")</f>
        <v>ศ23101</v>
      </c>
      <c r="D616" s="1" t="str">
        <f>IFERROR(__xludf.DUMMYFUNCTION("""COMPUTED_VALUE"""),"ศิลปะพื้นฐาน 5")</f>
        <v>ศิลปะพื้นฐาน 5</v>
      </c>
      <c r="E616" s="1">
        <f>IFERROR(__xludf.DUMMYFUNCTION("""COMPUTED_VALUE"""),1.0)</f>
        <v>1</v>
      </c>
      <c r="F616" s="1">
        <f>IFERROR(__xludf.DUMMYFUNCTION("""COMPUTED_VALUE"""),2569.0)</f>
        <v>2569</v>
      </c>
      <c r="G616" s="1">
        <f>IFERROR(__xludf.DUMMYFUNCTION("""COMPUTED_VALUE"""),1.0)</f>
        <v>1</v>
      </c>
      <c r="H616" s="1">
        <f>IFERROR(__xludf.DUMMYFUNCTION("""COMPUTED_VALUE"""),617.0)</f>
        <v>617</v>
      </c>
      <c r="I616" s="1" t="str">
        <f>IFERROR(__xludf.DUMMYFUNCTION("""COMPUTED_VALUE"""),"นางสาว")</f>
        <v>นางสาว</v>
      </c>
      <c r="J616" s="1" t="str">
        <f>IFERROR(__xludf.DUMMYFUNCTION("""COMPUTED_VALUE"""),"สุนันทณี")</f>
        <v>สุนันทณี</v>
      </c>
      <c r="K616" s="1" t="str">
        <f>IFERROR(__xludf.DUMMYFUNCTION("""COMPUTED_VALUE"""),"ขุนทอง")</f>
        <v>ขุนทอง</v>
      </c>
      <c r="L616" s="1" t="str">
        <f>IFERROR(__xludf.DUMMYFUNCTION("""COMPUTED_VALUE"""),"ม.3")</f>
        <v>ม.3</v>
      </c>
      <c r="M616" s="1" t="str">
        <f>IFERROR(__xludf.DUMMYFUNCTION("""COMPUTED_VALUE"""),"ศิลปะ")</f>
        <v>ศิลปะ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>
        <f>IFERROR(__xludf.DUMMYFUNCTION("""COMPUTED_VALUE"""),4.0)</f>
        <v>4</v>
      </c>
      <c r="B617" s="1">
        <f>IFERROR(__xludf.DUMMYFUNCTION("""COMPUTED_VALUE"""),1.0)</f>
        <v>1</v>
      </c>
      <c r="C617" s="1" t="str">
        <f>IFERROR(__xludf.DUMMYFUNCTION("""COMPUTED_VALUE"""),"ศ23101")</f>
        <v>ศ23101</v>
      </c>
      <c r="D617" s="1" t="str">
        <f>IFERROR(__xludf.DUMMYFUNCTION("""COMPUTED_VALUE"""),"ศิลปะพื้นฐาน 5")</f>
        <v>ศิลปะพื้นฐาน 5</v>
      </c>
      <c r="E617" s="1">
        <f>IFERROR(__xludf.DUMMYFUNCTION("""COMPUTED_VALUE"""),1.0)</f>
        <v>1</v>
      </c>
      <c r="F617" s="1">
        <f>IFERROR(__xludf.DUMMYFUNCTION("""COMPUTED_VALUE"""),2569.0)</f>
        <v>2569</v>
      </c>
      <c r="G617" s="1">
        <f>IFERROR(__xludf.DUMMYFUNCTION("""COMPUTED_VALUE"""),1.0)</f>
        <v>1</v>
      </c>
      <c r="H617" s="1">
        <f>IFERROR(__xludf.DUMMYFUNCTION("""COMPUTED_VALUE"""),617.0)</f>
        <v>617</v>
      </c>
      <c r="I617" s="1" t="str">
        <f>IFERROR(__xludf.DUMMYFUNCTION("""COMPUTED_VALUE"""),"นางสาว")</f>
        <v>นางสาว</v>
      </c>
      <c r="J617" s="1" t="str">
        <f>IFERROR(__xludf.DUMMYFUNCTION("""COMPUTED_VALUE"""),"สุนันทณี")</f>
        <v>สุนันทณี</v>
      </c>
      <c r="K617" s="1" t="str">
        <f>IFERROR(__xludf.DUMMYFUNCTION("""COMPUTED_VALUE"""),"ขุนทอง")</f>
        <v>ขุนทอง</v>
      </c>
      <c r="L617" s="1" t="str">
        <f>IFERROR(__xludf.DUMMYFUNCTION("""COMPUTED_VALUE"""),"ม.3")</f>
        <v>ม.3</v>
      </c>
      <c r="M617" s="1" t="str">
        <f>IFERROR(__xludf.DUMMYFUNCTION("""COMPUTED_VALUE"""),"ศิลปะ")</f>
        <v>ศิลปะ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>
        <f>IFERROR(__xludf.DUMMYFUNCTION("""COMPUTED_VALUE"""),5.0)</f>
        <v>5</v>
      </c>
      <c r="B618" s="1">
        <f>IFERROR(__xludf.DUMMYFUNCTION("""COMPUTED_VALUE"""),1.0)</f>
        <v>1</v>
      </c>
      <c r="C618" s="1" t="str">
        <f>IFERROR(__xludf.DUMMYFUNCTION("""COMPUTED_VALUE"""),"ศ23101")</f>
        <v>ศ23101</v>
      </c>
      <c r="D618" s="1" t="str">
        <f>IFERROR(__xludf.DUMMYFUNCTION("""COMPUTED_VALUE"""),"ศิลปะพื้นฐาน 5")</f>
        <v>ศิลปะพื้นฐาน 5</v>
      </c>
      <c r="E618" s="1">
        <f>IFERROR(__xludf.DUMMYFUNCTION("""COMPUTED_VALUE"""),1.0)</f>
        <v>1</v>
      </c>
      <c r="F618" s="1">
        <f>IFERROR(__xludf.DUMMYFUNCTION("""COMPUTED_VALUE"""),2569.0)</f>
        <v>2569</v>
      </c>
      <c r="G618" s="1">
        <f>IFERROR(__xludf.DUMMYFUNCTION("""COMPUTED_VALUE"""),1.0)</f>
        <v>1</v>
      </c>
      <c r="H618" s="1">
        <f>IFERROR(__xludf.DUMMYFUNCTION("""COMPUTED_VALUE"""),617.0)</f>
        <v>617</v>
      </c>
      <c r="I618" s="1" t="str">
        <f>IFERROR(__xludf.DUMMYFUNCTION("""COMPUTED_VALUE"""),"นางสาว")</f>
        <v>นางสาว</v>
      </c>
      <c r="J618" s="1" t="str">
        <f>IFERROR(__xludf.DUMMYFUNCTION("""COMPUTED_VALUE"""),"สุนันทณี")</f>
        <v>สุนันทณี</v>
      </c>
      <c r="K618" s="1" t="str">
        <f>IFERROR(__xludf.DUMMYFUNCTION("""COMPUTED_VALUE"""),"ขุนทอง")</f>
        <v>ขุนทอง</v>
      </c>
      <c r="L618" s="1" t="str">
        <f>IFERROR(__xludf.DUMMYFUNCTION("""COMPUTED_VALUE"""),"ม.3")</f>
        <v>ม.3</v>
      </c>
      <c r="M618" s="1" t="str">
        <f>IFERROR(__xludf.DUMMYFUNCTION("""COMPUTED_VALUE"""),"ศิลปะ")</f>
        <v>ศิลปะ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>
        <f>IFERROR(__xludf.DUMMYFUNCTION("""COMPUTED_VALUE"""),6.0)</f>
        <v>6</v>
      </c>
      <c r="B619" s="1">
        <f>IFERROR(__xludf.DUMMYFUNCTION("""COMPUTED_VALUE"""),1.0)</f>
        <v>1</v>
      </c>
      <c r="C619" s="1" t="str">
        <f>IFERROR(__xludf.DUMMYFUNCTION("""COMPUTED_VALUE"""),"ศ23101")</f>
        <v>ศ23101</v>
      </c>
      <c r="D619" s="1" t="str">
        <f>IFERROR(__xludf.DUMMYFUNCTION("""COMPUTED_VALUE"""),"ศิลปะพื้นฐาน 5")</f>
        <v>ศิลปะพื้นฐาน 5</v>
      </c>
      <c r="E619" s="1">
        <f>IFERROR(__xludf.DUMMYFUNCTION("""COMPUTED_VALUE"""),1.0)</f>
        <v>1</v>
      </c>
      <c r="F619" s="1">
        <f>IFERROR(__xludf.DUMMYFUNCTION("""COMPUTED_VALUE"""),2569.0)</f>
        <v>2569</v>
      </c>
      <c r="G619" s="1">
        <f>IFERROR(__xludf.DUMMYFUNCTION("""COMPUTED_VALUE"""),1.0)</f>
        <v>1</v>
      </c>
      <c r="H619" s="1">
        <f>IFERROR(__xludf.DUMMYFUNCTION("""COMPUTED_VALUE"""),617.0)</f>
        <v>617</v>
      </c>
      <c r="I619" s="1" t="str">
        <f>IFERROR(__xludf.DUMMYFUNCTION("""COMPUTED_VALUE"""),"นางสาว")</f>
        <v>นางสาว</v>
      </c>
      <c r="J619" s="1" t="str">
        <f>IFERROR(__xludf.DUMMYFUNCTION("""COMPUTED_VALUE"""),"สุนันทณี")</f>
        <v>สุนันทณี</v>
      </c>
      <c r="K619" s="1" t="str">
        <f>IFERROR(__xludf.DUMMYFUNCTION("""COMPUTED_VALUE"""),"ขุนทอง")</f>
        <v>ขุนทอง</v>
      </c>
      <c r="L619" s="1" t="str">
        <f>IFERROR(__xludf.DUMMYFUNCTION("""COMPUTED_VALUE"""),"ม.3")</f>
        <v>ม.3</v>
      </c>
      <c r="M619" s="1" t="str">
        <f>IFERROR(__xludf.DUMMYFUNCTION("""COMPUTED_VALUE"""),"ศิลปะ")</f>
        <v>ศิลปะ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>
        <f>IFERROR(__xludf.DUMMYFUNCTION("""COMPUTED_VALUE"""),7.0)</f>
        <v>7</v>
      </c>
      <c r="B620" s="1">
        <f>IFERROR(__xludf.DUMMYFUNCTION("""COMPUTED_VALUE"""),1.0)</f>
        <v>1</v>
      </c>
      <c r="C620" s="1" t="str">
        <f>IFERROR(__xludf.DUMMYFUNCTION("""COMPUTED_VALUE"""),"ศ23101")</f>
        <v>ศ23101</v>
      </c>
      <c r="D620" s="1" t="str">
        <f>IFERROR(__xludf.DUMMYFUNCTION("""COMPUTED_VALUE"""),"ศิลปะพื้นฐาน 5")</f>
        <v>ศิลปะพื้นฐาน 5</v>
      </c>
      <c r="E620" s="1">
        <f>IFERROR(__xludf.DUMMYFUNCTION("""COMPUTED_VALUE"""),1.0)</f>
        <v>1</v>
      </c>
      <c r="F620" s="1">
        <f>IFERROR(__xludf.DUMMYFUNCTION("""COMPUTED_VALUE"""),2569.0)</f>
        <v>2569</v>
      </c>
      <c r="G620" s="1">
        <f>IFERROR(__xludf.DUMMYFUNCTION("""COMPUTED_VALUE"""),1.0)</f>
        <v>1</v>
      </c>
      <c r="H620" s="1">
        <f>IFERROR(__xludf.DUMMYFUNCTION("""COMPUTED_VALUE"""),617.0)</f>
        <v>617</v>
      </c>
      <c r="I620" s="1" t="str">
        <f>IFERROR(__xludf.DUMMYFUNCTION("""COMPUTED_VALUE"""),"นางสาว")</f>
        <v>นางสาว</v>
      </c>
      <c r="J620" s="1" t="str">
        <f>IFERROR(__xludf.DUMMYFUNCTION("""COMPUTED_VALUE"""),"สุนันทณี")</f>
        <v>สุนันทณี</v>
      </c>
      <c r="K620" s="1" t="str">
        <f>IFERROR(__xludf.DUMMYFUNCTION("""COMPUTED_VALUE"""),"ขุนทอง")</f>
        <v>ขุนทอง</v>
      </c>
      <c r="L620" s="1" t="str">
        <f>IFERROR(__xludf.DUMMYFUNCTION("""COMPUTED_VALUE"""),"ม.3")</f>
        <v>ม.3</v>
      </c>
      <c r="M620" s="1" t="str">
        <f>IFERROR(__xludf.DUMMYFUNCTION("""COMPUTED_VALUE"""),"ศิลปะ")</f>
        <v>ศิลปะ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>
        <f>IFERROR(__xludf.DUMMYFUNCTION("""COMPUTED_VALUE"""),8.0)</f>
        <v>8</v>
      </c>
      <c r="B621" s="1">
        <f>IFERROR(__xludf.DUMMYFUNCTION("""COMPUTED_VALUE"""),1.0)</f>
        <v>1</v>
      </c>
      <c r="C621" s="1" t="str">
        <f>IFERROR(__xludf.DUMMYFUNCTION("""COMPUTED_VALUE"""),"ศ23101")</f>
        <v>ศ23101</v>
      </c>
      <c r="D621" s="1" t="str">
        <f>IFERROR(__xludf.DUMMYFUNCTION("""COMPUTED_VALUE"""),"ศิลปะพื้นฐาน 5")</f>
        <v>ศิลปะพื้นฐาน 5</v>
      </c>
      <c r="E621" s="1">
        <f>IFERROR(__xludf.DUMMYFUNCTION("""COMPUTED_VALUE"""),1.0)</f>
        <v>1</v>
      </c>
      <c r="F621" s="1">
        <f>IFERROR(__xludf.DUMMYFUNCTION("""COMPUTED_VALUE"""),2569.0)</f>
        <v>2569</v>
      </c>
      <c r="G621" s="1">
        <f>IFERROR(__xludf.DUMMYFUNCTION("""COMPUTED_VALUE"""),1.0)</f>
        <v>1</v>
      </c>
      <c r="H621" s="1">
        <f>IFERROR(__xludf.DUMMYFUNCTION("""COMPUTED_VALUE"""),617.0)</f>
        <v>617</v>
      </c>
      <c r="I621" s="1" t="str">
        <f>IFERROR(__xludf.DUMMYFUNCTION("""COMPUTED_VALUE"""),"นางสาว")</f>
        <v>นางสาว</v>
      </c>
      <c r="J621" s="1" t="str">
        <f>IFERROR(__xludf.DUMMYFUNCTION("""COMPUTED_VALUE"""),"สุนันทณี")</f>
        <v>สุนันทณี</v>
      </c>
      <c r="K621" s="1" t="str">
        <f>IFERROR(__xludf.DUMMYFUNCTION("""COMPUTED_VALUE"""),"ขุนทอง")</f>
        <v>ขุนทอง</v>
      </c>
      <c r="L621" s="1" t="str">
        <f>IFERROR(__xludf.DUMMYFUNCTION("""COMPUTED_VALUE"""),"ม.3")</f>
        <v>ม.3</v>
      </c>
      <c r="M621" s="1" t="str">
        <f>IFERROR(__xludf.DUMMYFUNCTION("""COMPUTED_VALUE"""),"ศิลปะ")</f>
        <v>ศิลปะ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>
        <f>IFERROR(__xludf.DUMMYFUNCTION("""COMPUTED_VALUE"""),11.0)</f>
        <v>11</v>
      </c>
      <c r="B622" s="1">
        <f>IFERROR(__xludf.DUMMYFUNCTION("""COMPUTED_VALUE"""),2.0)</f>
        <v>2</v>
      </c>
      <c r="C622" s="1" t="str">
        <f>IFERROR(__xludf.DUMMYFUNCTION("""COMPUTED_VALUE"""),"ส30247")</f>
        <v>ส30247</v>
      </c>
      <c r="D622" s="1" t="str">
        <f>IFERROR(__xludf.DUMMYFUNCTION("""COMPUTED_VALUE"""),"การป้องกันการทุจริต 1")</f>
        <v>การป้องกันการทุจริต 1</v>
      </c>
      <c r="E622" s="1">
        <f>IFERROR(__xludf.DUMMYFUNCTION("""COMPUTED_VALUE"""),0.5)</f>
        <v>0.5</v>
      </c>
      <c r="F622" s="1">
        <f>IFERROR(__xludf.DUMMYFUNCTION("""COMPUTED_VALUE"""),2569.0)</f>
        <v>2569</v>
      </c>
      <c r="G622" s="1">
        <f>IFERROR(__xludf.DUMMYFUNCTION("""COMPUTED_VALUE"""),1.0)</f>
        <v>1</v>
      </c>
      <c r="H622" s="1">
        <f>IFERROR(__xludf.DUMMYFUNCTION("""COMPUTED_VALUE"""),617.0)</f>
        <v>617</v>
      </c>
      <c r="I622" s="1" t="str">
        <f>IFERROR(__xludf.DUMMYFUNCTION("""COMPUTED_VALUE"""),"นางสาว")</f>
        <v>นางสาว</v>
      </c>
      <c r="J622" s="1" t="str">
        <f>IFERROR(__xludf.DUMMYFUNCTION("""COMPUTED_VALUE"""),"สุนันทณี")</f>
        <v>สุนันทณี</v>
      </c>
      <c r="K622" s="1" t="str">
        <f>IFERROR(__xludf.DUMMYFUNCTION("""COMPUTED_VALUE"""),"ขุนทอง")</f>
        <v>ขุนทอง</v>
      </c>
      <c r="L622" s="1" t="str">
        <f>IFERROR(__xludf.DUMMYFUNCTION("""COMPUTED_VALUE"""),"ม.4")</f>
        <v>ม.4</v>
      </c>
      <c r="M622" s="1" t="str">
        <f>IFERROR(__xludf.DUMMYFUNCTION("""COMPUTED_VALUE"""),"ศิลปะ")</f>
        <v>ศิลปะ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>
        <f>IFERROR(__xludf.DUMMYFUNCTION("""COMPUTED_VALUE"""),1.0)</f>
        <v>1</v>
      </c>
      <c r="B623" s="1">
        <f>IFERROR(__xludf.DUMMYFUNCTION("""COMPUTED_VALUE"""),1.0)</f>
        <v>1</v>
      </c>
      <c r="C623" s="1" t="str">
        <f>IFERROR(__xludf.DUMMYFUNCTION("""COMPUTED_VALUE"""),"ศ20238")</f>
        <v>ศ20238</v>
      </c>
      <c r="D623" s="1" t="str">
        <f>IFERROR(__xludf.DUMMYFUNCTION("""COMPUTED_VALUE"""),"การร้องเพลงไทยตามสมัยนิยม")</f>
        <v>การร้องเพลงไทยตามสมัยนิยม</v>
      </c>
      <c r="E623" s="1">
        <f>IFERROR(__xludf.DUMMYFUNCTION("""COMPUTED_VALUE"""),1.0)</f>
        <v>1</v>
      </c>
      <c r="F623" s="1">
        <f>IFERROR(__xludf.DUMMYFUNCTION("""COMPUTED_VALUE"""),2569.0)</f>
        <v>2569</v>
      </c>
      <c r="G623" s="1">
        <f>IFERROR(__xludf.DUMMYFUNCTION("""COMPUTED_VALUE"""),1.0)</f>
        <v>1</v>
      </c>
      <c r="H623" s="1">
        <f>IFERROR(__xludf.DUMMYFUNCTION("""COMPUTED_VALUE"""),623.0)</f>
        <v>623</v>
      </c>
      <c r="I623" s="1" t="str">
        <f>IFERROR(__xludf.DUMMYFUNCTION("""COMPUTED_VALUE"""),"นางสาว")</f>
        <v>นางสาว</v>
      </c>
      <c r="J623" s="1" t="str">
        <f>IFERROR(__xludf.DUMMYFUNCTION("""COMPUTED_VALUE"""),"ขนิษฐา")</f>
        <v>ขนิษฐา</v>
      </c>
      <c r="K623" s="1" t="str">
        <f>IFERROR(__xludf.DUMMYFUNCTION("""COMPUTED_VALUE"""),"หรั่งแร่")</f>
        <v>หรั่งแร่</v>
      </c>
      <c r="L623" s="1" t="str">
        <f>IFERROR(__xludf.DUMMYFUNCTION("""COMPUTED_VALUE"""),"ม.2")</f>
        <v>ม.2</v>
      </c>
      <c r="M623" s="1" t="str">
        <f>IFERROR(__xludf.DUMMYFUNCTION("""COMPUTED_VALUE"""),"ศิลปะ")</f>
        <v>ศิลปะ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>
        <f>IFERROR(__xludf.DUMMYFUNCTION("""COMPUTED_VALUE"""),1.0)</f>
        <v>1</v>
      </c>
      <c r="B624" s="1">
        <f>IFERROR(__xludf.DUMMYFUNCTION("""COMPUTED_VALUE"""),1.0)</f>
        <v>1</v>
      </c>
      <c r="C624" s="1" t="str">
        <f>IFERROR(__xludf.DUMMYFUNCTION("""COMPUTED_VALUE"""),"ศ21101")</f>
        <v>ศ21101</v>
      </c>
      <c r="D624" s="1" t="str">
        <f>IFERROR(__xludf.DUMMYFUNCTION("""COMPUTED_VALUE"""),"ศิลปะพื้นฐาน 1")</f>
        <v>ศิลปะพื้นฐาน 1</v>
      </c>
      <c r="E624" s="1">
        <f>IFERROR(__xludf.DUMMYFUNCTION("""COMPUTED_VALUE"""),1.0)</f>
        <v>1</v>
      </c>
      <c r="F624" s="1">
        <f>IFERROR(__xludf.DUMMYFUNCTION("""COMPUTED_VALUE"""),2569.0)</f>
        <v>2569</v>
      </c>
      <c r="G624" s="1">
        <f>IFERROR(__xludf.DUMMYFUNCTION("""COMPUTED_VALUE"""),1.0)</f>
        <v>1</v>
      </c>
      <c r="H624" s="1">
        <f>IFERROR(__xludf.DUMMYFUNCTION("""COMPUTED_VALUE"""),623.0)</f>
        <v>623</v>
      </c>
      <c r="I624" s="1" t="str">
        <f>IFERROR(__xludf.DUMMYFUNCTION("""COMPUTED_VALUE"""),"นางสาว")</f>
        <v>นางสาว</v>
      </c>
      <c r="J624" s="1" t="str">
        <f>IFERROR(__xludf.DUMMYFUNCTION("""COMPUTED_VALUE"""),"ขนิษฐา")</f>
        <v>ขนิษฐา</v>
      </c>
      <c r="K624" s="1" t="str">
        <f>IFERROR(__xludf.DUMMYFUNCTION("""COMPUTED_VALUE"""),"หรั่งแร่")</f>
        <v>หรั่งแร่</v>
      </c>
      <c r="L624" s="1" t="str">
        <f>IFERROR(__xludf.DUMMYFUNCTION("""COMPUTED_VALUE"""),"ม.1")</f>
        <v>ม.1</v>
      </c>
      <c r="M624" s="1" t="str">
        <f>IFERROR(__xludf.DUMMYFUNCTION("""COMPUTED_VALUE"""),"ศิลปะ")</f>
        <v>ศิลปะ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>
        <f>IFERROR(__xludf.DUMMYFUNCTION("""COMPUTED_VALUE"""),2.0)</f>
        <v>2</v>
      </c>
      <c r="B625" s="1">
        <f>IFERROR(__xludf.DUMMYFUNCTION("""COMPUTED_VALUE"""),1.0)</f>
        <v>1</v>
      </c>
      <c r="C625" s="1" t="str">
        <f>IFERROR(__xludf.DUMMYFUNCTION("""COMPUTED_VALUE"""),"ศ21101")</f>
        <v>ศ21101</v>
      </c>
      <c r="D625" s="1" t="str">
        <f>IFERROR(__xludf.DUMMYFUNCTION("""COMPUTED_VALUE"""),"ศิลปะพื้นฐาน 1")</f>
        <v>ศิลปะพื้นฐาน 1</v>
      </c>
      <c r="E625" s="1">
        <f>IFERROR(__xludf.DUMMYFUNCTION("""COMPUTED_VALUE"""),1.0)</f>
        <v>1</v>
      </c>
      <c r="F625" s="1">
        <f>IFERROR(__xludf.DUMMYFUNCTION("""COMPUTED_VALUE"""),2569.0)</f>
        <v>2569</v>
      </c>
      <c r="G625" s="1">
        <f>IFERROR(__xludf.DUMMYFUNCTION("""COMPUTED_VALUE"""),1.0)</f>
        <v>1</v>
      </c>
      <c r="H625" s="1">
        <f>IFERROR(__xludf.DUMMYFUNCTION("""COMPUTED_VALUE"""),623.0)</f>
        <v>623</v>
      </c>
      <c r="I625" s="1" t="str">
        <f>IFERROR(__xludf.DUMMYFUNCTION("""COMPUTED_VALUE"""),"นางสาว")</f>
        <v>นางสาว</v>
      </c>
      <c r="J625" s="1" t="str">
        <f>IFERROR(__xludf.DUMMYFUNCTION("""COMPUTED_VALUE"""),"ขนิษฐา")</f>
        <v>ขนิษฐา</v>
      </c>
      <c r="K625" s="1" t="str">
        <f>IFERROR(__xludf.DUMMYFUNCTION("""COMPUTED_VALUE"""),"หรั่งแร่")</f>
        <v>หรั่งแร่</v>
      </c>
      <c r="L625" s="1" t="str">
        <f>IFERROR(__xludf.DUMMYFUNCTION("""COMPUTED_VALUE"""),"ม.1")</f>
        <v>ม.1</v>
      </c>
      <c r="M625" s="1" t="str">
        <f>IFERROR(__xludf.DUMMYFUNCTION("""COMPUTED_VALUE"""),"ศิลปะ")</f>
        <v>ศิลปะ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>
        <f>IFERROR(__xludf.DUMMYFUNCTION("""COMPUTED_VALUE"""),4.0)</f>
        <v>4</v>
      </c>
      <c r="B626" s="1">
        <f>IFERROR(__xludf.DUMMYFUNCTION("""COMPUTED_VALUE"""),1.0)</f>
        <v>1</v>
      </c>
      <c r="C626" s="1" t="str">
        <f>IFERROR(__xludf.DUMMYFUNCTION("""COMPUTED_VALUE"""),"ศ21101")</f>
        <v>ศ21101</v>
      </c>
      <c r="D626" s="1" t="str">
        <f>IFERROR(__xludf.DUMMYFUNCTION("""COMPUTED_VALUE"""),"ศิลปะพื้นฐาน 1")</f>
        <v>ศิลปะพื้นฐาน 1</v>
      </c>
      <c r="E626" s="1">
        <f>IFERROR(__xludf.DUMMYFUNCTION("""COMPUTED_VALUE"""),1.0)</f>
        <v>1</v>
      </c>
      <c r="F626" s="1">
        <f>IFERROR(__xludf.DUMMYFUNCTION("""COMPUTED_VALUE"""),2569.0)</f>
        <v>2569</v>
      </c>
      <c r="G626" s="1">
        <f>IFERROR(__xludf.DUMMYFUNCTION("""COMPUTED_VALUE"""),1.0)</f>
        <v>1</v>
      </c>
      <c r="H626" s="1">
        <f>IFERROR(__xludf.DUMMYFUNCTION("""COMPUTED_VALUE"""),623.0)</f>
        <v>623</v>
      </c>
      <c r="I626" s="1" t="str">
        <f>IFERROR(__xludf.DUMMYFUNCTION("""COMPUTED_VALUE"""),"นางสาว")</f>
        <v>นางสาว</v>
      </c>
      <c r="J626" s="1" t="str">
        <f>IFERROR(__xludf.DUMMYFUNCTION("""COMPUTED_VALUE"""),"ขนิษฐา")</f>
        <v>ขนิษฐา</v>
      </c>
      <c r="K626" s="1" t="str">
        <f>IFERROR(__xludf.DUMMYFUNCTION("""COMPUTED_VALUE"""),"หรั่งแร่")</f>
        <v>หรั่งแร่</v>
      </c>
      <c r="L626" s="1" t="str">
        <f>IFERROR(__xludf.DUMMYFUNCTION("""COMPUTED_VALUE"""),"ม.1")</f>
        <v>ม.1</v>
      </c>
      <c r="M626" s="1" t="str">
        <f>IFERROR(__xludf.DUMMYFUNCTION("""COMPUTED_VALUE"""),"ศิลปะ")</f>
        <v>ศิลปะ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>
        <f>IFERROR(__xludf.DUMMYFUNCTION("""COMPUTED_VALUE"""),5.0)</f>
        <v>5</v>
      </c>
      <c r="B627" s="1">
        <f>IFERROR(__xludf.DUMMYFUNCTION("""COMPUTED_VALUE"""),1.0)</f>
        <v>1</v>
      </c>
      <c r="C627" s="1" t="str">
        <f>IFERROR(__xludf.DUMMYFUNCTION("""COMPUTED_VALUE"""),"ศ21101")</f>
        <v>ศ21101</v>
      </c>
      <c r="D627" s="1" t="str">
        <f>IFERROR(__xludf.DUMMYFUNCTION("""COMPUTED_VALUE"""),"ศิลปะพื้นฐาน 1")</f>
        <v>ศิลปะพื้นฐาน 1</v>
      </c>
      <c r="E627" s="1">
        <f>IFERROR(__xludf.DUMMYFUNCTION("""COMPUTED_VALUE"""),1.0)</f>
        <v>1</v>
      </c>
      <c r="F627" s="1">
        <f>IFERROR(__xludf.DUMMYFUNCTION("""COMPUTED_VALUE"""),2569.0)</f>
        <v>2569</v>
      </c>
      <c r="G627" s="1">
        <f>IFERROR(__xludf.DUMMYFUNCTION("""COMPUTED_VALUE"""),1.0)</f>
        <v>1</v>
      </c>
      <c r="H627" s="1">
        <f>IFERROR(__xludf.DUMMYFUNCTION("""COMPUTED_VALUE"""),623.0)</f>
        <v>623</v>
      </c>
      <c r="I627" s="1" t="str">
        <f>IFERROR(__xludf.DUMMYFUNCTION("""COMPUTED_VALUE"""),"นางสาว")</f>
        <v>นางสาว</v>
      </c>
      <c r="J627" s="1" t="str">
        <f>IFERROR(__xludf.DUMMYFUNCTION("""COMPUTED_VALUE"""),"ขนิษฐา")</f>
        <v>ขนิษฐา</v>
      </c>
      <c r="K627" s="1" t="str">
        <f>IFERROR(__xludf.DUMMYFUNCTION("""COMPUTED_VALUE"""),"หรั่งแร่")</f>
        <v>หรั่งแร่</v>
      </c>
      <c r="L627" s="1" t="str">
        <f>IFERROR(__xludf.DUMMYFUNCTION("""COMPUTED_VALUE"""),"ม.1")</f>
        <v>ม.1</v>
      </c>
      <c r="M627" s="1" t="str">
        <f>IFERROR(__xludf.DUMMYFUNCTION("""COMPUTED_VALUE"""),"ศิลปะ")</f>
        <v>ศิลปะ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>
        <f>IFERROR(__xludf.DUMMYFUNCTION("""COMPUTED_VALUE"""),1.0)</f>
        <v>1</v>
      </c>
      <c r="B628" s="1">
        <f>IFERROR(__xludf.DUMMYFUNCTION("""COMPUTED_VALUE"""),1.0)</f>
        <v>1</v>
      </c>
      <c r="C628" s="1" t="str">
        <f>IFERROR(__xludf.DUMMYFUNCTION("""COMPUTED_VALUE"""),"ศ20223")</f>
        <v>ศ20223</v>
      </c>
      <c r="D628" s="1" t="str">
        <f>IFERROR(__xludf.DUMMYFUNCTION("""COMPUTED_VALUE"""),"วงปี่พาทย์ไม้แข็ง")</f>
        <v>วงปี่พาทย์ไม้แข็ง</v>
      </c>
      <c r="E628" s="1">
        <f>IFERROR(__xludf.DUMMYFUNCTION("""COMPUTED_VALUE"""),1.0)</f>
        <v>1</v>
      </c>
      <c r="F628" s="1">
        <f>IFERROR(__xludf.DUMMYFUNCTION("""COMPUTED_VALUE"""),2569.0)</f>
        <v>2569</v>
      </c>
      <c r="G628" s="1">
        <f>IFERROR(__xludf.DUMMYFUNCTION("""COMPUTED_VALUE"""),1.0)</f>
        <v>1</v>
      </c>
      <c r="H628" s="1">
        <f>IFERROR(__xludf.DUMMYFUNCTION("""COMPUTED_VALUE"""),624.0)</f>
        <v>624</v>
      </c>
      <c r="I628" s="1" t="str">
        <f>IFERROR(__xludf.DUMMYFUNCTION("""COMPUTED_VALUE"""),"นาย")</f>
        <v>นาย</v>
      </c>
      <c r="J628" s="1" t="str">
        <f>IFERROR(__xludf.DUMMYFUNCTION("""COMPUTED_VALUE"""),"ศราวุฒิ")</f>
        <v>ศราวุฒิ</v>
      </c>
      <c r="K628" s="1" t="str">
        <f>IFERROR(__xludf.DUMMYFUNCTION("""COMPUTED_VALUE"""),"จังหวัดเขต")</f>
        <v>จังหวัดเขต</v>
      </c>
      <c r="L628" s="1" t="str">
        <f>IFERROR(__xludf.DUMMYFUNCTION("""COMPUTED_VALUE"""),"ม.2")</f>
        <v>ม.2</v>
      </c>
      <c r="M628" s="1" t="str">
        <f>IFERROR(__xludf.DUMMYFUNCTION("""COMPUTED_VALUE"""),"ศิลปะ")</f>
        <v>ศิลปะ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>
        <f>IFERROR(__xludf.DUMMYFUNCTION("""COMPUTED_VALUE"""),1.0)</f>
        <v>1</v>
      </c>
      <c r="B629" s="1">
        <f>IFERROR(__xludf.DUMMYFUNCTION("""COMPUTED_VALUE"""),1.0)</f>
        <v>1</v>
      </c>
      <c r="C629" s="1" t="str">
        <f>IFERROR(__xludf.DUMMYFUNCTION("""COMPUTED_VALUE"""),"ศ20239")</f>
        <v>ศ20239</v>
      </c>
      <c r="D629" s="1" t="str">
        <f>IFERROR(__xludf.DUMMYFUNCTION("""COMPUTED_VALUE"""),"การขับร้องเพลงไทยเดิม")</f>
        <v>การขับร้องเพลงไทยเดิม</v>
      </c>
      <c r="E629" s="1">
        <f>IFERROR(__xludf.DUMMYFUNCTION("""COMPUTED_VALUE"""),1.0)</f>
        <v>1</v>
      </c>
      <c r="F629" s="1">
        <f>IFERROR(__xludf.DUMMYFUNCTION("""COMPUTED_VALUE"""),2569.0)</f>
        <v>2569</v>
      </c>
      <c r="G629" s="1">
        <f>IFERROR(__xludf.DUMMYFUNCTION("""COMPUTED_VALUE"""),1.0)</f>
        <v>1</v>
      </c>
      <c r="H629" s="1">
        <f>IFERROR(__xludf.DUMMYFUNCTION("""COMPUTED_VALUE"""),624.0)</f>
        <v>624</v>
      </c>
      <c r="I629" s="1" t="str">
        <f>IFERROR(__xludf.DUMMYFUNCTION("""COMPUTED_VALUE"""),"นาย")</f>
        <v>นาย</v>
      </c>
      <c r="J629" s="1" t="str">
        <f>IFERROR(__xludf.DUMMYFUNCTION("""COMPUTED_VALUE"""),"ศราวุฒิ")</f>
        <v>ศราวุฒิ</v>
      </c>
      <c r="K629" s="1" t="str">
        <f>IFERROR(__xludf.DUMMYFUNCTION("""COMPUTED_VALUE"""),"จังหวัดเขต")</f>
        <v>จังหวัดเขต</v>
      </c>
      <c r="L629" s="1" t="str">
        <f>IFERROR(__xludf.DUMMYFUNCTION("""COMPUTED_VALUE"""),"ม.1")</f>
        <v>ม.1</v>
      </c>
      <c r="M629" s="1" t="str">
        <f>IFERROR(__xludf.DUMMYFUNCTION("""COMPUTED_VALUE"""),"ศิลปะ")</f>
        <v>ศิลปะ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>
        <f>IFERROR(__xludf.DUMMYFUNCTION("""COMPUTED_VALUE"""),3.0)</f>
        <v>3</v>
      </c>
      <c r="B630" s="1">
        <f>IFERROR(__xludf.DUMMYFUNCTION("""COMPUTED_VALUE"""),1.0)</f>
        <v>1</v>
      </c>
      <c r="C630" s="1" t="str">
        <f>IFERROR(__xludf.DUMMYFUNCTION("""COMPUTED_VALUE"""),"ศ21101")</f>
        <v>ศ21101</v>
      </c>
      <c r="D630" s="1" t="str">
        <f>IFERROR(__xludf.DUMMYFUNCTION("""COMPUTED_VALUE"""),"ศิลปะพื้นฐาน 1")</f>
        <v>ศิลปะพื้นฐาน 1</v>
      </c>
      <c r="E630" s="1">
        <f>IFERROR(__xludf.DUMMYFUNCTION("""COMPUTED_VALUE"""),1.0)</f>
        <v>1</v>
      </c>
      <c r="F630" s="1">
        <f>IFERROR(__xludf.DUMMYFUNCTION("""COMPUTED_VALUE"""),2569.0)</f>
        <v>2569</v>
      </c>
      <c r="G630" s="1">
        <f>IFERROR(__xludf.DUMMYFUNCTION("""COMPUTED_VALUE"""),1.0)</f>
        <v>1</v>
      </c>
      <c r="H630" s="1">
        <f>IFERROR(__xludf.DUMMYFUNCTION("""COMPUTED_VALUE"""),624.0)</f>
        <v>624</v>
      </c>
      <c r="I630" s="1" t="str">
        <f>IFERROR(__xludf.DUMMYFUNCTION("""COMPUTED_VALUE"""),"นาย")</f>
        <v>นาย</v>
      </c>
      <c r="J630" s="1" t="str">
        <f>IFERROR(__xludf.DUMMYFUNCTION("""COMPUTED_VALUE"""),"ศราวุฒิ")</f>
        <v>ศราวุฒิ</v>
      </c>
      <c r="K630" s="1" t="str">
        <f>IFERROR(__xludf.DUMMYFUNCTION("""COMPUTED_VALUE"""),"จังหวัดเขต")</f>
        <v>จังหวัดเขต</v>
      </c>
      <c r="L630" s="1" t="str">
        <f>IFERROR(__xludf.DUMMYFUNCTION("""COMPUTED_VALUE"""),"ม.1")</f>
        <v>ม.1</v>
      </c>
      <c r="M630" s="1" t="str">
        <f>IFERROR(__xludf.DUMMYFUNCTION("""COMPUTED_VALUE"""),"ศิลปะ")</f>
        <v>ศิลปะ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>
        <f>IFERROR(__xludf.DUMMYFUNCTION("""COMPUTED_VALUE"""),6.0)</f>
        <v>6</v>
      </c>
      <c r="B631" s="1">
        <f>IFERROR(__xludf.DUMMYFUNCTION("""COMPUTED_VALUE"""),1.0)</f>
        <v>1</v>
      </c>
      <c r="C631" s="1" t="str">
        <f>IFERROR(__xludf.DUMMYFUNCTION("""COMPUTED_VALUE"""),"ศ21101")</f>
        <v>ศ21101</v>
      </c>
      <c r="D631" s="1" t="str">
        <f>IFERROR(__xludf.DUMMYFUNCTION("""COMPUTED_VALUE"""),"ศิลปะพื้นฐาน 1")</f>
        <v>ศิลปะพื้นฐาน 1</v>
      </c>
      <c r="E631" s="1">
        <f>IFERROR(__xludf.DUMMYFUNCTION("""COMPUTED_VALUE"""),1.0)</f>
        <v>1</v>
      </c>
      <c r="F631" s="1">
        <f>IFERROR(__xludf.DUMMYFUNCTION("""COMPUTED_VALUE"""),2569.0)</f>
        <v>2569</v>
      </c>
      <c r="G631" s="1">
        <f>IFERROR(__xludf.DUMMYFUNCTION("""COMPUTED_VALUE"""),1.0)</f>
        <v>1</v>
      </c>
      <c r="H631" s="1">
        <f>IFERROR(__xludf.DUMMYFUNCTION("""COMPUTED_VALUE"""),624.0)</f>
        <v>624</v>
      </c>
      <c r="I631" s="1" t="str">
        <f>IFERROR(__xludf.DUMMYFUNCTION("""COMPUTED_VALUE"""),"นาย")</f>
        <v>นาย</v>
      </c>
      <c r="J631" s="1" t="str">
        <f>IFERROR(__xludf.DUMMYFUNCTION("""COMPUTED_VALUE"""),"ศราวุฒิ")</f>
        <v>ศราวุฒิ</v>
      </c>
      <c r="K631" s="1" t="str">
        <f>IFERROR(__xludf.DUMMYFUNCTION("""COMPUTED_VALUE"""),"จังหวัดเขต")</f>
        <v>จังหวัดเขต</v>
      </c>
      <c r="L631" s="1" t="str">
        <f>IFERROR(__xludf.DUMMYFUNCTION("""COMPUTED_VALUE"""),"ม.1")</f>
        <v>ม.1</v>
      </c>
      <c r="M631" s="1" t="str">
        <f>IFERROR(__xludf.DUMMYFUNCTION("""COMPUTED_VALUE"""),"ศิลปะ")</f>
        <v>ศิลปะ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>
        <f>IFERROR(__xludf.DUMMYFUNCTION("""COMPUTED_VALUE"""),7.0)</f>
        <v>7</v>
      </c>
      <c r="B632" s="1">
        <f>IFERROR(__xludf.DUMMYFUNCTION("""COMPUTED_VALUE"""),1.0)</f>
        <v>1</v>
      </c>
      <c r="C632" s="1" t="str">
        <f>IFERROR(__xludf.DUMMYFUNCTION("""COMPUTED_VALUE"""),"ศ21101")</f>
        <v>ศ21101</v>
      </c>
      <c r="D632" s="1" t="str">
        <f>IFERROR(__xludf.DUMMYFUNCTION("""COMPUTED_VALUE"""),"ศิลปะพื้นฐาน 1")</f>
        <v>ศิลปะพื้นฐาน 1</v>
      </c>
      <c r="E632" s="1">
        <f>IFERROR(__xludf.DUMMYFUNCTION("""COMPUTED_VALUE"""),1.0)</f>
        <v>1</v>
      </c>
      <c r="F632" s="1">
        <f>IFERROR(__xludf.DUMMYFUNCTION("""COMPUTED_VALUE"""),2569.0)</f>
        <v>2569</v>
      </c>
      <c r="G632" s="1">
        <f>IFERROR(__xludf.DUMMYFUNCTION("""COMPUTED_VALUE"""),1.0)</f>
        <v>1</v>
      </c>
      <c r="H632" s="1">
        <f>IFERROR(__xludf.DUMMYFUNCTION("""COMPUTED_VALUE"""),624.0)</f>
        <v>624</v>
      </c>
      <c r="I632" s="1" t="str">
        <f>IFERROR(__xludf.DUMMYFUNCTION("""COMPUTED_VALUE"""),"นาย")</f>
        <v>นาย</v>
      </c>
      <c r="J632" s="1" t="str">
        <f>IFERROR(__xludf.DUMMYFUNCTION("""COMPUTED_VALUE"""),"ศราวุฒิ")</f>
        <v>ศราวุฒิ</v>
      </c>
      <c r="K632" s="1" t="str">
        <f>IFERROR(__xludf.DUMMYFUNCTION("""COMPUTED_VALUE"""),"จังหวัดเขต")</f>
        <v>จังหวัดเขต</v>
      </c>
      <c r="L632" s="1" t="str">
        <f>IFERROR(__xludf.DUMMYFUNCTION("""COMPUTED_VALUE"""),"ม.1")</f>
        <v>ม.1</v>
      </c>
      <c r="M632" s="1" t="str">
        <f>IFERROR(__xludf.DUMMYFUNCTION("""COMPUTED_VALUE"""),"ศิลปะ")</f>
        <v>ศิลปะ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>
        <f>IFERROR(__xludf.DUMMYFUNCTION("""COMPUTED_VALUE"""),9.0)</f>
        <v>9</v>
      </c>
      <c r="B633" s="1">
        <f>IFERROR(__xludf.DUMMYFUNCTION("""COMPUTED_VALUE"""),1.0)</f>
        <v>1</v>
      </c>
      <c r="C633" s="1" t="str">
        <f>IFERROR(__xludf.DUMMYFUNCTION("""COMPUTED_VALUE"""),"ศ30213")</f>
        <v>ศ30213</v>
      </c>
      <c r="D633" s="1" t="str">
        <f>IFERROR(__xludf.DUMMYFUNCTION("""COMPUTED_VALUE"""),"ปฏิบัติฆ้องวงใหญ่")</f>
        <v>ปฏิบัติฆ้องวงใหญ่</v>
      </c>
      <c r="E633" s="1">
        <f>IFERROR(__xludf.DUMMYFUNCTION("""COMPUTED_VALUE"""),0.5)</f>
        <v>0.5</v>
      </c>
      <c r="F633" s="1">
        <f>IFERROR(__xludf.DUMMYFUNCTION("""COMPUTED_VALUE"""),2569.0)</f>
        <v>2569</v>
      </c>
      <c r="G633" s="1">
        <f>IFERROR(__xludf.DUMMYFUNCTION("""COMPUTED_VALUE"""),1.0)</f>
        <v>1</v>
      </c>
      <c r="H633" s="1">
        <f>IFERROR(__xludf.DUMMYFUNCTION("""COMPUTED_VALUE"""),624.0)</f>
        <v>624</v>
      </c>
      <c r="I633" s="1" t="str">
        <f>IFERROR(__xludf.DUMMYFUNCTION("""COMPUTED_VALUE"""),"นาย")</f>
        <v>นาย</v>
      </c>
      <c r="J633" s="1" t="str">
        <f>IFERROR(__xludf.DUMMYFUNCTION("""COMPUTED_VALUE"""),"ศราวุฒิ")</f>
        <v>ศราวุฒิ</v>
      </c>
      <c r="K633" s="1" t="str">
        <f>IFERROR(__xludf.DUMMYFUNCTION("""COMPUTED_VALUE"""),"จังหวัดเขต")</f>
        <v>จังหวัดเขต</v>
      </c>
      <c r="L633" s="1" t="str">
        <f>IFERROR(__xludf.DUMMYFUNCTION("""COMPUTED_VALUE"""),"ม.4")</f>
        <v>ม.4</v>
      </c>
      <c r="M633" s="1" t="str">
        <f>IFERROR(__xludf.DUMMYFUNCTION("""COMPUTED_VALUE"""),"ศิลปะ")</f>
        <v>ศิลปะ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>
        <f>IFERROR(__xludf.DUMMYFUNCTION("""COMPUTED_VALUE"""),11.0)</f>
        <v>11</v>
      </c>
      <c r="B634" s="1">
        <f>IFERROR(__xludf.DUMMYFUNCTION("""COMPUTED_VALUE"""),1.0)</f>
        <v>1</v>
      </c>
      <c r="C634" s="1" t="str">
        <f>IFERROR(__xludf.DUMMYFUNCTION("""COMPUTED_VALUE"""),"ศ30215")</f>
        <v>ศ30215</v>
      </c>
      <c r="D634" s="1" t="str">
        <f>IFERROR(__xludf.DUMMYFUNCTION("""COMPUTED_VALUE"""),"วัฒนธรรมดนตรีกับชีวิต")</f>
        <v>วัฒนธรรมดนตรีกับชีวิต</v>
      </c>
      <c r="E634" s="1">
        <f>IFERROR(__xludf.DUMMYFUNCTION("""COMPUTED_VALUE"""),0.5)</f>
        <v>0.5</v>
      </c>
      <c r="F634" s="1">
        <f>IFERROR(__xludf.DUMMYFUNCTION("""COMPUTED_VALUE"""),2569.0)</f>
        <v>2569</v>
      </c>
      <c r="G634" s="1">
        <f>IFERROR(__xludf.DUMMYFUNCTION("""COMPUTED_VALUE"""),1.0)</f>
        <v>1</v>
      </c>
      <c r="H634" s="1">
        <f>IFERROR(__xludf.DUMMYFUNCTION("""COMPUTED_VALUE"""),624.0)</f>
        <v>624</v>
      </c>
      <c r="I634" s="1" t="str">
        <f>IFERROR(__xludf.DUMMYFUNCTION("""COMPUTED_VALUE"""),"นาย")</f>
        <v>นาย</v>
      </c>
      <c r="J634" s="1" t="str">
        <f>IFERROR(__xludf.DUMMYFUNCTION("""COMPUTED_VALUE"""),"ศราวุฒิ")</f>
        <v>ศราวุฒิ</v>
      </c>
      <c r="K634" s="1" t="str">
        <f>IFERROR(__xludf.DUMMYFUNCTION("""COMPUTED_VALUE"""),"จังหวัดเขต")</f>
        <v>จังหวัดเขต</v>
      </c>
      <c r="L634" s="1" t="str">
        <f>IFERROR(__xludf.DUMMYFUNCTION("""COMPUTED_VALUE"""),"ม.5")</f>
        <v>ม.5</v>
      </c>
      <c r="M634" s="1" t="str">
        <f>IFERROR(__xludf.DUMMYFUNCTION("""COMPUTED_VALUE"""),"ศิลปะ")</f>
        <v>ศิลปะ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>
        <f>IFERROR(__xludf.DUMMYFUNCTION("""COMPUTED_VALUE"""),7.0)</f>
        <v>7</v>
      </c>
      <c r="B635" s="1">
        <f>IFERROR(__xludf.DUMMYFUNCTION("""COMPUTED_VALUE"""),1.0)</f>
        <v>1</v>
      </c>
      <c r="C635" s="1" t="str">
        <f>IFERROR(__xludf.DUMMYFUNCTION("""COMPUTED_VALUE"""),"ส20223")</f>
        <v>ส20223</v>
      </c>
      <c r="D635" s="1" t="str">
        <f>IFERROR(__xludf.DUMMYFUNCTION("""COMPUTED_VALUE"""),"การป้องกันการทุจริต 1")</f>
        <v>การป้องกันการทุจริต 1</v>
      </c>
      <c r="E635" s="1">
        <f>IFERROR(__xludf.DUMMYFUNCTION("""COMPUTED_VALUE"""),0.5)</f>
        <v>0.5</v>
      </c>
      <c r="F635" s="1">
        <f>IFERROR(__xludf.DUMMYFUNCTION("""COMPUTED_VALUE"""),2569.0)</f>
        <v>2569</v>
      </c>
      <c r="G635" s="1">
        <f>IFERROR(__xludf.DUMMYFUNCTION("""COMPUTED_VALUE"""),1.0)</f>
        <v>1</v>
      </c>
      <c r="H635" s="1">
        <f>IFERROR(__xludf.DUMMYFUNCTION("""COMPUTED_VALUE"""),624.0)</f>
        <v>624</v>
      </c>
      <c r="I635" s="1" t="str">
        <f>IFERROR(__xludf.DUMMYFUNCTION("""COMPUTED_VALUE"""),"นาย")</f>
        <v>นาย</v>
      </c>
      <c r="J635" s="1" t="str">
        <f>IFERROR(__xludf.DUMMYFUNCTION("""COMPUTED_VALUE"""),"ศราวุฒิ")</f>
        <v>ศราวุฒิ</v>
      </c>
      <c r="K635" s="1" t="str">
        <f>IFERROR(__xludf.DUMMYFUNCTION("""COMPUTED_VALUE"""),"จังหวัดเขต")</f>
        <v>จังหวัดเขต</v>
      </c>
      <c r="L635" s="1" t="str">
        <f>IFERROR(__xludf.DUMMYFUNCTION("""COMPUTED_VALUE"""),"ม.1")</f>
        <v>ม.1</v>
      </c>
      <c r="M635" s="1" t="str">
        <f>IFERROR(__xludf.DUMMYFUNCTION("""COMPUTED_VALUE"""),"ศิลปะ")</f>
        <v>ศิลปะ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>
        <f>IFERROR(__xludf.DUMMYFUNCTION("""COMPUTED_VALUE"""),1.0)</f>
        <v>1</v>
      </c>
      <c r="B636" s="1">
        <f>IFERROR(__xludf.DUMMYFUNCTION("""COMPUTED_VALUE"""),1.0)</f>
        <v>1</v>
      </c>
      <c r="C636" s="1" t="str">
        <f>IFERROR(__xludf.DUMMYFUNCTION("""COMPUTED_VALUE"""),"ศ33101")</f>
        <v>ศ33101</v>
      </c>
      <c r="D636" s="1" t="str">
        <f>IFERROR(__xludf.DUMMYFUNCTION("""COMPUTED_VALUE"""),"ศิลปะ5")</f>
        <v>ศิลปะ5</v>
      </c>
      <c r="E636" s="1">
        <f>IFERROR(__xludf.DUMMYFUNCTION("""COMPUTED_VALUE"""),0.5)</f>
        <v>0.5</v>
      </c>
      <c r="F636" s="1">
        <f>IFERROR(__xludf.DUMMYFUNCTION("""COMPUTED_VALUE"""),2569.0)</f>
        <v>2569</v>
      </c>
      <c r="G636" s="1">
        <f>IFERROR(__xludf.DUMMYFUNCTION("""COMPUTED_VALUE"""),1.0)</f>
        <v>1</v>
      </c>
      <c r="H636" s="1">
        <f>IFERROR(__xludf.DUMMYFUNCTION("""COMPUTED_VALUE"""),625.0)</f>
        <v>625</v>
      </c>
      <c r="I636" s="1" t="str">
        <f>IFERROR(__xludf.DUMMYFUNCTION("""COMPUTED_VALUE"""),"นางสาว")</f>
        <v>นางสาว</v>
      </c>
      <c r="J636" s="1" t="str">
        <f>IFERROR(__xludf.DUMMYFUNCTION("""COMPUTED_VALUE"""),"ชนิดา")</f>
        <v>ชนิดา</v>
      </c>
      <c r="K636" s="1" t="str">
        <f>IFERROR(__xludf.DUMMYFUNCTION("""COMPUTED_VALUE"""),"ศรีบุญญะ")</f>
        <v>ศรีบุญญะ</v>
      </c>
      <c r="L636" s="1" t="str">
        <f>IFERROR(__xludf.DUMMYFUNCTION("""COMPUTED_VALUE"""),"ม.6")</f>
        <v>ม.6</v>
      </c>
      <c r="M636" s="1" t="str">
        <f>IFERROR(__xludf.DUMMYFUNCTION("""COMPUTED_VALUE"""),"ศิลปะ")</f>
        <v>ศิลปะ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>
        <f>IFERROR(__xludf.DUMMYFUNCTION("""COMPUTED_VALUE"""),2.0)</f>
        <v>2</v>
      </c>
      <c r="B637" s="1">
        <f>IFERROR(__xludf.DUMMYFUNCTION("""COMPUTED_VALUE"""),1.0)</f>
        <v>1</v>
      </c>
      <c r="C637" s="1" t="str">
        <f>IFERROR(__xludf.DUMMYFUNCTION("""COMPUTED_VALUE"""),"ศ33101")</f>
        <v>ศ33101</v>
      </c>
      <c r="D637" s="1" t="str">
        <f>IFERROR(__xludf.DUMMYFUNCTION("""COMPUTED_VALUE"""),"ศิลปะ5")</f>
        <v>ศิลปะ5</v>
      </c>
      <c r="E637" s="1">
        <f>IFERROR(__xludf.DUMMYFUNCTION("""COMPUTED_VALUE"""),0.5)</f>
        <v>0.5</v>
      </c>
      <c r="F637" s="1">
        <f>IFERROR(__xludf.DUMMYFUNCTION("""COMPUTED_VALUE"""),2569.0)</f>
        <v>2569</v>
      </c>
      <c r="G637" s="1">
        <f>IFERROR(__xludf.DUMMYFUNCTION("""COMPUTED_VALUE"""),1.0)</f>
        <v>1</v>
      </c>
      <c r="H637" s="1">
        <f>IFERROR(__xludf.DUMMYFUNCTION("""COMPUTED_VALUE"""),625.0)</f>
        <v>625</v>
      </c>
      <c r="I637" s="1" t="str">
        <f>IFERROR(__xludf.DUMMYFUNCTION("""COMPUTED_VALUE"""),"นางสาว")</f>
        <v>นางสาว</v>
      </c>
      <c r="J637" s="1" t="str">
        <f>IFERROR(__xludf.DUMMYFUNCTION("""COMPUTED_VALUE"""),"ชนิดา")</f>
        <v>ชนิดา</v>
      </c>
      <c r="K637" s="1" t="str">
        <f>IFERROR(__xludf.DUMMYFUNCTION("""COMPUTED_VALUE"""),"ศรีบุญญะ")</f>
        <v>ศรีบุญญะ</v>
      </c>
      <c r="L637" s="1" t="str">
        <f>IFERROR(__xludf.DUMMYFUNCTION("""COMPUTED_VALUE"""),"ม.6")</f>
        <v>ม.6</v>
      </c>
      <c r="M637" s="1" t="str">
        <f>IFERROR(__xludf.DUMMYFUNCTION("""COMPUTED_VALUE"""),"ศิลปะ")</f>
        <v>ศิลปะ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>
        <f>IFERROR(__xludf.DUMMYFUNCTION("""COMPUTED_VALUE"""),3.0)</f>
        <v>3</v>
      </c>
      <c r="B638" s="1">
        <f>IFERROR(__xludf.DUMMYFUNCTION("""COMPUTED_VALUE"""),1.0)</f>
        <v>1</v>
      </c>
      <c r="C638" s="1" t="str">
        <f>IFERROR(__xludf.DUMMYFUNCTION("""COMPUTED_VALUE"""),"ศ33101")</f>
        <v>ศ33101</v>
      </c>
      <c r="D638" s="1" t="str">
        <f>IFERROR(__xludf.DUMMYFUNCTION("""COMPUTED_VALUE"""),"ศิลปะ5")</f>
        <v>ศิลปะ5</v>
      </c>
      <c r="E638" s="1">
        <f>IFERROR(__xludf.DUMMYFUNCTION("""COMPUTED_VALUE"""),0.5)</f>
        <v>0.5</v>
      </c>
      <c r="F638" s="1">
        <f>IFERROR(__xludf.DUMMYFUNCTION("""COMPUTED_VALUE"""),2569.0)</f>
        <v>2569</v>
      </c>
      <c r="G638" s="1">
        <f>IFERROR(__xludf.DUMMYFUNCTION("""COMPUTED_VALUE"""),1.0)</f>
        <v>1</v>
      </c>
      <c r="H638" s="1">
        <f>IFERROR(__xludf.DUMMYFUNCTION("""COMPUTED_VALUE"""),625.0)</f>
        <v>625</v>
      </c>
      <c r="I638" s="1" t="str">
        <f>IFERROR(__xludf.DUMMYFUNCTION("""COMPUTED_VALUE"""),"นางสาว")</f>
        <v>นางสาว</v>
      </c>
      <c r="J638" s="1" t="str">
        <f>IFERROR(__xludf.DUMMYFUNCTION("""COMPUTED_VALUE"""),"ชนิดา")</f>
        <v>ชนิดา</v>
      </c>
      <c r="K638" s="1" t="str">
        <f>IFERROR(__xludf.DUMMYFUNCTION("""COMPUTED_VALUE"""),"ศรีบุญญะ")</f>
        <v>ศรีบุญญะ</v>
      </c>
      <c r="L638" s="1" t="str">
        <f>IFERROR(__xludf.DUMMYFUNCTION("""COMPUTED_VALUE"""),"ม.6")</f>
        <v>ม.6</v>
      </c>
      <c r="M638" s="1" t="str">
        <f>IFERROR(__xludf.DUMMYFUNCTION("""COMPUTED_VALUE"""),"ศิลปะ")</f>
        <v>ศิลปะ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>
        <f>IFERROR(__xludf.DUMMYFUNCTION("""COMPUTED_VALUE"""),4.0)</f>
        <v>4</v>
      </c>
      <c r="B639" s="1">
        <f>IFERROR(__xludf.DUMMYFUNCTION("""COMPUTED_VALUE"""),1.0)</f>
        <v>1</v>
      </c>
      <c r="C639" s="1" t="str">
        <f>IFERROR(__xludf.DUMMYFUNCTION("""COMPUTED_VALUE"""),"ศ33101")</f>
        <v>ศ33101</v>
      </c>
      <c r="D639" s="1" t="str">
        <f>IFERROR(__xludf.DUMMYFUNCTION("""COMPUTED_VALUE"""),"ศิลปะ5")</f>
        <v>ศิลปะ5</v>
      </c>
      <c r="E639" s="1">
        <f>IFERROR(__xludf.DUMMYFUNCTION("""COMPUTED_VALUE"""),0.5)</f>
        <v>0.5</v>
      </c>
      <c r="F639" s="1">
        <f>IFERROR(__xludf.DUMMYFUNCTION("""COMPUTED_VALUE"""),2569.0)</f>
        <v>2569</v>
      </c>
      <c r="G639" s="1">
        <f>IFERROR(__xludf.DUMMYFUNCTION("""COMPUTED_VALUE"""),1.0)</f>
        <v>1</v>
      </c>
      <c r="H639" s="1">
        <f>IFERROR(__xludf.DUMMYFUNCTION("""COMPUTED_VALUE"""),625.0)</f>
        <v>625</v>
      </c>
      <c r="I639" s="1" t="str">
        <f>IFERROR(__xludf.DUMMYFUNCTION("""COMPUTED_VALUE"""),"นางสาว")</f>
        <v>นางสาว</v>
      </c>
      <c r="J639" s="1" t="str">
        <f>IFERROR(__xludf.DUMMYFUNCTION("""COMPUTED_VALUE"""),"ชนิดา")</f>
        <v>ชนิดา</v>
      </c>
      <c r="K639" s="1" t="str">
        <f>IFERROR(__xludf.DUMMYFUNCTION("""COMPUTED_VALUE"""),"ศรีบุญญะ")</f>
        <v>ศรีบุญญะ</v>
      </c>
      <c r="L639" s="1" t="str">
        <f>IFERROR(__xludf.DUMMYFUNCTION("""COMPUTED_VALUE"""),"ม.6")</f>
        <v>ม.6</v>
      </c>
      <c r="M639" s="1" t="str">
        <f>IFERROR(__xludf.DUMMYFUNCTION("""COMPUTED_VALUE"""),"ศิลปะ")</f>
        <v>ศิลปะ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>
        <f>IFERROR(__xludf.DUMMYFUNCTION("""COMPUTED_VALUE"""),5.0)</f>
        <v>5</v>
      </c>
      <c r="B640" s="1">
        <f>IFERROR(__xludf.DUMMYFUNCTION("""COMPUTED_VALUE"""),1.0)</f>
        <v>1</v>
      </c>
      <c r="C640" s="1" t="str">
        <f>IFERROR(__xludf.DUMMYFUNCTION("""COMPUTED_VALUE"""),"ศ33101")</f>
        <v>ศ33101</v>
      </c>
      <c r="D640" s="1" t="str">
        <f>IFERROR(__xludf.DUMMYFUNCTION("""COMPUTED_VALUE"""),"ศิลปะ5")</f>
        <v>ศิลปะ5</v>
      </c>
      <c r="E640" s="1">
        <f>IFERROR(__xludf.DUMMYFUNCTION("""COMPUTED_VALUE"""),0.5)</f>
        <v>0.5</v>
      </c>
      <c r="F640" s="1">
        <f>IFERROR(__xludf.DUMMYFUNCTION("""COMPUTED_VALUE"""),2569.0)</f>
        <v>2569</v>
      </c>
      <c r="G640" s="1">
        <f>IFERROR(__xludf.DUMMYFUNCTION("""COMPUTED_VALUE"""),1.0)</f>
        <v>1</v>
      </c>
      <c r="H640" s="1">
        <f>IFERROR(__xludf.DUMMYFUNCTION("""COMPUTED_VALUE"""),625.0)</f>
        <v>625</v>
      </c>
      <c r="I640" s="1" t="str">
        <f>IFERROR(__xludf.DUMMYFUNCTION("""COMPUTED_VALUE"""),"นางสาว")</f>
        <v>นางสาว</v>
      </c>
      <c r="J640" s="1" t="str">
        <f>IFERROR(__xludf.DUMMYFUNCTION("""COMPUTED_VALUE"""),"ชนิดา")</f>
        <v>ชนิดา</v>
      </c>
      <c r="K640" s="1" t="str">
        <f>IFERROR(__xludf.DUMMYFUNCTION("""COMPUTED_VALUE"""),"ศรีบุญญะ")</f>
        <v>ศรีบุญญะ</v>
      </c>
      <c r="L640" s="1" t="str">
        <f>IFERROR(__xludf.DUMMYFUNCTION("""COMPUTED_VALUE"""),"ม.6")</f>
        <v>ม.6</v>
      </c>
      <c r="M640" s="1" t="str">
        <f>IFERROR(__xludf.DUMMYFUNCTION("""COMPUTED_VALUE"""),"ศิลปะ")</f>
        <v>ศิลปะ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>
        <f>IFERROR(__xludf.DUMMYFUNCTION("""COMPUTED_VALUE"""),6.0)</f>
        <v>6</v>
      </c>
      <c r="B641" s="1">
        <f>IFERROR(__xludf.DUMMYFUNCTION("""COMPUTED_VALUE"""),1.0)</f>
        <v>1</v>
      </c>
      <c r="C641" s="1" t="str">
        <f>IFERROR(__xludf.DUMMYFUNCTION("""COMPUTED_VALUE"""),"ศ33101")</f>
        <v>ศ33101</v>
      </c>
      <c r="D641" s="1" t="str">
        <f>IFERROR(__xludf.DUMMYFUNCTION("""COMPUTED_VALUE"""),"ศิลปะ5")</f>
        <v>ศิลปะ5</v>
      </c>
      <c r="E641" s="1">
        <f>IFERROR(__xludf.DUMMYFUNCTION("""COMPUTED_VALUE"""),0.5)</f>
        <v>0.5</v>
      </c>
      <c r="F641" s="1">
        <f>IFERROR(__xludf.DUMMYFUNCTION("""COMPUTED_VALUE"""),2569.0)</f>
        <v>2569</v>
      </c>
      <c r="G641" s="1">
        <f>IFERROR(__xludf.DUMMYFUNCTION("""COMPUTED_VALUE"""),1.0)</f>
        <v>1</v>
      </c>
      <c r="H641" s="1">
        <f>IFERROR(__xludf.DUMMYFUNCTION("""COMPUTED_VALUE"""),625.0)</f>
        <v>625</v>
      </c>
      <c r="I641" s="1" t="str">
        <f>IFERROR(__xludf.DUMMYFUNCTION("""COMPUTED_VALUE"""),"นางสาว")</f>
        <v>นางสาว</v>
      </c>
      <c r="J641" s="1" t="str">
        <f>IFERROR(__xludf.DUMMYFUNCTION("""COMPUTED_VALUE"""),"ชนิดา")</f>
        <v>ชนิดา</v>
      </c>
      <c r="K641" s="1" t="str">
        <f>IFERROR(__xludf.DUMMYFUNCTION("""COMPUTED_VALUE"""),"ศรีบุญญะ")</f>
        <v>ศรีบุญญะ</v>
      </c>
      <c r="L641" s="1" t="str">
        <f>IFERROR(__xludf.DUMMYFUNCTION("""COMPUTED_VALUE"""),"ม.6")</f>
        <v>ม.6</v>
      </c>
      <c r="M641" s="1" t="str">
        <f>IFERROR(__xludf.DUMMYFUNCTION("""COMPUTED_VALUE"""),"ศิลปะ")</f>
        <v>ศิลปะ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>
        <f>IFERROR(__xludf.DUMMYFUNCTION("""COMPUTED_VALUE"""),7.0)</f>
        <v>7</v>
      </c>
      <c r="B642" s="1">
        <f>IFERROR(__xludf.DUMMYFUNCTION("""COMPUTED_VALUE"""),1.0)</f>
        <v>1</v>
      </c>
      <c r="C642" s="1" t="str">
        <f>IFERROR(__xludf.DUMMYFUNCTION("""COMPUTED_VALUE"""),"ศ33101")</f>
        <v>ศ33101</v>
      </c>
      <c r="D642" s="1" t="str">
        <f>IFERROR(__xludf.DUMMYFUNCTION("""COMPUTED_VALUE"""),"ศิลปะ5")</f>
        <v>ศิลปะ5</v>
      </c>
      <c r="E642" s="1">
        <f>IFERROR(__xludf.DUMMYFUNCTION("""COMPUTED_VALUE"""),0.5)</f>
        <v>0.5</v>
      </c>
      <c r="F642" s="1">
        <f>IFERROR(__xludf.DUMMYFUNCTION("""COMPUTED_VALUE"""),2569.0)</f>
        <v>2569</v>
      </c>
      <c r="G642" s="1">
        <f>IFERROR(__xludf.DUMMYFUNCTION("""COMPUTED_VALUE"""),1.0)</f>
        <v>1</v>
      </c>
      <c r="H642" s="1">
        <f>IFERROR(__xludf.DUMMYFUNCTION("""COMPUTED_VALUE"""),625.0)</f>
        <v>625</v>
      </c>
      <c r="I642" s="1" t="str">
        <f>IFERROR(__xludf.DUMMYFUNCTION("""COMPUTED_VALUE"""),"นางสาว")</f>
        <v>นางสาว</v>
      </c>
      <c r="J642" s="1" t="str">
        <f>IFERROR(__xludf.DUMMYFUNCTION("""COMPUTED_VALUE"""),"ชนิดา")</f>
        <v>ชนิดา</v>
      </c>
      <c r="K642" s="1" t="str">
        <f>IFERROR(__xludf.DUMMYFUNCTION("""COMPUTED_VALUE"""),"ศรีบุญญะ")</f>
        <v>ศรีบุญญะ</v>
      </c>
      <c r="L642" s="1" t="str">
        <f>IFERROR(__xludf.DUMMYFUNCTION("""COMPUTED_VALUE"""),"ม.6")</f>
        <v>ม.6</v>
      </c>
      <c r="M642" s="1" t="str">
        <f>IFERROR(__xludf.DUMMYFUNCTION("""COMPUTED_VALUE"""),"ศิลปะ")</f>
        <v>ศิลปะ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>
        <f>IFERROR(__xludf.DUMMYFUNCTION("""COMPUTED_VALUE"""),8.0)</f>
        <v>8</v>
      </c>
      <c r="B643" s="1">
        <f>IFERROR(__xludf.DUMMYFUNCTION("""COMPUTED_VALUE"""),1.0)</f>
        <v>1</v>
      </c>
      <c r="C643" s="1" t="str">
        <f>IFERROR(__xludf.DUMMYFUNCTION("""COMPUTED_VALUE"""),"ศ33101")</f>
        <v>ศ33101</v>
      </c>
      <c r="D643" s="1" t="str">
        <f>IFERROR(__xludf.DUMMYFUNCTION("""COMPUTED_VALUE"""),"ศิลปะ5")</f>
        <v>ศิลปะ5</v>
      </c>
      <c r="E643" s="1">
        <f>IFERROR(__xludf.DUMMYFUNCTION("""COMPUTED_VALUE"""),0.5)</f>
        <v>0.5</v>
      </c>
      <c r="F643" s="1">
        <f>IFERROR(__xludf.DUMMYFUNCTION("""COMPUTED_VALUE"""),2569.0)</f>
        <v>2569</v>
      </c>
      <c r="G643" s="1">
        <f>IFERROR(__xludf.DUMMYFUNCTION("""COMPUTED_VALUE"""),1.0)</f>
        <v>1</v>
      </c>
      <c r="H643" s="1">
        <f>IFERROR(__xludf.DUMMYFUNCTION("""COMPUTED_VALUE"""),625.0)</f>
        <v>625</v>
      </c>
      <c r="I643" s="1" t="str">
        <f>IFERROR(__xludf.DUMMYFUNCTION("""COMPUTED_VALUE"""),"นางสาว")</f>
        <v>นางสาว</v>
      </c>
      <c r="J643" s="1" t="str">
        <f>IFERROR(__xludf.DUMMYFUNCTION("""COMPUTED_VALUE"""),"ชนิดา")</f>
        <v>ชนิดา</v>
      </c>
      <c r="K643" s="1" t="str">
        <f>IFERROR(__xludf.DUMMYFUNCTION("""COMPUTED_VALUE"""),"ศรีบุญญะ")</f>
        <v>ศรีบุญญะ</v>
      </c>
      <c r="L643" s="1" t="str">
        <f>IFERROR(__xludf.DUMMYFUNCTION("""COMPUTED_VALUE"""),"ม.6")</f>
        <v>ม.6</v>
      </c>
      <c r="M643" s="1" t="str">
        <f>IFERROR(__xludf.DUMMYFUNCTION("""COMPUTED_VALUE"""),"ศิลปะ")</f>
        <v>ศิลปะ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>
        <f>IFERROR(__xludf.DUMMYFUNCTION("""COMPUTED_VALUE"""),9.0)</f>
        <v>9</v>
      </c>
      <c r="B644" s="1">
        <f>IFERROR(__xludf.DUMMYFUNCTION("""COMPUTED_VALUE"""),1.0)</f>
        <v>1</v>
      </c>
      <c r="C644" s="1" t="str">
        <f>IFERROR(__xludf.DUMMYFUNCTION("""COMPUTED_VALUE"""),"ศ33101")</f>
        <v>ศ33101</v>
      </c>
      <c r="D644" s="1" t="str">
        <f>IFERROR(__xludf.DUMMYFUNCTION("""COMPUTED_VALUE"""),"ศิลปะ5")</f>
        <v>ศิลปะ5</v>
      </c>
      <c r="E644" s="1">
        <f>IFERROR(__xludf.DUMMYFUNCTION("""COMPUTED_VALUE"""),0.5)</f>
        <v>0.5</v>
      </c>
      <c r="F644" s="1">
        <f>IFERROR(__xludf.DUMMYFUNCTION("""COMPUTED_VALUE"""),2569.0)</f>
        <v>2569</v>
      </c>
      <c r="G644" s="1">
        <f>IFERROR(__xludf.DUMMYFUNCTION("""COMPUTED_VALUE"""),1.0)</f>
        <v>1</v>
      </c>
      <c r="H644" s="1">
        <f>IFERROR(__xludf.DUMMYFUNCTION("""COMPUTED_VALUE"""),625.0)</f>
        <v>625</v>
      </c>
      <c r="I644" s="1" t="str">
        <f>IFERROR(__xludf.DUMMYFUNCTION("""COMPUTED_VALUE"""),"นางสาว")</f>
        <v>นางสาว</v>
      </c>
      <c r="J644" s="1" t="str">
        <f>IFERROR(__xludf.DUMMYFUNCTION("""COMPUTED_VALUE"""),"ชนิดา")</f>
        <v>ชนิดา</v>
      </c>
      <c r="K644" s="1" t="str">
        <f>IFERROR(__xludf.DUMMYFUNCTION("""COMPUTED_VALUE"""),"ศรีบุญญะ")</f>
        <v>ศรีบุญญะ</v>
      </c>
      <c r="L644" s="1" t="str">
        <f>IFERROR(__xludf.DUMMYFUNCTION("""COMPUTED_VALUE"""),"ม.6")</f>
        <v>ม.6</v>
      </c>
      <c r="M644" s="1" t="str">
        <f>IFERROR(__xludf.DUMMYFUNCTION("""COMPUTED_VALUE"""),"ศิลปะ")</f>
        <v>ศิลปะ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>
        <f>IFERROR(__xludf.DUMMYFUNCTION("""COMPUTED_VALUE"""),10.0)</f>
        <v>10</v>
      </c>
      <c r="B645" s="1">
        <f>IFERROR(__xludf.DUMMYFUNCTION("""COMPUTED_VALUE"""),1.0)</f>
        <v>1</v>
      </c>
      <c r="C645" s="1" t="str">
        <f>IFERROR(__xludf.DUMMYFUNCTION("""COMPUTED_VALUE"""),"ศ33101")</f>
        <v>ศ33101</v>
      </c>
      <c r="D645" s="1" t="str">
        <f>IFERROR(__xludf.DUMMYFUNCTION("""COMPUTED_VALUE"""),"ศิลปะ5")</f>
        <v>ศิลปะ5</v>
      </c>
      <c r="E645" s="1">
        <f>IFERROR(__xludf.DUMMYFUNCTION("""COMPUTED_VALUE"""),0.5)</f>
        <v>0.5</v>
      </c>
      <c r="F645" s="1">
        <f>IFERROR(__xludf.DUMMYFUNCTION("""COMPUTED_VALUE"""),2569.0)</f>
        <v>2569</v>
      </c>
      <c r="G645" s="1">
        <f>IFERROR(__xludf.DUMMYFUNCTION("""COMPUTED_VALUE"""),1.0)</f>
        <v>1</v>
      </c>
      <c r="H645" s="1">
        <f>IFERROR(__xludf.DUMMYFUNCTION("""COMPUTED_VALUE"""),625.0)</f>
        <v>625</v>
      </c>
      <c r="I645" s="1" t="str">
        <f>IFERROR(__xludf.DUMMYFUNCTION("""COMPUTED_VALUE"""),"นางสาว")</f>
        <v>นางสาว</v>
      </c>
      <c r="J645" s="1" t="str">
        <f>IFERROR(__xludf.DUMMYFUNCTION("""COMPUTED_VALUE"""),"ชนิดา")</f>
        <v>ชนิดา</v>
      </c>
      <c r="K645" s="1" t="str">
        <f>IFERROR(__xludf.DUMMYFUNCTION("""COMPUTED_VALUE"""),"ศรีบุญญะ")</f>
        <v>ศรีบุญญะ</v>
      </c>
      <c r="L645" s="1" t="str">
        <f>IFERROR(__xludf.DUMMYFUNCTION("""COMPUTED_VALUE"""),"ม.6")</f>
        <v>ม.6</v>
      </c>
      <c r="M645" s="1" t="str">
        <f>IFERROR(__xludf.DUMMYFUNCTION("""COMPUTED_VALUE"""),"ศิลปะ")</f>
        <v>ศิลปะ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>
        <f>IFERROR(__xludf.DUMMYFUNCTION("""COMPUTED_VALUE"""),11.0)</f>
        <v>11</v>
      </c>
      <c r="B646" s="1">
        <f>IFERROR(__xludf.DUMMYFUNCTION("""COMPUTED_VALUE"""),1.0)</f>
        <v>1</v>
      </c>
      <c r="C646" s="1" t="str">
        <f>IFERROR(__xludf.DUMMYFUNCTION("""COMPUTED_VALUE"""),"ศ33101")</f>
        <v>ศ33101</v>
      </c>
      <c r="D646" s="1" t="str">
        <f>IFERROR(__xludf.DUMMYFUNCTION("""COMPUTED_VALUE"""),"ศิลปะ5")</f>
        <v>ศิลปะ5</v>
      </c>
      <c r="E646" s="1">
        <f>IFERROR(__xludf.DUMMYFUNCTION("""COMPUTED_VALUE"""),0.5)</f>
        <v>0.5</v>
      </c>
      <c r="F646" s="1">
        <f>IFERROR(__xludf.DUMMYFUNCTION("""COMPUTED_VALUE"""),2569.0)</f>
        <v>2569</v>
      </c>
      <c r="G646" s="1">
        <f>IFERROR(__xludf.DUMMYFUNCTION("""COMPUTED_VALUE"""),1.0)</f>
        <v>1</v>
      </c>
      <c r="H646" s="1">
        <f>IFERROR(__xludf.DUMMYFUNCTION("""COMPUTED_VALUE"""),625.0)</f>
        <v>625</v>
      </c>
      <c r="I646" s="1" t="str">
        <f>IFERROR(__xludf.DUMMYFUNCTION("""COMPUTED_VALUE"""),"นางสาว")</f>
        <v>นางสาว</v>
      </c>
      <c r="J646" s="1" t="str">
        <f>IFERROR(__xludf.DUMMYFUNCTION("""COMPUTED_VALUE"""),"ชนิดา")</f>
        <v>ชนิดา</v>
      </c>
      <c r="K646" s="1" t="str">
        <f>IFERROR(__xludf.DUMMYFUNCTION("""COMPUTED_VALUE"""),"ศรีบุญญะ")</f>
        <v>ศรีบุญญะ</v>
      </c>
      <c r="L646" s="1" t="str">
        <f>IFERROR(__xludf.DUMMYFUNCTION("""COMPUTED_VALUE"""),"ม.6")</f>
        <v>ม.6</v>
      </c>
      <c r="M646" s="1" t="str">
        <f>IFERROR(__xludf.DUMMYFUNCTION("""COMPUTED_VALUE"""),"ศิลปะ")</f>
        <v>ศิลปะ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>
        <f>IFERROR(__xludf.DUMMYFUNCTION("""COMPUTED_VALUE"""),8.0)</f>
        <v>8</v>
      </c>
      <c r="B647" s="1">
        <f>IFERROR(__xludf.DUMMYFUNCTION("""COMPUTED_VALUE"""),2.0)</f>
        <v>2</v>
      </c>
      <c r="C647" s="1" t="str">
        <f>IFERROR(__xludf.DUMMYFUNCTION("""COMPUTED_VALUE"""),"ส20227")</f>
        <v>ส20227</v>
      </c>
      <c r="D647" s="1" t="str">
        <f>IFERROR(__xludf.DUMMYFUNCTION("""COMPUTED_VALUE"""),"การป้องกันการทุจริต 5")</f>
        <v>การป้องกันการทุจริต 5</v>
      </c>
      <c r="E647" s="1">
        <f>IFERROR(__xludf.DUMMYFUNCTION("""COMPUTED_VALUE"""),0.5)</f>
        <v>0.5</v>
      </c>
      <c r="F647" s="1">
        <f>IFERROR(__xludf.DUMMYFUNCTION("""COMPUTED_VALUE"""),2569.0)</f>
        <v>2569</v>
      </c>
      <c r="G647" s="1">
        <f>IFERROR(__xludf.DUMMYFUNCTION("""COMPUTED_VALUE"""),1.0)</f>
        <v>1</v>
      </c>
      <c r="H647" s="1">
        <f>IFERROR(__xludf.DUMMYFUNCTION("""COMPUTED_VALUE"""),625.0)</f>
        <v>625</v>
      </c>
      <c r="I647" s="1" t="str">
        <f>IFERROR(__xludf.DUMMYFUNCTION("""COMPUTED_VALUE"""),"นางสาว")</f>
        <v>นางสาว</v>
      </c>
      <c r="J647" s="1" t="str">
        <f>IFERROR(__xludf.DUMMYFUNCTION("""COMPUTED_VALUE"""),"ชนิดา")</f>
        <v>ชนิดา</v>
      </c>
      <c r="K647" s="1" t="str">
        <f>IFERROR(__xludf.DUMMYFUNCTION("""COMPUTED_VALUE"""),"ศรีบุญญะ")</f>
        <v>ศรีบุญญะ</v>
      </c>
      <c r="L647" s="1" t="str">
        <f>IFERROR(__xludf.DUMMYFUNCTION("""COMPUTED_VALUE"""),"ม.3")</f>
        <v>ม.3</v>
      </c>
      <c r="M647" s="1" t="str">
        <f>IFERROR(__xludf.DUMMYFUNCTION("""COMPUTED_VALUE"""),"ศิลปะ")</f>
        <v>ศิลปะ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>
        <f>IFERROR(__xludf.DUMMYFUNCTION("""COMPUTED_VALUE"""),1.0)</f>
        <v>1</v>
      </c>
      <c r="B648" s="1">
        <f>IFERROR(__xludf.DUMMYFUNCTION("""COMPUTED_VALUE"""),1.0)</f>
        <v>1</v>
      </c>
      <c r="C648" s="1" t="str">
        <f>IFERROR(__xludf.DUMMYFUNCTION("""COMPUTED_VALUE"""),"ศ22101")</f>
        <v>ศ22101</v>
      </c>
      <c r="D648" s="1" t="str">
        <f>IFERROR(__xludf.DUMMYFUNCTION("""COMPUTED_VALUE"""),"ศิลปะพื้นฐาน 3")</f>
        <v>ศิลปะพื้นฐาน 3</v>
      </c>
      <c r="E648" s="1">
        <f>IFERROR(__xludf.DUMMYFUNCTION("""COMPUTED_VALUE"""),1.0)</f>
        <v>1</v>
      </c>
      <c r="F648" s="1">
        <f>IFERROR(__xludf.DUMMYFUNCTION("""COMPUTED_VALUE"""),2569.0)</f>
        <v>2569</v>
      </c>
      <c r="G648" s="1">
        <f>IFERROR(__xludf.DUMMYFUNCTION("""COMPUTED_VALUE"""),1.0)</f>
        <v>1</v>
      </c>
      <c r="H648" s="1">
        <f>IFERROR(__xludf.DUMMYFUNCTION("""COMPUTED_VALUE"""),626.0)</f>
        <v>626</v>
      </c>
      <c r="I648" s="1" t="str">
        <f>IFERROR(__xludf.DUMMYFUNCTION("""COMPUTED_VALUE"""),"นาย")</f>
        <v>นาย</v>
      </c>
      <c r="J648" s="1" t="str">
        <f>IFERROR(__xludf.DUMMYFUNCTION("""COMPUTED_VALUE"""),"นิติพงษ์")</f>
        <v>นิติพงษ์</v>
      </c>
      <c r="K648" s="1" t="str">
        <f>IFERROR(__xludf.DUMMYFUNCTION("""COMPUTED_VALUE"""),"คำนะ")</f>
        <v>คำนะ</v>
      </c>
      <c r="L648" s="1" t="str">
        <f>IFERROR(__xludf.DUMMYFUNCTION("""COMPUTED_VALUE"""),"ม.2")</f>
        <v>ม.2</v>
      </c>
      <c r="M648" s="1" t="str">
        <f>IFERROR(__xludf.DUMMYFUNCTION("""COMPUTED_VALUE"""),"ศิลปะ")</f>
        <v>ศิลปะ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>
        <f>IFERROR(__xludf.DUMMYFUNCTION("""COMPUTED_VALUE"""),2.0)</f>
        <v>2</v>
      </c>
      <c r="B649" s="1">
        <f>IFERROR(__xludf.DUMMYFUNCTION("""COMPUTED_VALUE"""),1.0)</f>
        <v>1</v>
      </c>
      <c r="C649" s="1" t="str">
        <f>IFERROR(__xludf.DUMMYFUNCTION("""COMPUTED_VALUE"""),"ศ22101")</f>
        <v>ศ22101</v>
      </c>
      <c r="D649" s="1" t="str">
        <f>IFERROR(__xludf.DUMMYFUNCTION("""COMPUTED_VALUE"""),"ศิลปะพื้นฐาน 3")</f>
        <v>ศิลปะพื้นฐาน 3</v>
      </c>
      <c r="E649" s="1">
        <f>IFERROR(__xludf.DUMMYFUNCTION("""COMPUTED_VALUE"""),1.0)</f>
        <v>1</v>
      </c>
      <c r="F649" s="1">
        <f>IFERROR(__xludf.DUMMYFUNCTION("""COMPUTED_VALUE"""),2569.0)</f>
        <v>2569</v>
      </c>
      <c r="G649" s="1">
        <f>IFERROR(__xludf.DUMMYFUNCTION("""COMPUTED_VALUE"""),1.0)</f>
        <v>1</v>
      </c>
      <c r="H649" s="1">
        <f>IFERROR(__xludf.DUMMYFUNCTION("""COMPUTED_VALUE"""),626.0)</f>
        <v>626</v>
      </c>
      <c r="I649" s="1" t="str">
        <f>IFERROR(__xludf.DUMMYFUNCTION("""COMPUTED_VALUE"""),"นาย")</f>
        <v>นาย</v>
      </c>
      <c r="J649" s="1" t="str">
        <f>IFERROR(__xludf.DUMMYFUNCTION("""COMPUTED_VALUE"""),"นิติพงษ์")</f>
        <v>นิติพงษ์</v>
      </c>
      <c r="K649" s="1" t="str">
        <f>IFERROR(__xludf.DUMMYFUNCTION("""COMPUTED_VALUE"""),"คำนะ")</f>
        <v>คำนะ</v>
      </c>
      <c r="L649" s="1" t="str">
        <f>IFERROR(__xludf.DUMMYFUNCTION("""COMPUTED_VALUE"""),"ม.2")</f>
        <v>ม.2</v>
      </c>
      <c r="M649" s="1" t="str">
        <f>IFERROR(__xludf.DUMMYFUNCTION("""COMPUTED_VALUE"""),"ศิลปะ")</f>
        <v>ศิลปะ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>
        <f>IFERROR(__xludf.DUMMYFUNCTION("""COMPUTED_VALUE"""),3.0)</f>
        <v>3</v>
      </c>
      <c r="B650" s="1">
        <f>IFERROR(__xludf.DUMMYFUNCTION("""COMPUTED_VALUE"""),1.0)</f>
        <v>1</v>
      </c>
      <c r="C650" s="1" t="str">
        <f>IFERROR(__xludf.DUMMYFUNCTION("""COMPUTED_VALUE"""),"ศ22101")</f>
        <v>ศ22101</v>
      </c>
      <c r="D650" s="1" t="str">
        <f>IFERROR(__xludf.DUMMYFUNCTION("""COMPUTED_VALUE"""),"ศิลปะพื้นฐาน 3")</f>
        <v>ศิลปะพื้นฐาน 3</v>
      </c>
      <c r="E650" s="1">
        <f>IFERROR(__xludf.DUMMYFUNCTION("""COMPUTED_VALUE"""),1.0)</f>
        <v>1</v>
      </c>
      <c r="F650" s="1">
        <f>IFERROR(__xludf.DUMMYFUNCTION("""COMPUTED_VALUE"""),2569.0)</f>
        <v>2569</v>
      </c>
      <c r="G650" s="1">
        <f>IFERROR(__xludf.DUMMYFUNCTION("""COMPUTED_VALUE"""),1.0)</f>
        <v>1</v>
      </c>
      <c r="H650" s="1">
        <f>IFERROR(__xludf.DUMMYFUNCTION("""COMPUTED_VALUE"""),626.0)</f>
        <v>626</v>
      </c>
      <c r="I650" s="1" t="str">
        <f>IFERROR(__xludf.DUMMYFUNCTION("""COMPUTED_VALUE"""),"นาย")</f>
        <v>นาย</v>
      </c>
      <c r="J650" s="1" t="str">
        <f>IFERROR(__xludf.DUMMYFUNCTION("""COMPUTED_VALUE"""),"นิติพงษ์")</f>
        <v>นิติพงษ์</v>
      </c>
      <c r="K650" s="1" t="str">
        <f>IFERROR(__xludf.DUMMYFUNCTION("""COMPUTED_VALUE"""),"คำนะ")</f>
        <v>คำนะ</v>
      </c>
      <c r="L650" s="1" t="str">
        <f>IFERROR(__xludf.DUMMYFUNCTION("""COMPUTED_VALUE"""),"ม.2")</f>
        <v>ม.2</v>
      </c>
      <c r="M650" s="1" t="str">
        <f>IFERROR(__xludf.DUMMYFUNCTION("""COMPUTED_VALUE"""),"ศิลปะ")</f>
        <v>ศิลปะ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>
        <f>IFERROR(__xludf.DUMMYFUNCTION("""COMPUTED_VALUE"""),4.0)</f>
        <v>4</v>
      </c>
      <c r="B651" s="1">
        <f>IFERROR(__xludf.DUMMYFUNCTION("""COMPUTED_VALUE"""),1.0)</f>
        <v>1</v>
      </c>
      <c r="C651" s="1" t="str">
        <f>IFERROR(__xludf.DUMMYFUNCTION("""COMPUTED_VALUE"""),"ศ22101")</f>
        <v>ศ22101</v>
      </c>
      <c r="D651" s="1" t="str">
        <f>IFERROR(__xludf.DUMMYFUNCTION("""COMPUTED_VALUE"""),"ศิลปะพื้นฐาน 3")</f>
        <v>ศิลปะพื้นฐาน 3</v>
      </c>
      <c r="E651" s="1">
        <f>IFERROR(__xludf.DUMMYFUNCTION("""COMPUTED_VALUE"""),1.0)</f>
        <v>1</v>
      </c>
      <c r="F651" s="1">
        <f>IFERROR(__xludf.DUMMYFUNCTION("""COMPUTED_VALUE"""),2569.0)</f>
        <v>2569</v>
      </c>
      <c r="G651" s="1">
        <f>IFERROR(__xludf.DUMMYFUNCTION("""COMPUTED_VALUE"""),1.0)</f>
        <v>1</v>
      </c>
      <c r="H651" s="1">
        <f>IFERROR(__xludf.DUMMYFUNCTION("""COMPUTED_VALUE"""),626.0)</f>
        <v>626</v>
      </c>
      <c r="I651" s="1" t="str">
        <f>IFERROR(__xludf.DUMMYFUNCTION("""COMPUTED_VALUE"""),"นาย")</f>
        <v>นาย</v>
      </c>
      <c r="J651" s="1" t="str">
        <f>IFERROR(__xludf.DUMMYFUNCTION("""COMPUTED_VALUE"""),"นิติพงษ์")</f>
        <v>นิติพงษ์</v>
      </c>
      <c r="K651" s="1" t="str">
        <f>IFERROR(__xludf.DUMMYFUNCTION("""COMPUTED_VALUE"""),"คำนะ")</f>
        <v>คำนะ</v>
      </c>
      <c r="L651" s="1" t="str">
        <f>IFERROR(__xludf.DUMMYFUNCTION("""COMPUTED_VALUE"""),"ม.2")</f>
        <v>ม.2</v>
      </c>
      <c r="M651" s="1" t="str">
        <f>IFERROR(__xludf.DUMMYFUNCTION("""COMPUTED_VALUE"""),"ศิลปะ")</f>
        <v>ศิลปะ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>
        <f>IFERROR(__xludf.DUMMYFUNCTION("""COMPUTED_VALUE"""),5.0)</f>
        <v>5</v>
      </c>
      <c r="B652" s="1">
        <f>IFERROR(__xludf.DUMMYFUNCTION("""COMPUTED_VALUE"""),1.0)</f>
        <v>1</v>
      </c>
      <c r="C652" s="1" t="str">
        <f>IFERROR(__xludf.DUMMYFUNCTION("""COMPUTED_VALUE"""),"ศ22101")</f>
        <v>ศ22101</v>
      </c>
      <c r="D652" s="1" t="str">
        <f>IFERROR(__xludf.DUMMYFUNCTION("""COMPUTED_VALUE"""),"ศิลปะพื้นฐาน 3")</f>
        <v>ศิลปะพื้นฐาน 3</v>
      </c>
      <c r="E652" s="1">
        <f>IFERROR(__xludf.DUMMYFUNCTION("""COMPUTED_VALUE"""),1.0)</f>
        <v>1</v>
      </c>
      <c r="F652" s="1">
        <f>IFERROR(__xludf.DUMMYFUNCTION("""COMPUTED_VALUE"""),2569.0)</f>
        <v>2569</v>
      </c>
      <c r="G652" s="1">
        <f>IFERROR(__xludf.DUMMYFUNCTION("""COMPUTED_VALUE"""),1.0)</f>
        <v>1</v>
      </c>
      <c r="H652" s="1">
        <f>IFERROR(__xludf.DUMMYFUNCTION("""COMPUTED_VALUE"""),626.0)</f>
        <v>626</v>
      </c>
      <c r="I652" s="1" t="str">
        <f>IFERROR(__xludf.DUMMYFUNCTION("""COMPUTED_VALUE"""),"นาย")</f>
        <v>นาย</v>
      </c>
      <c r="J652" s="1" t="str">
        <f>IFERROR(__xludf.DUMMYFUNCTION("""COMPUTED_VALUE"""),"นิติพงษ์")</f>
        <v>นิติพงษ์</v>
      </c>
      <c r="K652" s="1" t="str">
        <f>IFERROR(__xludf.DUMMYFUNCTION("""COMPUTED_VALUE"""),"คำนะ")</f>
        <v>คำนะ</v>
      </c>
      <c r="L652" s="1" t="str">
        <f>IFERROR(__xludf.DUMMYFUNCTION("""COMPUTED_VALUE"""),"ม.2")</f>
        <v>ม.2</v>
      </c>
      <c r="M652" s="1" t="str">
        <f>IFERROR(__xludf.DUMMYFUNCTION("""COMPUTED_VALUE"""),"ศิลปะ")</f>
        <v>ศิลปะ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>
        <f>IFERROR(__xludf.DUMMYFUNCTION("""COMPUTED_VALUE"""),6.0)</f>
        <v>6</v>
      </c>
      <c r="B653" s="1">
        <f>IFERROR(__xludf.DUMMYFUNCTION("""COMPUTED_VALUE"""),1.0)</f>
        <v>1</v>
      </c>
      <c r="C653" s="1" t="str">
        <f>IFERROR(__xludf.DUMMYFUNCTION("""COMPUTED_VALUE"""),"ศ22101")</f>
        <v>ศ22101</v>
      </c>
      <c r="D653" s="1" t="str">
        <f>IFERROR(__xludf.DUMMYFUNCTION("""COMPUTED_VALUE"""),"ศิลปะพื้นฐาน 3")</f>
        <v>ศิลปะพื้นฐาน 3</v>
      </c>
      <c r="E653" s="1">
        <f>IFERROR(__xludf.DUMMYFUNCTION("""COMPUTED_VALUE"""),1.0)</f>
        <v>1</v>
      </c>
      <c r="F653" s="1">
        <f>IFERROR(__xludf.DUMMYFUNCTION("""COMPUTED_VALUE"""),2569.0)</f>
        <v>2569</v>
      </c>
      <c r="G653" s="1">
        <f>IFERROR(__xludf.DUMMYFUNCTION("""COMPUTED_VALUE"""),1.0)</f>
        <v>1</v>
      </c>
      <c r="H653" s="1">
        <f>IFERROR(__xludf.DUMMYFUNCTION("""COMPUTED_VALUE"""),626.0)</f>
        <v>626</v>
      </c>
      <c r="I653" s="1" t="str">
        <f>IFERROR(__xludf.DUMMYFUNCTION("""COMPUTED_VALUE"""),"นาย")</f>
        <v>นาย</v>
      </c>
      <c r="J653" s="1" t="str">
        <f>IFERROR(__xludf.DUMMYFUNCTION("""COMPUTED_VALUE"""),"นิติพงษ์")</f>
        <v>นิติพงษ์</v>
      </c>
      <c r="K653" s="1" t="str">
        <f>IFERROR(__xludf.DUMMYFUNCTION("""COMPUTED_VALUE"""),"คำนะ")</f>
        <v>คำนะ</v>
      </c>
      <c r="L653" s="1" t="str">
        <f>IFERROR(__xludf.DUMMYFUNCTION("""COMPUTED_VALUE"""),"ม.2")</f>
        <v>ม.2</v>
      </c>
      <c r="M653" s="1" t="str">
        <f>IFERROR(__xludf.DUMMYFUNCTION("""COMPUTED_VALUE"""),"ศิลปะ")</f>
        <v>ศิลปะ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>
        <f>IFERROR(__xludf.DUMMYFUNCTION("""COMPUTED_VALUE"""),7.0)</f>
        <v>7</v>
      </c>
      <c r="B654" s="1">
        <f>IFERROR(__xludf.DUMMYFUNCTION("""COMPUTED_VALUE"""),1.0)</f>
        <v>1</v>
      </c>
      <c r="C654" s="1" t="str">
        <f>IFERROR(__xludf.DUMMYFUNCTION("""COMPUTED_VALUE"""),"ศ22101")</f>
        <v>ศ22101</v>
      </c>
      <c r="D654" s="1" t="str">
        <f>IFERROR(__xludf.DUMMYFUNCTION("""COMPUTED_VALUE"""),"ศิลปะพื้นฐาน 3")</f>
        <v>ศิลปะพื้นฐาน 3</v>
      </c>
      <c r="E654" s="1">
        <f>IFERROR(__xludf.DUMMYFUNCTION("""COMPUTED_VALUE"""),1.0)</f>
        <v>1</v>
      </c>
      <c r="F654" s="1">
        <f>IFERROR(__xludf.DUMMYFUNCTION("""COMPUTED_VALUE"""),2569.0)</f>
        <v>2569</v>
      </c>
      <c r="G654" s="1">
        <f>IFERROR(__xludf.DUMMYFUNCTION("""COMPUTED_VALUE"""),1.0)</f>
        <v>1</v>
      </c>
      <c r="H654" s="1">
        <f>IFERROR(__xludf.DUMMYFUNCTION("""COMPUTED_VALUE"""),626.0)</f>
        <v>626</v>
      </c>
      <c r="I654" s="1" t="str">
        <f>IFERROR(__xludf.DUMMYFUNCTION("""COMPUTED_VALUE"""),"นาย")</f>
        <v>นาย</v>
      </c>
      <c r="J654" s="1" t="str">
        <f>IFERROR(__xludf.DUMMYFUNCTION("""COMPUTED_VALUE"""),"นิติพงษ์")</f>
        <v>นิติพงษ์</v>
      </c>
      <c r="K654" s="1" t="str">
        <f>IFERROR(__xludf.DUMMYFUNCTION("""COMPUTED_VALUE"""),"คำนะ")</f>
        <v>คำนะ</v>
      </c>
      <c r="L654" s="1" t="str">
        <f>IFERROR(__xludf.DUMMYFUNCTION("""COMPUTED_VALUE"""),"ม.2")</f>
        <v>ม.2</v>
      </c>
      <c r="M654" s="1" t="str">
        <f>IFERROR(__xludf.DUMMYFUNCTION("""COMPUTED_VALUE"""),"ศิลปะ")</f>
        <v>ศิลปะ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>
        <f>IFERROR(__xludf.DUMMYFUNCTION("""COMPUTED_VALUE"""),6.0)</f>
        <v>6</v>
      </c>
      <c r="B655" s="1">
        <f>IFERROR(__xludf.DUMMYFUNCTION("""COMPUTED_VALUE"""),1.0)</f>
        <v>1</v>
      </c>
      <c r="C655" s="1" t="str">
        <f>IFERROR(__xludf.DUMMYFUNCTION("""COMPUTED_VALUE"""),"ส30247")</f>
        <v>ส30247</v>
      </c>
      <c r="D655" s="1" t="str">
        <f>IFERROR(__xludf.DUMMYFUNCTION("""COMPUTED_VALUE"""),"การป้องกันการทุจริต 1")</f>
        <v>การป้องกันการทุจริต 1</v>
      </c>
      <c r="E655" s="1">
        <f>IFERROR(__xludf.DUMMYFUNCTION("""COMPUTED_VALUE"""),0.5)</f>
        <v>0.5</v>
      </c>
      <c r="F655" s="1">
        <f>IFERROR(__xludf.DUMMYFUNCTION("""COMPUTED_VALUE"""),2569.0)</f>
        <v>2569</v>
      </c>
      <c r="G655" s="1">
        <f>IFERROR(__xludf.DUMMYFUNCTION("""COMPUTED_VALUE"""),1.0)</f>
        <v>1</v>
      </c>
      <c r="H655" s="1">
        <f>IFERROR(__xludf.DUMMYFUNCTION("""COMPUTED_VALUE"""),626.0)</f>
        <v>626</v>
      </c>
      <c r="I655" s="1" t="str">
        <f>IFERROR(__xludf.DUMMYFUNCTION("""COMPUTED_VALUE"""),"นาย")</f>
        <v>นาย</v>
      </c>
      <c r="J655" s="1" t="str">
        <f>IFERROR(__xludf.DUMMYFUNCTION("""COMPUTED_VALUE"""),"นิติพงษ์")</f>
        <v>นิติพงษ์</v>
      </c>
      <c r="K655" s="1" t="str">
        <f>IFERROR(__xludf.DUMMYFUNCTION("""COMPUTED_VALUE"""),"คำนะ")</f>
        <v>คำนะ</v>
      </c>
      <c r="L655" s="1" t="str">
        <f>IFERROR(__xludf.DUMMYFUNCTION("""COMPUTED_VALUE"""),"ม.4")</f>
        <v>ม.4</v>
      </c>
      <c r="M655" s="1" t="str">
        <f>IFERROR(__xludf.DUMMYFUNCTION("""COMPUTED_VALUE"""),"ศิลปะ")</f>
        <v>ศิลปะ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>
        <f>IFERROR(__xludf.DUMMYFUNCTION("""COMPUTED_VALUE"""),1.0)</f>
        <v>1</v>
      </c>
      <c r="B656" s="1">
        <f>IFERROR(__xludf.DUMMYFUNCTION("""COMPUTED_VALUE"""),1.0)</f>
        <v>1</v>
      </c>
      <c r="C656" s="1" t="str">
        <f>IFERROR(__xludf.DUMMYFUNCTION("""COMPUTED_VALUE"""),"ว23103")</f>
        <v>ว23103</v>
      </c>
      <c r="D656" s="1" t="str">
        <f>IFERROR(__xludf.DUMMYFUNCTION("""COMPUTED_VALUE"""),"การออกแบบและเทคโนโลยี 3")</f>
        <v>การออกแบบและเทคโนโลยี 3</v>
      </c>
      <c r="E656" s="1">
        <f>IFERROR(__xludf.DUMMYFUNCTION("""COMPUTED_VALUE"""),0.5)</f>
        <v>0.5</v>
      </c>
      <c r="F656" s="1">
        <f>IFERROR(__xludf.DUMMYFUNCTION("""COMPUTED_VALUE"""),2569.0)</f>
        <v>2569</v>
      </c>
      <c r="G656" s="1">
        <f>IFERROR(__xludf.DUMMYFUNCTION("""COMPUTED_VALUE"""),1.0)</f>
        <v>1</v>
      </c>
      <c r="H656" s="1">
        <f>IFERROR(__xludf.DUMMYFUNCTION("""COMPUTED_VALUE"""),708.0)</f>
        <v>708</v>
      </c>
      <c r="I656" s="1" t="str">
        <f>IFERROR(__xludf.DUMMYFUNCTION("""COMPUTED_VALUE"""),"นาง")</f>
        <v>นาง</v>
      </c>
      <c r="J656" s="1" t="str">
        <f>IFERROR(__xludf.DUMMYFUNCTION("""COMPUTED_VALUE"""),"นันทิดา")</f>
        <v>นันทิดา</v>
      </c>
      <c r="K656" s="1" t="str">
        <f>IFERROR(__xludf.DUMMYFUNCTION("""COMPUTED_VALUE"""),"พิมพ์สมบูรณ์")</f>
        <v>พิมพ์สมบูรณ์</v>
      </c>
      <c r="L656" s="1" t="str">
        <f>IFERROR(__xludf.DUMMYFUNCTION("""COMPUTED_VALUE"""),"ม.3")</f>
        <v>ม.3</v>
      </c>
      <c r="M656" s="1" t="str">
        <f>IFERROR(__xludf.DUMMYFUNCTION("""COMPUTED_VALUE"""),"วิทยาศาสตร์(เทคโนโลยี)")</f>
        <v>วิทยาศาสตร์(เทคโนโลยี)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>
        <f>IFERROR(__xludf.DUMMYFUNCTION("""COMPUTED_VALUE"""),2.0)</f>
        <v>2</v>
      </c>
      <c r="B657" s="1">
        <f>IFERROR(__xludf.DUMMYFUNCTION("""COMPUTED_VALUE"""),1.0)</f>
        <v>1</v>
      </c>
      <c r="C657" s="1" t="str">
        <f>IFERROR(__xludf.DUMMYFUNCTION("""COMPUTED_VALUE"""),"ว23103")</f>
        <v>ว23103</v>
      </c>
      <c r="D657" s="1" t="str">
        <f>IFERROR(__xludf.DUMMYFUNCTION("""COMPUTED_VALUE"""),"การออกแบบและเทคโนโลยี 3")</f>
        <v>การออกแบบและเทคโนโลยี 3</v>
      </c>
      <c r="E657" s="1">
        <f>IFERROR(__xludf.DUMMYFUNCTION("""COMPUTED_VALUE"""),0.5)</f>
        <v>0.5</v>
      </c>
      <c r="F657" s="1">
        <f>IFERROR(__xludf.DUMMYFUNCTION("""COMPUTED_VALUE"""),2569.0)</f>
        <v>2569</v>
      </c>
      <c r="G657" s="1">
        <f>IFERROR(__xludf.DUMMYFUNCTION("""COMPUTED_VALUE"""),1.0)</f>
        <v>1</v>
      </c>
      <c r="H657" s="1">
        <f>IFERROR(__xludf.DUMMYFUNCTION("""COMPUTED_VALUE"""),708.0)</f>
        <v>708</v>
      </c>
      <c r="I657" s="1" t="str">
        <f>IFERROR(__xludf.DUMMYFUNCTION("""COMPUTED_VALUE"""),"นาง")</f>
        <v>นาง</v>
      </c>
      <c r="J657" s="1" t="str">
        <f>IFERROR(__xludf.DUMMYFUNCTION("""COMPUTED_VALUE"""),"นันทิดา")</f>
        <v>นันทิดา</v>
      </c>
      <c r="K657" s="1" t="str">
        <f>IFERROR(__xludf.DUMMYFUNCTION("""COMPUTED_VALUE"""),"พิมพ์สมบูรณ์")</f>
        <v>พิมพ์สมบูรณ์</v>
      </c>
      <c r="L657" s="1" t="str">
        <f>IFERROR(__xludf.DUMMYFUNCTION("""COMPUTED_VALUE"""),"ม.3")</f>
        <v>ม.3</v>
      </c>
      <c r="M657" s="1" t="str">
        <f>IFERROR(__xludf.DUMMYFUNCTION("""COMPUTED_VALUE"""),"วิทยาศาสตร์(เทคโนโลยี)")</f>
        <v>วิทยาศาสตร์(เทคโนโลยี)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>
        <f>IFERROR(__xludf.DUMMYFUNCTION("""COMPUTED_VALUE"""),3.0)</f>
        <v>3</v>
      </c>
      <c r="B658" s="1">
        <f>IFERROR(__xludf.DUMMYFUNCTION("""COMPUTED_VALUE"""),1.0)</f>
        <v>1</v>
      </c>
      <c r="C658" s="1" t="str">
        <f>IFERROR(__xludf.DUMMYFUNCTION("""COMPUTED_VALUE"""),"ว23103")</f>
        <v>ว23103</v>
      </c>
      <c r="D658" s="1" t="str">
        <f>IFERROR(__xludf.DUMMYFUNCTION("""COMPUTED_VALUE"""),"การออกแบบและเทคโนโลยี 3")</f>
        <v>การออกแบบและเทคโนโลยี 3</v>
      </c>
      <c r="E658" s="1">
        <f>IFERROR(__xludf.DUMMYFUNCTION("""COMPUTED_VALUE"""),0.5)</f>
        <v>0.5</v>
      </c>
      <c r="F658" s="1">
        <f>IFERROR(__xludf.DUMMYFUNCTION("""COMPUTED_VALUE"""),2569.0)</f>
        <v>2569</v>
      </c>
      <c r="G658" s="1">
        <f>IFERROR(__xludf.DUMMYFUNCTION("""COMPUTED_VALUE"""),1.0)</f>
        <v>1</v>
      </c>
      <c r="H658" s="1">
        <f>IFERROR(__xludf.DUMMYFUNCTION("""COMPUTED_VALUE"""),708.0)</f>
        <v>708</v>
      </c>
      <c r="I658" s="1" t="str">
        <f>IFERROR(__xludf.DUMMYFUNCTION("""COMPUTED_VALUE"""),"นาง")</f>
        <v>นาง</v>
      </c>
      <c r="J658" s="1" t="str">
        <f>IFERROR(__xludf.DUMMYFUNCTION("""COMPUTED_VALUE"""),"นันทิดา")</f>
        <v>นันทิดา</v>
      </c>
      <c r="K658" s="1" t="str">
        <f>IFERROR(__xludf.DUMMYFUNCTION("""COMPUTED_VALUE"""),"พิมพ์สมบูรณ์")</f>
        <v>พิมพ์สมบูรณ์</v>
      </c>
      <c r="L658" s="1" t="str">
        <f>IFERROR(__xludf.DUMMYFUNCTION("""COMPUTED_VALUE"""),"ม.3")</f>
        <v>ม.3</v>
      </c>
      <c r="M658" s="1" t="str">
        <f>IFERROR(__xludf.DUMMYFUNCTION("""COMPUTED_VALUE"""),"วิทยาศาสตร์(เทคโนโลยี)")</f>
        <v>วิทยาศาสตร์(เทคโนโลยี)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>
        <f>IFERROR(__xludf.DUMMYFUNCTION("""COMPUTED_VALUE"""),4.0)</f>
        <v>4</v>
      </c>
      <c r="B659" s="1">
        <f>IFERROR(__xludf.DUMMYFUNCTION("""COMPUTED_VALUE"""),1.0)</f>
        <v>1</v>
      </c>
      <c r="C659" s="1" t="str">
        <f>IFERROR(__xludf.DUMMYFUNCTION("""COMPUTED_VALUE"""),"ว23103")</f>
        <v>ว23103</v>
      </c>
      <c r="D659" s="1" t="str">
        <f>IFERROR(__xludf.DUMMYFUNCTION("""COMPUTED_VALUE"""),"การออกแบบและเทคโนโลยี 3")</f>
        <v>การออกแบบและเทคโนโลยี 3</v>
      </c>
      <c r="E659" s="1">
        <f>IFERROR(__xludf.DUMMYFUNCTION("""COMPUTED_VALUE"""),0.5)</f>
        <v>0.5</v>
      </c>
      <c r="F659" s="1">
        <f>IFERROR(__xludf.DUMMYFUNCTION("""COMPUTED_VALUE"""),2569.0)</f>
        <v>2569</v>
      </c>
      <c r="G659" s="1">
        <f>IFERROR(__xludf.DUMMYFUNCTION("""COMPUTED_VALUE"""),1.0)</f>
        <v>1</v>
      </c>
      <c r="H659" s="1">
        <f>IFERROR(__xludf.DUMMYFUNCTION("""COMPUTED_VALUE"""),708.0)</f>
        <v>708</v>
      </c>
      <c r="I659" s="1" t="str">
        <f>IFERROR(__xludf.DUMMYFUNCTION("""COMPUTED_VALUE"""),"นาง")</f>
        <v>นาง</v>
      </c>
      <c r="J659" s="1" t="str">
        <f>IFERROR(__xludf.DUMMYFUNCTION("""COMPUTED_VALUE"""),"นันทิดา")</f>
        <v>นันทิดา</v>
      </c>
      <c r="K659" s="1" t="str">
        <f>IFERROR(__xludf.DUMMYFUNCTION("""COMPUTED_VALUE"""),"พิมพ์สมบูรณ์")</f>
        <v>พิมพ์สมบูรณ์</v>
      </c>
      <c r="L659" s="1" t="str">
        <f>IFERROR(__xludf.DUMMYFUNCTION("""COMPUTED_VALUE"""),"ม.3")</f>
        <v>ม.3</v>
      </c>
      <c r="M659" s="1" t="str">
        <f>IFERROR(__xludf.DUMMYFUNCTION("""COMPUTED_VALUE"""),"วิทยาศาสตร์(เทคโนโลยี)")</f>
        <v>วิทยาศาสตร์(เทคโนโลยี)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>
        <f>IFERROR(__xludf.DUMMYFUNCTION("""COMPUTED_VALUE"""),5.0)</f>
        <v>5</v>
      </c>
      <c r="B660" s="1">
        <f>IFERROR(__xludf.DUMMYFUNCTION("""COMPUTED_VALUE"""),1.0)</f>
        <v>1</v>
      </c>
      <c r="C660" s="1" t="str">
        <f>IFERROR(__xludf.DUMMYFUNCTION("""COMPUTED_VALUE"""),"ว23103")</f>
        <v>ว23103</v>
      </c>
      <c r="D660" s="1" t="str">
        <f>IFERROR(__xludf.DUMMYFUNCTION("""COMPUTED_VALUE"""),"การออกแบบและเทคโนโลยี 3")</f>
        <v>การออกแบบและเทคโนโลยี 3</v>
      </c>
      <c r="E660" s="1">
        <f>IFERROR(__xludf.DUMMYFUNCTION("""COMPUTED_VALUE"""),0.5)</f>
        <v>0.5</v>
      </c>
      <c r="F660" s="1">
        <f>IFERROR(__xludf.DUMMYFUNCTION("""COMPUTED_VALUE"""),2569.0)</f>
        <v>2569</v>
      </c>
      <c r="G660" s="1">
        <f>IFERROR(__xludf.DUMMYFUNCTION("""COMPUTED_VALUE"""),1.0)</f>
        <v>1</v>
      </c>
      <c r="H660" s="1">
        <f>IFERROR(__xludf.DUMMYFUNCTION("""COMPUTED_VALUE"""),708.0)</f>
        <v>708</v>
      </c>
      <c r="I660" s="1" t="str">
        <f>IFERROR(__xludf.DUMMYFUNCTION("""COMPUTED_VALUE"""),"นาง")</f>
        <v>นาง</v>
      </c>
      <c r="J660" s="1" t="str">
        <f>IFERROR(__xludf.DUMMYFUNCTION("""COMPUTED_VALUE"""),"นันทิดา")</f>
        <v>นันทิดา</v>
      </c>
      <c r="K660" s="1" t="str">
        <f>IFERROR(__xludf.DUMMYFUNCTION("""COMPUTED_VALUE"""),"พิมพ์สมบูรณ์")</f>
        <v>พิมพ์สมบูรณ์</v>
      </c>
      <c r="L660" s="1" t="str">
        <f>IFERROR(__xludf.DUMMYFUNCTION("""COMPUTED_VALUE"""),"ม.3")</f>
        <v>ม.3</v>
      </c>
      <c r="M660" s="1" t="str">
        <f>IFERROR(__xludf.DUMMYFUNCTION("""COMPUTED_VALUE"""),"วิทยาศาสตร์(เทคโนโลยี)")</f>
        <v>วิทยาศาสตร์(เทคโนโลยี)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>
        <f>IFERROR(__xludf.DUMMYFUNCTION("""COMPUTED_VALUE"""),6.0)</f>
        <v>6</v>
      </c>
      <c r="B661" s="1">
        <f>IFERROR(__xludf.DUMMYFUNCTION("""COMPUTED_VALUE"""),1.0)</f>
        <v>1</v>
      </c>
      <c r="C661" s="1" t="str">
        <f>IFERROR(__xludf.DUMMYFUNCTION("""COMPUTED_VALUE"""),"ว23103")</f>
        <v>ว23103</v>
      </c>
      <c r="D661" s="1" t="str">
        <f>IFERROR(__xludf.DUMMYFUNCTION("""COMPUTED_VALUE"""),"การออกแบบและเทคโนโลยี 3")</f>
        <v>การออกแบบและเทคโนโลยี 3</v>
      </c>
      <c r="E661" s="1">
        <f>IFERROR(__xludf.DUMMYFUNCTION("""COMPUTED_VALUE"""),0.5)</f>
        <v>0.5</v>
      </c>
      <c r="F661" s="1">
        <f>IFERROR(__xludf.DUMMYFUNCTION("""COMPUTED_VALUE"""),2569.0)</f>
        <v>2569</v>
      </c>
      <c r="G661" s="1">
        <f>IFERROR(__xludf.DUMMYFUNCTION("""COMPUTED_VALUE"""),1.0)</f>
        <v>1</v>
      </c>
      <c r="H661" s="1">
        <f>IFERROR(__xludf.DUMMYFUNCTION("""COMPUTED_VALUE"""),708.0)</f>
        <v>708</v>
      </c>
      <c r="I661" s="1" t="str">
        <f>IFERROR(__xludf.DUMMYFUNCTION("""COMPUTED_VALUE"""),"นาง")</f>
        <v>นาง</v>
      </c>
      <c r="J661" s="1" t="str">
        <f>IFERROR(__xludf.DUMMYFUNCTION("""COMPUTED_VALUE"""),"นันทิดา")</f>
        <v>นันทิดา</v>
      </c>
      <c r="K661" s="1" t="str">
        <f>IFERROR(__xludf.DUMMYFUNCTION("""COMPUTED_VALUE"""),"พิมพ์สมบูรณ์")</f>
        <v>พิมพ์สมบูรณ์</v>
      </c>
      <c r="L661" s="1" t="str">
        <f>IFERROR(__xludf.DUMMYFUNCTION("""COMPUTED_VALUE"""),"ม.3")</f>
        <v>ม.3</v>
      </c>
      <c r="M661" s="1" t="str">
        <f>IFERROR(__xludf.DUMMYFUNCTION("""COMPUTED_VALUE"""),"วิทยาศาสตร์(เทคโนโลยี)")</f>
        <v>วิทยาศาสตร์(เทคโนโลยี)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>
        <f>IFERROR(__xludf.DUMMYFUNCTION("""COMPUTED_VALUE"""),7.0)</f>
        <v>7</v>
      </c>
      <c r="B662" s="1">
        <f>IFERROR(__xludf.DUMMYFUNCTION("""COMPUTED_VALUE"""),1.0)</f>
        <v>1</v>
      </c>
      <c r="C662" s="1" t="str">
        <f>IFERROR(__xludf.DUMMYFUNCTION("""COMPUTED_VALUE"""),"ว23103")</f>
        <v>ว23103</v>
      </c>
      <c r="D662" s="1" t="str">
        <f>IFERROR(__xludf.DUMMYFUNCTION("""COMPUTED_VALUE"""),"การออกแบบและเทคโนโลยี 3")</f>
        <v>การออกแบบและเทคโนโลยี 3</v>
      </c>
      <c r="E662" s="1">
        <f>IFERROR(__xludf.DUMMYFUNCTION("""COMPUTED_VALUE"""),0.5)</f>
        <v>0.5</v>
      </c>
      <c r="F662" s="1">
        <f>IFERROR(__xludf.DUMMYFUNCTION("""COMPUTED_VALUE"""),2569.0)</f>
        <v>2569</v>
      </c>
      <c r="G662" s="1">
        <f>IFERROR(__xludf.DUMMYFUNCTION("""COMPUTED_VALUE"""),1.0)</f>
        <v>1</v>
      </c>
      <c r="H662" s="1">
        <f>IFERROR(__xludf.DUMMYFUNCTION("""COMPUTED_VALUE"""),708.0)</f>
        <v>708</v>
      </c>
      <c r="I662" s="1" t="str">
        <f>IFERROR(__xludf.DUMMYFUNCTION("""COMPUTED_VALUE"""),"นาง")</f>
        <v>นาง</v>
      </c>
      <c r="J662" s="1" t="str">
        <f>IFERROR(__xludf.DUMMYFUNCTION("""COMPUTED_VALUE"""),"นันทิดา")</f>
        <v>นันทิดา</v>
      </c>
      <c r="K662" s="1" t="str">
        <f>IFERROR(__xludf.DUMMYFUNCTION("""COMPUTED_VALUE"""),"พิมพ์สมบูรณ์")</f>
        <v>พิมพ์สมบูรณ์</v>
      </c>
      <c r="L662" s="1" t="str">
        <f>IFERROR(__xludf.DUMMYFUNCTION("""COMPUTED_VALUE"""),"ม.3")</f>
        <v>ม.3</v>
      </c>
      <c r="M662" s="1" t="str">
        <f>IFERROR(__xludf.DUMMYFUNCTION("""COMPUTED_VALUE"""),"วิทยาศาสตร์(เทคโนโลยี)")</f>
        <v>วิทยาศาสตร์(เทคโนโลยี)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>
        <f>IFERROR(__xludf.DUMMYFUNCTION("""COMPUTED_VALUE"""),8.0)</f>
        <v>8</v>
      </c>
      <c r="B663" s="1">
        <f>IFERROR(__xludf.DUMMYFUNCTION("""COMPUTED_VALUE"""),1.0)</f>
        <v>1</v>
      </c>
      <c r="C663" s="1" t="str">
        <f>IFERROR(__xludf.DUMMYFUNCTION("""COMPUTED_VALUE"""),"ว23103")</f>
        <v>ว23103</v>
      </c>
      <c r="D663" s="1" t="str">
        <f>IFERROR(__xludf.DUMMYFUNCTION("""COMPUTED_VALUE"""),"การออกแบบและเทคโนโลยี 3")</f>
        <v>การออกแบบและเทคโนโลยี 3</v>
      </c>
      <c r="E663" s="1">
        <f>IFERROR(__xludf.DUMMYFUNCTION("""COMPUTED_VALUE"""),0.5)</f>
        <v>0.5</v>
      </c>
      <c r="F663" s="1">
        <f>IFERROR(__xludf.DUMMYFUNCTION("""COMPUTED_VALUE"""),2569.0)</f>
        <v>2569</v>
      </c>
      <c r="G663" s="1">
        <f>IFERROR(__xludf.DUMMYFUNCTION("""COMPUTED_VALUE"""),1.0)</f>
        <v>1</v>
      </c>
      <c r="H663" s="1">
        <f>IFERROR(__xludf.DUMMYFUNCTION("""COMPUTED_VALUE"""),708.0)</f>
        <v>708</v>
      </c>
      <c r="I663" s="1" t="str">
        <f>IFERROR(__xludf.DUMMYFUNCTION("""COMPUTED_VALUE"""),"นาง")</f>
        <v>นาง</v>
      </c>
      <c r="J663" s="1" t="str">
        <f>IFERROR(__xludf.DUMMYFUNCTION("""COMPUTED_VALUE"""),"นันทิดา")</f>
        <v>นันทิดา</v>
      </c>
      <c r="K663" s="1" t="str">
        <f>IFERROR(__xludf.DUMMYFUNCTION("""COMPUTED_VALUE"""),"พิมพ์สมบูรณ์")</f>
        <v>พิมพ์สมบูรณ์</v>
      </c>
      <c r="L663" s="1" t="str">
        <f>IFERROR(__xludf.DUMMYFUNCTION("""COMPUTED_VALUE"""),"ม.3")</f>
        <v>ม.3</v>
      </c>
      <c r="M663" s="1" t="str">
        <f>IFERROR(__xludf.DUMMYFUNCTION("""COMPUTED_VALUE"""),"วิทยาศาสตร์(เทคโนโลยี)")</f>
        <v>วิทยาศาสตร์(เทคโนโลยี)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>
        <f>IFERROR(__xludf.DUMMYFUNCTION("""COMPUTED_VALUE"""),1.0)</f>
        <v>1</v>
      </c>
      <c r="B664" s="1">
        <f>IFERROR(__xludf.DUMMYFUNCTION("""COMPUTED_VALUE"""),1.0)</f>
        <v>1</v>
      </c>
      <c r="C664" s="1" t="str">
        <f>IFERROR(__xludf.DUMMYFUNCTION("""COMPUTED_VALUE"""),"ว30289")</f>
        <v>ว30289</v>
      </c>
      <c r="D664" s="1" t="str">
        <f>IFERROR(__xludf.DUMMYFUNCTION("""COMPUTED_VALUE"""),"การเขียนโปรแกรมเบื้องต้น 1")</f>
        <v>การเขียนโปรแกรมเบื้องต้น 1</v>
      </c>
      <c r="E664" s="1">
        <f>IFERROR(__xludf.DUMMYFUNCTION("""COMPUTED_VALUE"""),1.0)</f>
        <v>1</v>
      </c>
      <c r="F664" s="1">
        <f>IFERROR(__xludf.DUMMYFUNCTION("""COMPUTED_VALUE"""),2569.0)</f>
        <v>2569</v>
      </c>
      <c r="G664" s="1">
        <f>IFERROR(__xludf.DUMMYFUNCTION("""COMPUTED_VALUE"""),1.0)</f>
        <v>1</v>
      </c>
      <c r="H664" s="1">
        <f>IFERROR(__xludf.DUMMYFUNCTION("""COMPUTED_VALUE"""),708.0)</f>
        <v>708</v>
      </c>
      <c r="I664" s="1" t="str">
        <f>IFERROR(__xludf.DUMMYFUNCTION("""COMPUTED_VALUE"""),"นาง")</f>
        <v>นาง</v>
      </c>
      <c r="J664" s="1" t="str">
        <f>IFERROR(__xludf.DUMMYFUNCTION("""COMPUTED_VALUE"""),"นันทิดา")</f>
        <v>นันทิดา</v>
      </c>
      <c r="K664" s="1" t="str">
        <f>IFERROR(__xludf.DUMMYFUNCTION("""COMPUTED_VALUE"""),"พิมพ์สมบูรณ์")</f>
        <v>พิมพ์สมบูรณ์</v>
      </c>
      <c r="L664" s="1" t="str">
        <f>IFERROR(__xludf.DUMMYFUNCTION("""COMPUTED_VALUE"""),"ม.6")</f>
        <v>ม.6</v>
      </c>
      <c r="M664" s="1" t="str">
        <f>IFERROR(__xludf.DUMMYFUNCTION("""COMPUTED_VALUE"""),"วิทยาศาสตร์(เทคโนโลยี)")</f>
        <v>วิทยาศาสตร์(เทคโนโลยี)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>
        <f>IFERROR(__xludf.DUMMYFUNCTION("""COMPUTED_VALUE"""),3.0)</f>
        <v>3</v>
      </c>
      <c r="B665" s="1">
        <f>IFERROR(__xludf.DUMMYFUNCTION("""COMPUTED_VALUE"""),1.0)</f>
        <v>1</v>
      </c>
      <c r="C665" s="1" t="str">
        <f>IFERROR(__xludf.DUMMYFUNCTION("""COMPUTED_VALUE"""),"ว30289")</f>
        <v>ว30289</v>
      </c>
      <c r="D665" s="1" t="str">
        <f>IFERROR(__xludf.DUMMYFUNCTION("""COMPUTED_VALUE"""),"การเขียนโปรแกรมเบื้องต้น 1")</f>
        <v>การเขียนโปรแกรมเบื้องต้น 1</v>
      </c>
      <c r="E665" s="1">
        <f>IFERROR(__xludf.DUMMYFUNCTION("""COMPUTED_VALUE"""),1.0)</f>
        <v>1</v>
      </c>
      <c r="F665" s="1">
        <f>IFERROR(__xludf.DUMMYFUNCTION("""COMPUTED_VALUE"""),2569.0)</f>
        <v>2569</v>
      </c>
      <c r="G665" s="1">
        <f>IFERROR(__xludf.DUMMYFUNCTION("""COMPUTED_VALUE"""),1.0)</f>
        <v>1</v>
      </c>
      <c r="H665" s="1">
        <f>IFERROR(__xludf.DUMMYFUNCTION("""COMPUTED_VALUE"""),708.0)</f>
        <v>708</v>
      </c>
      <c r="I665" s="1" t="str">
        <f>IFERROR(__xludf.DUMMYFUNCTION("""COMPUTED_VALUE"""),"นาง")</f>
        <v>นาง</v>
      </c>
      <c r="J665" s="1" t="str">
        <f>IFERROR(__xludf.DUMMYFUNCTION("""COMPUTED_VALUE"""),"นันทิดา")</f>
        <v>นันทิดา</v>
      </c>
      <c r="K665" s="1" t="str">
        <f>IFERROR(__xludf.DUMMYFUNCTION("""COMPUTED_VALUE"""),"พิมพ์สมบูรณ์")</f>
        <v>พิมพ์สมบูรณ์</v>
      </c>
      <c r="L665" s="1" t="str">
        <f>IFERROR(__xludf.DUMMYFUNCTION("""COMPUTED_VALUE"""),"ม.6")</f>
        <v>ม.6</v>
      </c>
      <c r="M665" s="1" t="str">
        <f>IFERROR(__xludf.DUMMYFUNCTION("""COMPUTED_VALUE"""),"วิทยาศาสตร์(เทคโนโลยี)")</f>
        <v>วิทยาศาสตร์(เทคโนโลยี)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>
        <f>IFERROR(__xludf.DUMMYFUNCTION("""COMPUTED_VALUE"""),5.0)</f>
        <v>5</v>
      </c>
      <c r="B666" s="1">
        <f>IFERROR(__xludf.DUMMYFUNCTION("""COMPUTED_VALUE"""),1.0)</f>
        <v>1</v>
      </c>
      <c r="C666" s="1" t="str">
        <f>IFERROR(__xludf.DUMMYFUNCTION("""COMPUTED_VALUE"""),"ว30289")</f>
        <v>ว30289</v>
      </c>
      <c r="D666" s="1" t="str">
        <f>IFERROR(__xludf.DUMMYFUNCTION("""COMPUTED_VALUE"""),"การเขียนโปรแกรมเบื้องต้น 1")</f>
        <v>การเขียนโปรแกรมเบื้องต้น 1</v>
      </c>
      <c r="E666" s="1">
        <f>IFERROR(__xludf.DUMMYFUNCTION("""COMPUTED_VALUE"""),1.0)</f>
        <v>1</v>
      </c>
      <c r="F666" s="1">
        <f>IFERROR(__xludf.DUMMYFUNCTION("""COMPUTED_VALUE"""),2569.0)</f>
        <v>2569</v>
      </c>
      <c r="G666" s="1">
        <f>IFERROR(__xludf.DUMMYFUNCTION("""COMPUTED_VALUE"""),1.0)</f>
        <v>1</v>
      </c>
      <c r="H666" s="1">
        <f>IFERROR(__xludf.DUMMYFUNCTION("""COMPUTED_VALUE"""),708.0)</f>
        <v>708</v>
      </c>
      <c r="I666" s="1" t="str">
        <f>IFERROR(__xludf.DUMMYFUNCTION("""COMPUTED_VALUE"""),"นาง")</f>
        <v>นาง</v>
      </c>
      <c r="J666" s="1" t="str">
        <f>IFERROR(__xludf.DUMMYFUNCTION("""COMPUTED_VALUE"""),"นันทิดา")</f>
        <v>นันทิดา</v>
      </c>
      <c r="K666" s="1" t="str">
        <f>IFERROR(__xludf.DUMMYFUNCTION("""COMPUTED_VALUE"""),"พิมพ์สมบูรณ์")</f>
        <v>พิมพ์สมบูรณ์</v>
      </c>
      <c r="L666" s="1" t="str">
        <f>IFERROR(__xludf.DUMMYFUNCTION("""COMPUTED_VALUE"""),"ม.6")</f>
        <v>ม.6</v>
      </c>
      <c r="M666" s="1" t="str">
        <f>IFERROR(__xludf.DUMMYFUNCTION("""COMPUTED_VALUE"""),"วิทยาศาสตร์(เทคโนโลยี)")</f>
        <v>วิทยาศาสตร์(เทคโนโลยี)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>
        <f>IFERROR(__xludf.DUMMYFUNCTION("""COMPUTED_VALUE"""),7.0)</f>
        <v>7</v>
      </c>
      <c r="B667" s="1">
        <f>IFERROR(__xludf.DUMMYFUNCTION("""COMPUTED_VALUE"""),1.0)</f>
        <v>1</v>
      </c>
      <c r="C667" s="1" t="str">
        <f>IFERROR(__xludf.DUMMYFUNCTION("""COMPUTED_VALUE"""),"ว30289")</f>
        <v>ว30289</v>
      </c>
      <c r="D667" s="1" t="str">
        <f>IFERROR(__xludf.DUMMYFUNCTION("""COMPUTED_VALUE"""),"การเขียนโปรแกรมเบื้องต้น 1")</f>
        <v>การเขียนโปรแกรมเบื้องต้น 1</v>
      </c>
      <c r="E667" s="1">
        <f>IFERROR(__xludf.DUMMYFUNCTION("""COMPUTED_VALUE"""),1.0)</f>
        <v>1</v>
      </c>
      <c r="F667" s="1">
        <f>IFERROR(__xludf.DUMMYFUNCTION("""COMPUTED_VALUE"""),2569.0)</f>
        <v>2569</v>
      </c>
      <c r="G667" s="1">
        <f>IFERROR(__xludf.DUMMYFUNCTION("""COMPUTED_VALUE"""),1.0)</f>
        <v>1</v>
      </c>
      <c r="H667" s="1">
        <f>IFERROR(__xludf.DUMMYFUNCTION("""COMPUTED_VALUE"""),708.0)</f>
        <v>708</v>
      </c>
      <c r="I667" s="1" t="str">
        <f>IFERROR(__xludf.DUMMYFUNCTION("""COMPUTED_VALUE"""),"นาง")</f>
        <v>นาง</v>
      </c>
      <c r="J667" s="1" t="str">
        <f>IFERROR(__xludf.DUMMYFUNCTION("""COMPUTED_VALUE"""),"นันทิดา")</f>
        <v>นันทิดา</v>
      </c>
      <c r="K667" s="1" t="str">
        <f>IFERROR(__xludf.DUMMYFUNCTION("""COMPUTED_VALUE"""),"พิมพ์สมบูรณ์")</f>
        <v>พิมพ์สมบูรณ์</v>
      </c>
      <c r="L667" s="1" t="str">
        <f>IFERROR(__xludf.DUMMYFUNCTION("""COMPUTED_VALUE"""),"ม.6")</f>
        <v>ม.6</v>
      </c>
      <c r="M667" s="1" t="str">
        <f>IFERROR(__xludf.DUMMYFUNCTION("""COMPUTED_VALUE"""),"วิทยาศาสตร์(เทคโนโลยี)")</f>
        <v>วิทยาศาสตร์(เทคโนโลยี)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>
        <f>IFERROR(__xludf.DUMMYFUNCTION("""COMPUTED_VALUE"""),9.0)</f>
        <v>9</v>
      </c>
      <c r="B668" s="1">
        <f>IFERROR(__xludf.DUMMYFUNCTION("""COMPUTED_VALUE"""),1.0)</f>
        <v>1</v>
      </c>
      <c r="C668" s="1" t="str">
        <f>IFERROR(__xludf.DUMMYFUNCTION("""COMPUTED_VALUE"""),"ส30247")</f>
        <v>ส30247</v>
      </c>
      <c r="D668" s="1" t="str">
        <f>IFERROR(__xludf.DUMMYFUNCTION("""COMPUTED_VALUE"""),"การป้องกันการทุจริต 1")</f>
        <v>การป้องกันการทุจริต 1</v>
      </c>
      <c r="E668" s="1">
        <f>IFERROR(__xludf.DUMMYFUNCTION("""COMPUTED_VALUE"""),0.5)</f>
        <v>0.5</v>
      </c>
      <c r="F668" s="1">
        <f>IFERROR(__xludf.DUMMYFUNCTION("""COMPUTED_VALUE"""),2569.0)</f>
        <v>2569</v>
      </c>
      <c r="G668" s="1">
        <f>IFERROR(__xludf.DUMMYFUNCTION("""COMPUTED_VALUE"""),1.0)</f>
        <v>1</v>
      </c>
      <c r="H668" s="1">
        <f>IFERROR(__xludf.DUMMYFUNCTION("""COMPUTED_VALUE"""),708.0)</f>
        <v>708</v>
      </c>
      <c r="I668" s="1" t="str">
        <f>IFERROR(__xludf.DUMMYFUNCTION("""COMPUTED_VALUE"""),"นาง")</f>
        <v>นาง</v>
      </c>
      <c r="J668" s="1" t="str">
        <f>IFERROR(__xludf.DUMMYFUNCTION("""COMPUTED_VALUE"""),"นันทิดา")</f>
        <v>นันทิดา</v>
      </c>
      <c r="K668" s="1" t="str">
        <f>IFERROR(__xludf.DUMMYFUNCTION("""COMPUTED_VALUE"""),"พิมพ์สมบูรณ์")</f>
        <v>พิมพ์สมบูรณ์</v>
      </c>
      <c r="L668" s="1" t="str">
        <f>IFERROR(__xludf.DUMMYFUNCTION("""COMPUTED_VALUE"""),"ม.4")</f>
        <v>ม.4</v>
      </c>
      <c r="M668" s="1" t="str">
        <f>IFERROR(__xludf.DUMMYFUNCTION("""COMPUTED_VALUE"""),"วิทยาศาสตร์(เทคโนโลยี)")</f>
        <v>วิทยาศาสตร์(เทคโนโลยี)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>
        <f>IFERROR(__xludf.DUMMYFUNCTION("""COMPUTED_VALUE"""),1.0)</f>
        <v>1</v>
      </c>
      <c r="B669" s="1">
        <f>IFERROR(__xludf.DUMMYFUNCTION("""COMPUTED_VALUE"""),1.0)</f>
        <v>1</v>
      </c>
      <c r="C669" s="1" t="str">
        <f>IFERROR(__xludf.DUMMYFUNCTION("""COMPUTED_VALUE"""),"ว20224")</f>
        <v>ว20224</v>
      </c>
      <c r="D669" s="1" t="str">
        <f>IFERROR(__xludf.DUMMYFUNCTION("""COMPUTED_VALUE"""),"Google SketchUp(Model 3D)")</f>
        <v>Google SketchUp(Model 3D)</v>
      </c>
      <c r="E669" s="1">
        <f>IFERROR(__xludf.DUMMYFUNCTION("""COMPUTED_VALUE"""),1.0)</f>
        <v>1</v>
      </c>
      <c r="F669" s="1">
        <f>IFERROR(__xludf.DUMMYFUNCTION("""COMPUTED_VALUE"""),2569.0)</f>
        <v>2569</v>
      </c>
      <c r="G669" s="1">
        <f>IFERROR(__xludf.DUMMYFUNCTION("""COMPUTED_VALUE"""),1.0)</f>
        <v>1</v>
      </c>
      <c r="H669" s="1">
        <f>IFERROR(__xludf.DUMMYFUNCTION("""COMPUTED_VALUE"""),712.0)</f>
        <v>712</v>
      </c>
      <c r="I669" s="1" t="str">
        <f>IFERROR(__xludf.DUMMYFUNCTION("""COMPUTED_VALUE"""),"นาง")</f>
        <v>นาง</v>
      </c>
      <c r="J669" s="1" t="str">
        <f>IFERROR(__xludf.DUMMYFUNCTION("""COMPUTED_VALUE"""),"สกาวรัตน์")</f>
        <v>สกาวรัตน์</v>
      </c>
      <c r="K669" s="1" t="str">
        <f>IFERROR(__xludf.DUMMYFUNCTION("""COMPUTED_VALUE"""),"หนูสลุง")</f>
        <v>หนูสลุง</v>
      </c>
      <c r="L669" s="1" t="str">
        <f>IFERROR(__xludf.DUMMYFUNCTION("""COMPUTED_VALUE"""),"ม.2")</f>
        <v>ม.2</v>
      </c>
      <c r="M669" s="1" t="str">
        <f>IFERROR(__xludf.DUMMYFUNCTION("""COMPUTED_VALUE"""),"วิทยาศาสตร์(เทคโนโลยี)")</f>
        <v>วิทยาศาสตร์(เทคโนโลยี)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>
        <f>IFERROR(__xludf.DUMMYFUNCTION("""COMPUTED_VALUE"""),1.0)</f>
        <v>1</v>
      </c>
      <c r="B670" s="1">
        <f>IFERROR(__xludf.DUMMYFUNCTION("""COMPUTED_VALUE"""),1.0)</f>
        <v>1</v>
      </c>
      <c r="C670" s="1" t="str">
        <f>IFERROR(__xludf.DUMMYFUNCTION("""COMPUTED_VALUE"""),"ว22103")</f>
        <v>ว22103</v>
      </c>
      <c r="D670" s="1" t="str">
        <f>IFERROR(__xludf.DUMMYFUNCTION("""COMPUTED_VALUE"""),"การออกแบบและเทคโนโลยี2")</f>
        <v>การออกแบบและเทคโนโลยี2</v>
      </c>
      <c r="E670" s="1">
        <f>IFERROR(__xludf.DUMMYFUNCTION("""COMPUTED_VALUE"""),0.5)</f>
        <v>0.5</v>
      </c>
      <c r="F670" s="1">
        <f>IFERROR(__xludf.DUMMYFUNCTION("""COMPUTED_VALUE"""),2569.0)</f>
        <v>2569</v>
      </c>
      <c r="G670" s="1">
        <f>IFERROR(__xludf.DUMMYFUNCTION("""COMPUTED_VALUE"""),1.0)</f>
        <v>1</v>
      </c>
      <c r="H670" s="1">
        <f>IFERROR(__xludf.DUMMYFUNCTION("""COMPUTED_VALUE"""),712.0)</f>
        <v>712</v>
      </c>
      <c r="I670" s="1" t="str">
        <f>IFERROR(__xludf.DUMMYFUNCTION("""COMPUTED_VALUE"""),"นาง")</f>
        <v>นาง</v>
      </c>
      <c r="J670" s="1" t="str">
        <f>IFERROR(__xludf.DUMMYFUNCTION("""COMPUTED_VALUE"""),"สกาวรัตน์")</f>
        <v>สกาวรัตน์</v>
      </c>
      <c r="K670" s="1" t="str">
        <f>IFERROR(__xludf.DUMMYFUNCTION("""COMPUTED_VALUE"""),"หนูสลุง")</f>
        <v>หนูสลุง</v>
      </c>
      <c r="L670" s="1" t="str">
        <f>IFERROR(__xludf.DUMMYFUNCTION("""COMPUTED_VALUE"""),"ม.2")</f>
        <v>ม.2</v>
      </c>
      <c r="M670" s="1" t="str">
        <f>IFERROR(__xludf.DUMMYFUNCTION("""COMPUTED_VALUE"""),"วิทยาศาสตร์(เทคโนโลยี)")</f>
        <v>วิทยาศาสตร์(เทคโนโลยี)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>
        <f>IFERROR(__xludf.DUMMYFUNCTION("""COMPUTED_VALUE"""),3.0)</f>
        <v>3</v>
      </c>
      <c r="B671" s="1">
        <f>IFERROR(__xludf.DUMMYFUNCTION("""COMPUTED_VALUE"""),1.0)</f>
        <v>1</v>
      </c>
      <c r="C671" s="1" t="str">
        <f>IFERROR(__xludf.DUMMYFUNCTION("""COMPUTED_VALUE"""),"ว22103")</f>
        <v>ว22103</v>
      </c>
      <c r="D671" s="1" t="str">
        <f>IFERROR(__xludf.DUMMYFUNCTION("""COMPUTED_VALUE"""),"การออกแบบและเทคโนโลยี2")</f>
        <v>การออกแบบและเทคโนโลยี2</v>
      </c>
      <c r="E671" s="1">
        <f>IFERROR(__xludf.DUMMYFUNCTION("""COMPUTED_VALUE"""),0.5)</f>
        <v>0.5</v>
      </c>
      <c r="F671" s="1">
        <f>IFERROR(__xludf.DUMMYFUNCTION("""COMPUTED_VALUE"""),2569.0)</f>
        <v>2569</v>
      </c>
      <c r="G671" s="1">
        <f>IFERROR(__xludf.DUMMYFUNCTION("""COMPUTED_VALUE"""),1.0)</f>
        <v>1</v>
      </c>
      <c r="H671" s="1">
        <f>IFERROR(__xludf.DUMMYFUNCTION("""COMPUTED_VALUE"""),712.0)</f>
        <v>712</v>
      </c>
      <c r="I671" s="1" t="str">
        <f>IFERROR(__xludf.DUMMYFUNCTION("""COMPUTED_VALUE"""),"นาง")</f>
        <v>นาง</v>
      </c>
      <c r="J671" s="1" t="str">
        <f>IFERROR(__xludf.DUMMYFUNCTION("""COMPUTED_VALUE"""),"สกาวรัตน์")</f>
        <v>สกาวรัตน์</v>
      </c>
      <c r="K671" s="1" t="str">
        <f>IFERROR(__xludf.DUMMYFUNCTION("""COMPUTED_VALUE"""),"หนูสลุง")</f>
        <v>หนูสลุง</v>
      </c>
      <c r="L671" s="1" t="str">
        <f>IFERROR(__xludf.DUMMYFUNCTION("""COMPUTED_VALUE"""),"ม.2")</f>
        <v>ม.2</v>
      </c>
      <c r="M671" s="1" t="str">
        <f>IFERROR(__xludf.DUMMYFUNCTION("""COMPUTED_VALUE"""),"วิทยาศาสตร์(เทคโนโลยี)")</f>
        <v>วิทยาศาสตร์(เทคโนโลยี)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>
        <f>IFERROR(__xludf.DUMMYFUNCTION("""COMPUTED_VALUE"""),5.0)</f>
        <v>5</v>
      </c>
      <c r="B672" s="1">
        <f>IFERROR(__xludf.DUMMYFUNCTION("""COMPUTED_VALUE"""),1.0)</f>
        <v>1</v>
      </c>
      <c r="C672" s="1" t="str">
        <f>IFERROR(__xludf.DUMMYFUNCTION("""COMPUTED_VALUE"""),"ว22103")</f>
        <v>ว22103</v>
      </c>
      <c r="D672" s="1" t="str">
        <f>IFERROR(__xludf.DUMMYFUNCTION("""COMPUTED_VALUE"""),"การออกแบบและเทคโนโลยี2")</f>
        <v>การออกแบบและเทคโนโลยี2</v>
      </c>
      <c r="E672" s="1">
        <f>IFERROR(__xludf.DUMMYFUNCTION("""COMPUTED_VALUE"""),0.5)</f>
        <v>0.5</v>
      </c>
      <c r="F672" s="1">
        <f>IFERROR(__xludf.DUMMYFUNCTION("""COMPUTED_VALUE"""),2569.0)</f>
        <v>2569</v>
      </c>
      <c r="G672" s="1">
        <f>IFERROR(__xludf.DUMMYFUNCTION("""COMPUTED_VALUE"""),1.0)</f>
        <v>1</v>
      </c>
      <c r="H672" s="1">
        <f>IFERROR(__xludf.DUMMYFUNCTION("""COMPUTED_VALUE"""),712.0)</f>
        <v>712</v>
      </c>
      <c r="I672" s="1" t="str">
        <f>IFERROR(__xludf.DUMMYFUNCTION("""COMPUTED_VALUE"""),"นาง")</f>
        <v>นาง</v>
      </c>
      <c r="J672" s="1" t="str">
        <f>IFERROR(__xludf.DUMMYFUNCTION("""COMPUTED_VALUE"""),"สกาวรัตน์")</f>
        <v>สกาวรัตน์</v>
      </c>
      <c r="K672" s="1" t="str">
        <f>IFERROR(__xludf.DUMMYFUNCTION("""COMPUTED_VALUE"""),"หนูสลุง")</f>
        <v>หนูสลุง</v>
      </c>
      <c r="L672" s="1" t="str">
        <f>IFERROR(__xludf.DUMMYFUNCTION("""COMPUTED_VALUE"""),"ม.2")</f>
        <v>ม.2</v>
      </c>
      <c r="M672" s="1" t="str">
        <f>IFERROR(__xludf.DUMMYFUNCTION("""COMPUTED_VALUE"""),"วิทยาศาสตร์(เทคโนโลยี)")</f>
        <v>วิทยาศาสตร์(เทคโนโลยี)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>
        <f>IFERROR(__xludf.DUMMYFUNCTION("""COMPUTED_VALUE"""),7.0)</f>
        <v>7</v>
      </c>
      <c r="B673" s="1">
        <f>IFERROR(__xludf.DUMMYFUNCTION("""COMPUTED_VALUE"""),1.0)</f>
        <v>1</v>
      </c>
      <c r="C673" s="1" t="str">
        <f>IFERROR(__xludf.DUMMYFUNCTION("""COMPUTED_VALUE"""),"ว22103")</f>
        <v>ว22103</v>
      </c>
      <c r="D673" s="1" t="str">
        <f>IFERROR(__xludf.DUMMYFUNCTION("""COMPUTED_VALUE"""),"การออกแบบและเทคโนโลยี2")</f>
        <v>การออกแบบและเทคโนโลยี2</v>
      </c>
      <c r="E673" s="1">
        <f>IFERROR(__xludf.DUMMYFUNCTION("""COMPUTED_VALUE"""),0.5)</f>
        <v>0.5</v>
      </c>
      <c r="F673" s="1">
        <f>IFERROR(__xludf.DUMMYFUNCTION("""COMPUTED_VALUE"""),2569.0)</f>
        <v>2569</v>
      </c>
      <c r="G673" s="1">
        <f>IFERROR(__xludf.DUMMYFUNCTION("""COMPUTED_VALUE"""),1.0)</f>
        <v>1</v>
      </c>
      <c r="H673" s="1">
        <f>IFERROR(__xludf.DUMMYFUNCTION("""COMPUTED_VALUE"""),712.0)</f>
        <v>712</v>
      </c>
      <c r="I673" s="1" t="str">
        <f>IFERROR(__xludf.DUMMYFUNCTION("""COMPUTED_VALUE"""),"นาง")</f>
        <v>นาง</v>
      </c>
      <c r="J673" s="1" t="str">
        <f>IFERROR(__xludf.DUMMYFUNCTION("""COMPUTED_VALUE"""),"สกาวรัตน์")</f>
        <v>สกาวรัตน์</v>
      </c>
      <c r="K673" s="1" t="str">
        <f>IFERROR(__xludf.DUMMYFUNCTION("""COMPUTED_VALUE"""),"หนูสลุง")</f>
        <v>หนูสลุง</v>
      </c>
      <c r="L673" s="1" t="str">
        <f>IFERROR(__xludf.DUMMYFUNCTION("""COMPUTED_VALUE"""),"ม.2")</f>
        <v>ม.2</v>
      </c>
      <c r="M673" s="1" t="str">
        <f>IFERROR(__xludf.DUMMYFUNCTION("""COMPUTED_VALUE"""),"วิทยาศาสตร์(เทคโนโลยี)")</f>
        <v>วิทยาศาสตร์(เทคโนโลยี)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>
        <f>IFERROR(__xludf.DUMMYFUNCTION("""COMPUTED_VALUE"""),3.0)</f>
        <v>3</v>
      </c>
      <c r="B674" s="1">
        <f>IFERROR(__xludf.DUMMYFUNCTION("""COMPUTED_VALUE"""),1.0)</f>
        <v>1</v>
      </c>
      <c r="C674" s="1" t="str">
        <f>IFERROR(__xludf.DUMMYFUNCTION("""COMPUTED_VALUE"""),"ว30287")</f>
        <v>ว30287</v>
      </c>
      <c r="D674" s="1" t="str">
        <f>IFERROR(__xludf.DUMMYFUNCTION("""COMPUTED_VALUE"""),"คอมพิวเตอร์กราฟิก 1")</f>
        <v>คอมพิวเตอร์กราฟิก 1</v>
      </c>
      <c r="E674" s="1">
        <f>IFERROR(__xludf.DUMMYFUNCTION("""COMPUTED_VALUE"""),1.0)</f>
        <v>1</v>
      </c>
      <c r="F674" s="1">
        <f>IFERROR(__xludf.DUMMYFUNCTION("""COMPUTED_VALUE"""),2569.0)</f>
        <v>2569</v>
      </c>
      <c r="G674" s="1">
        <f>IFERROR(__xludf.DUMMYFUNCTION("""COMPUTED_VALUE"""),1.0)</f>
        <v>1</v>
      </c>
      <c r="H674" s="1">
        <f>IFERROR(__xludf.DUMMYFUNCTION("""COMPUTED_VALUE"""),712.0)</f>
        <v>712</v>
      </c>
      <c r="I674" s="1" t="str">
        <f>IFERROR(__xludf.DUMMYFUNCTION("""COMPUTED_VALUE"""),"นาง")</f>
        <v>นาง</v>
      </c>
      <c r="J674" s="1" t="str">
        <f>IFERROR(__xludf.DUMMYFUNCTION("""COMPUTED_VALUE"""),"สกาวรัตน์")</f>
        <v>สกาวรัตน์</v>
      </c>
      <c r="K674" s="1" t="str">
        <f>IFERROR(__xludf.DUMMYFUNCTION("""COMPUTED_VALUE"""),"หนูสลุง")</f>
        <v>หนูสลุง</v>
      </c>
      <c r="L674" s="1" t="str">
        <f>IFERROR(__xludf.DUMMYFUNCTION("""COMPUTED_VALUE"""),"ม.5")</f>
        <v>ม.5</v>
      </c>
      <c r="M674" s="1" t="str">
        <f>IFERROR(__xludf.DUMMYFUNCTION("""COMPUTED_VALUE"""),"วิทยาศาสตร์(เทคโนโลยี)")</f>
        <v>วิทยาศาสตร์(เทคโนโลยี)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>
        <f>IFERROR(__xludf.DUMMYFUNCTION("""COMPUTED_VALUE"""),5.0)</f>
        <v>5</v>
      </c>
      <c r="B675" s="1">
        <f>IFERROR(__xludf.DUMMYFUNCTION("""COMPUTED_VALUE"""),1.0)</f>
        <v>1</v>
      </c>
      <c r="C675" s="1" t="str">
        <f>IFERROR(__xludf.DUMMYFUNCTION("""COMPUTED_VALUE"""),"ว30287")</f>
        <v>ว30287</v>
      </c>
      <c r="D675" s="1" t="str">
        <f>IFERROR(__xludf.DUMMYFUNCTION("""COMPUTED_VALUE"""),"คอมพิวเตอร์กราฟิก 1")</f>
        <v>คอมพิวเตอร์กราฟิก 1</v>
      </c>
      <c r="E675" s="1">
        <f>IFERROR(__xludf.DUMMYFUNCTION("""COMPUTED_VALUE"""),1.0)</f>
        <v>1</v>
      </c>
      <c r="F675" s="1">
        <f>IFERROR(__xludf.DUMMYFUNCTION("""COMPUTED_VALUE"""),2569.0)</f>
        <v>2569</v>
      </c>
      <c r="G675" s="1">
        <f>IFERROR(__xludf.DUMMYFUNCTION("""COMPUTED_VALUE"""),1.0)</f>
        <v>1</v>
      </c>
      <c r="H675" s="1">
        <f>IFERROR(__xludf.DUMMYFUNCTION("""COMPUTED_VALUE"""),712.0)</f>
        <v>712</v>
      </c>
      <c r="I675" s="1" t="str">
        <f>IFERROR(__xludf.DUMMYFUNCTION("""COMPUTED_VALUE"""),"นาง")</f>
        <v>นาง</v>
      </c>
      <c r="J675" s="1" t="str">
        <f>IFERROR(__xludf.DUMMYFUNCTION("""COMPUTED_VALUE"""),"สกาวรัตน์")</f>
        <v>สกาวรัตน์</v>
      </c>
      <c r="K675" s="1" t="str">
        <f>IFERROR(__xludf.DUMMYFUNCTION("""COMPUTED_VALUE"""),"หนูสลุง")</f>
        <v>หนูสลุง</v>
      </c>
      <c r="L675" s="1" t="str">
        <f>IFERROR(__xludf.DUMMYFUNCTION("""COMPUTED_VALUE"""),"ม.5")</f>
        <v>ม.5</v>
      </c>
      <c r="M675" s="1" t="str">
        <f>IFERROR(__xludf.DUMMYFUNCTION("""COMPUTED_VALUE"""),"วิทยาศาสตร์(เทคโนโลยี)")</f>
        <v>วิทยาศาสตร์(เทคโนโลยี)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>
        <f>IFERROR(__xludf.DUMMYFUNCTION("""COMPUTED_VALUE"""),7.0)</f>
        <v>7</v>
      </c>
      <c r="B676" s="1">
        <f>IFERROR(__xludf.DUMMYFUNCTION("""COMPUTED_VALUE"""),1.0)</f>
        <v>1</v>
      </c>
      <c r="C676" s="1" t="str">
        <f>IFERROR(__xludf.DUMMYFUNCTION("""COMPUTED_VALUE"""),"ว30287")</f>
        <v>ว30287</v>
      </c>
      <c r="D676" s="1" t="str">
        <f>IFERROR(__xludf.DUMMYFUNCTION("""COMPUTED_VALUE"""),"คอมพิวเตอร์กราฟิก 1")</f>
        <v>คอมพิวเตอร์กราฟิก 1</v>
      </c>
      <c r="E676" s="1">
        <f>IFERROR(__xludf.DUMMYFUNCTION("""COMPUTED_VALUE"""),1.0)</f>
        <v>1</v>
      </c>
      <c r="F676" s="1">
        <f>IFERROR(__xludf.DUMMYFUNCTION("""COMPUTED_VALUE"""),2569.0)</f>
        <v>2569</v>
      </c>
      <c r="G676" s="1">
        <f>IFERROR(__xludf.DUMMYFUNCTION("""COMPUTED_VALUE"""),1.0)</f>
        <v>1</v>
      </c>
      <c r="H676" s="1">
        <f>IFERROR(__xludf.DUMMYFUNCTION("""COMPUTED_VALUE"""),712.0)</f>
        <v>712</v>
      </c>
      <c r="I676" s="1" t="str">
        <f>IFERROR(__xludf.DUMMYFUNCTION("""COMPUTED_VALUE"""),"นาง")</f>
        <v>นาง</v>
      </c>
      <c r="J676" s="1" t="str">
        <f>IFERROR(__xludf.DUMMYFUNCTION("""COMPUTED_VALUE"""),"สกาวรัตน์")</f>
        <v>สกาวรัตน์</v>
      </c>
      <c r="K676" s="1" t="str">
        <f>IFERROR(__xludf.DUMMYFUNCTION("""COMPUTED_VALUE"""),"หนูสลุง")</f>
        <v>หนูสลุง</v>
      </c>
      <c r="L676" s="1" t="str">
        <f>IFERROR(__xludf.DUMMYFUNCTION("""COMPUTED_VALUE"""),"ม.5")</f>
        <v>ม.5</v>
      </c>
      <c r="M676" s="1" t="str">
        <f>IFERROR(__xludf.DUMMYFUNCTION("""COMPUTED_VALUE"""),"วิทยาศาสตร์(เทคโนโลยี)")</f>
        <v>วิทยาศาสตร์(เทคโนโลยี)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>
        <f>IFERROR(__xludf.DUMMYFUNCTION("""COMPUTED_VALUE"""),9.0)</f>
        <v>9</v>
      </c>
      <c r="B677" s="1">
        <f>IFERROR(__xludf.DUMMYFUNCTION("""COMPUTED_VALUE"""),1.0)</f>
        <v>1</v>
      </c>
      <c r="C677" s="1" t="str">
        <f>IFERROR(__xludf.DUMMYFUNCTION("""COMPUTED_VALUE"""),"ว30287")</f>
        <v>ว30287</v>
      </c>
      <c r="D677" s="1" t="str">
        <f>IFERROR(__xludf.DUMMYFUNCTION("""COMPUTED_VALUE"""),"คอมพิวเตอร์กราฟิก 1")</f>
        <v>คอมพิวเตอร์กราฟิก 1</v>
      </c>
      <c r="E677" s="1">
        <f>IFERROR(__xludf.DUMMYFUNCTION("""COMPUTED_VALUE"""),1.0)</f>
        <v>1</v>
      </c>
      <c r="F677" s="1">
        <f>IFERROR(__xludf.DUMMYFUNCTION("""COMPUTED_VALUE"""),2569.0)</f>
        <v>2569</v>
      </c>
      <c r="G677" s="1">
        <f>IFERROR(__xludf.DUMMYFUNCTION("""COMPUTED_VALUE"""),1.0)</f>
        <v>1</v>
      </c>
      <c r="H677" s="1">
        <f>IFERROR(__xludf.DUMMYFUNCTION("""COMPUTED_VALUE"""),712.0)</f>
        <v>712</v>
      </c>
      <c r="I677" s="1" t="str">
        <f>IFERROR(__xludf.DUMMYFUNCTION("""COMPUTED_VALUE"""),"นาง")</f>
        <v>นาง</v>
      </c>
      <c r="J677" s="1" t="str">
        <f>IFERROR(__xludf.DUMMYFUNCTION("""COMPUTED_VALUE"""),"สกาวรัตน์")</f>
        <v>สกาวรัตน์</v>
      </c>
      <c r="K677" s="1" t="str">
        <f>IFERROR(__xludf.DUMMYFUNCTION("""COMPUTED_VALUE"""),"หนูสลุง")</f>
        <v>หนูสลุง</v>
      </c>
      <c r="L677" s="1" t="str">
        <f>IFERROR(__xludf.DUMMYFUNCTION("""COMPUTED_VALUE"""),"ม.5")</f>
        <v>ม.5</v>
      </c>
      <c r="M677" s="1" t="str">
        <f>IFERROR(__xludf.DUMMYFUNCTION("""COMPUTED_VALUE"""),"วิทยาศาสตร์(เทคโนโลยี)")</f>
        <v>วิทยาศาสตร์(เทคโนโลยี)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>
        <f>IFERROR(__xludf.DUMMYFUNCTION("""COMPUTED_VALUE"""),11.0)</f>
        <v>11</v>
      </c>
      <c r="B678" s="1">
        <f>IFERROR(__xludf.DUMMYFUNCTION("""COMPUTED_VALUE"""),1.0)</f>
        <v>1</v>
      </c>
      <c r="C678" s="1" t="str">
        <f>IFERROR(__xludf.DUMMYFUNCTION("""COMPUTED_VALUE"""),"ว30287")</f>
        <v>ว30287</v>
      </c>
      <c r="D678" s="1" t="str">
        <f>IFERROR(__xludf.DUMMYFUNCTION("""COMPUTED_VALUE"""),"คอมพิวเตอร์กราฟิก 1")</f>
        <v>คอมพิวเตอร์กราฟิก 1</v>
      </c>
      <c r="E678" s="1">
        <f>IFERROR(__xludf.DUMMYFUNCTION("""COMPUTED_VALUE"""),1.0)</f>
        <v>1</v>
      </c>
      <c r="F678" s="1">
        <f>IFERROR(__xludf.DUMMYFUNCTION("""COMPUTED_VALUE"""),2569.0)</f>
        <v>2569</v>
      </c>
      <c r="G678" s="1">
        <f>IFERROR(__xludf.DUMMYFUNCTION("""COMPUTED_VALUE"""),1.0)</f>
        <v>1</v>
      </c>
      <c r="H678" s="1">
        <f>IFERROR(__xludf.DUMMYFUNCTION("""COMPUTED_VALUE"""),712.0)</f>
        <v>712</v>
      </c>
      <c r="I678" s="1" t="str">
        <f>IFERROR(__xludf.DUMMYFUNCTION("""COMPUTED_VALUE"""),"นาง")</f>
        <v>นาง</v>
      </c>
      <c r="J678" s="1" t="str">
        <f>IFERROR(__xludf.DUMMYFUNCTION("""COMPUTED_VALUE"""),"สกาวรัตน์")</f>
        <v>สกาวรัตน์</v>
      </c>
      <c r="K678" s="1" t="str">
        <f>IFERROR(__xludf.DUMMYFUNCTION("""COMPUTED_VALUE"""),"หนูสลุง")</f>
        <v>หนูสลุง</v>
      </c>
      <c r="L678" s="1" t="str">
        <f>IFERROR(__xludf.DUMMYFUNCTION("""COMPUTED_VALUE"""),"ม.5")</f>
        <v>ม.5</v>
      </c>
      <c r="M678" s="1" t="str">
        <f>IFERROR(__xludf.DUMMYFUNCTION("""COMPUTED_VALUE"""),"วิทยาศาสตร์(เทคโนโลยี)")</f>
        <v>วิทยาศาสตร์(เทคโนโลยี)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>
        <f>IFERROR(__xludf.DUMMYFUNCTION("""COMPUTED_VALUE"""),3.0)</f>
        <v>3</v>
      </c>
      <c r="B679" s="1">
        <f>IFERROR(__xludf.DUMMYFUNCTION("""COMPUTED_VALUE"""),2.0)</f>
        <v>2</v>
      </c>
      <c r="C679" s="1" t="str">
        <f>IFERROR(__xludf.DUMMYFUNCTION("""COMPUTED_VALUE"""),"ส30247")</f>
        <v>ส30247</v>
      </c>
      <c r="D679" s="1" t="str">
        <f>IFERROR(__xludf.DUMMYFUNCTION("""COMPUTED_VALUE"""),"การป้องกันการทุจริต 1")</f>
        <v>การป้องกันการทุจริต 1</v>
      </c>
      <c r="E679" s="1">
        <f>IFERROR(__xludf.DUMMYFUNCTION("""COMPUTED_VALUE"""),0.5)</f>
        <v>0.5</v>
      </c>
      <c r="F679" s="1">
        <f>IFERROR(__xludf.DUMMYFUNCTION("""COMPUTED_VALUE"""),2569.0)</f>
        <v>2569</v>
      </c>
      <c r="G679" s="1">
        <f>IFERROR(__xludf.DUMMYFUNCTION("""COMPUTED_VALUE"""),1.0)</f>
        <v>1</v>
      </c>
      <c r="H679" s="1">
        <f>IFERROR(__xludf.DUMMYFUNCTION("""COMPUTED_VALUE"""),712.0)</f>
        <v>712</v>
      </c>
      <c r="I679" s="1" t="str">
        <f>IFERROR(__xludf.DUMMYFUNCTION("""COMPUTED_VALUE"""),"นาง")</f>
        <v>นาง</v>
      </c>
      <c r="J679" s="1" t="str">
        <f>IFERROR(__xludf.DUMMYFUNCTION("""COMPUTED_VALUE"""),"สกาวรัตน์")</f>
        <v>สกาวรัตน์</v>
      </c>
      <c r="K679" s="1" t="str">
        <f>IFERROR(__xludf.DUMMYFUNCTION("""COMPUTED_VALUE"""),"หนูสลุง")</f>
        <v>หนูสลุง</v>
      </c>
      <c r="L679" s="1" t="str">
        <f>IFERROR(__xludf.DUMMYFUNCTION("""COMPUTED_VALUE"""),"ม.4")</f>
        <v>ม.4</v>
      </c>
      <c r="M679" s="1" t="str">
        <f>IFERROR(__xludf.DUMMYFUNCTION("""COMPUTED_VALUE"""),"วิทยาศาสตร์(เทคโนโลยี)")</f>
        <v>วิทยาศาสตร์(เทคโนโลยี)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>
        <f>IFERROR(__xludf.DUMMYFUNCTION("""COMPUTED_VALUE"""),8.0)</f>
        <v>8</v>
      </c>
      <c r="B680" s="1">
        <f>IFERROR(__xludf.DUMMYFUNCTION("""COMPUTED_VALUE"""),1.0)</f>
        <v>1</v>
      </c>
      <c r="C680" s="1" t="str">
        <f>IFERROR(__xludf.DUMMYFUNCTION("""COMPUTED_VALUE"""),"ง30231")</f>
        <v>ง30231</v>
      </c>
      <c r="D680" s="1" t="str">
        <f>IFERROR(__xludf.DUMMYFUNCTION("""COMPUTED_VALUE"""),"การบัญชี")</f>
        <v>การบัญชี</v>
      </c>
      <c r="E680" s="1">
        <f>IFERROR(__xludf.DUMMYFUNCTION("""COMPUTED_VALUE"""),1.0)</f>
        <v>1</v>
      </c>
      <c r="F680" s="1">
        <f>IFERROR(__xludf.DUMMYFUNCTION("""COMPUTED_VALUE"""),2569.0)</f>
        <v>2569</v>
      </c>
      <c r="G680" s="1">
        <f>IFERROR(__xludf.DUMMYFUNCTION("""COMPUTED_VALUE"""),1.0)</f>
        <v>1</v>
      </c>
      <c r="H680" s="1">
        <f>IFERROR(__xludf.DUMMYFUNCTION("""COMPUTED_VALUE"""),722.0)</f>
        <v>722</v>
      </c>
      <c r="I680" s="1" t="str">
        <f>IFERROR(__xludf.DUMMYFUNCTION("""COMPUTED_VALUE"""),"นางสาว")</f>
        <v>นางสาว</v>
      </c>
      <c r="J680" s="1" t="str">
        <f>IFERROR(__xludf.DUMMYFUNCTION("""COMPUTED_VALUE"""),"ศรีไพร")</f>
        <v>ศรีไพร</v>
      </c>
      <c r="K680" s="1" t="str">
        <f>IFERROR(__xludf.DUMMYFUNCTION("""COMPUTED_VALUE"""),"พูลหลำ")</f>
        <v>พูลหลำ</v>
      </c>
      <c r="L680" s="1" t="str">
        <f>IFERROR(__xludf.DUMMYFUNCTION("""COMPUTED_VALUE"""),"ม.5")</f>
        <v>ม.5</v>
      </c>
      <c r="M680" s="1" t="str">
        <f>IFERROR(__xludf.DUMMYFUNCTION("""COMPUTED_VALUE"""),"การงานอาชีพ")</f>
        <v>การงานอาชีพ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>
        <f>IFERROR(__xludf.DUMMYFUNCTION("""COMPUTED_VALUE"""),9.0)</f>
        <v>9</v>
      </c>
      <c r="B681" s="1">
        <f>IFERROR(__xludf.DUMMYFUNCTION("""COMPUTED_VALUE"""),1.0)</f>
        <v>1</v>
      </c>
      <c r="C681" s="1" t="str">
        <f>IFERROR(__xludf.DUMMYFUNCTION("""COMPUTED_VALUE"""),"ง30231")</f>
        <v>ง30231</v>
      </c>
      <c r="D681" s="1" t="str">
        <f>IFERROR(__xludf.DUMMYFUNCTION("""COMPUTED_VALUE"""),"การบัญชี")</f>
        <v>การบัญชี</v>
      </c>
      <c r="E681" s="1">
        <f>IFERROR(__xludf.DUMMYFUNCTION("""COMPUTED_VALUE"""),1.0)</f>
        <v>1</v>
      </c>
      <c r="F681" s="1">
        <f>IFERROR(__xludf.DUMMYFUNCTION("""COMPUTED_VALUE"""),2569.0)</f>
        <v>2569</v>
      </c>
      <c r="G681" s="1">
        <f>IFERROR(__xludf.DUMMYFUNCTION("""COMPUTED_VALUE"""),1.0)</f>
        <v>1</v>
      </c>
      <c r="H681" s="1">
        <f>IFERROR(__xludf.DUMMYFUNCTION("""COMPUTED_VALUE"""),722.0)</f>
        <v>722</v>
      </c>
      <c r="I681" s="1" t="str">
        <f>IFERROR(__xludf.DUMMYFUNCTION("""COMPUTED_VALUE"""),"นางสาว")</f>
        <v>นางสาว</v>
      </c>
      <c r="J681" s="1" t="str">
        <f>IFERROR(__xludf.DUMMYFUNCTION("""COMPUTED_VALUE"""),"ศรีไพร")</f>
        <v>ศรีไพร</v>
      </c>
      <c r="K681" s="1" t="str">
        <f>IFERROR(__xludf.DUMMYFUNCTION("""COMPUTED_VALUE"""),"พูลหลำ")</f>
        <v>พูลหลำ</v>
      </c>
      <c r="L681" s="1" t="str">
        <f>IFERROR(__xludf.DUMMYFUNCTION("""COMPUTED_VALUE"""),"ม.5")</f>
        <v>ม.5</v>
      </c>
      <c r="M681" s="1" t="str">
        <f>IFERROR(__xludf.DUMMYFUNCTION("""COMPUTED_VALUE"""),"การงานอาชีพ")</f>
        <v>การงานอาชีพ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>
        <f>IFERROR(__xludf.DUMMYFUNCTION("""COMPUTED_VALUE"""),10.0)</f>
        <v>10</v>
      </c>
      <c r="B682" s="1">
        <f>IFERROR(__xludf.DUMMYFUNCTION("""COMPUTED_VALUE"""),1.0)</f>
        <v>1</v>
      </c>
      <c r="C682" s="1" t="str">
        <f>IFERROR(__xludf.DUMMYFUNCTION("""COMPUTED_VALUE"""),"ง30231")</f>
        <v>ง30231</v>
      </c>
      <c r="D682" s="1" t="str">
        <f>IFERROR(__xludf.DUMMYFUNCTION("""COMPUTED_VALUE"""),"การบัญชี")</f>
        <v>การบัญชี</v>
      </c>
      <c r="E682" s="1">
        <f>IFERROR(__xludf.DUMMYFUNCTION("""COMPUTED_VALUE"""),1.0)</f>
        <v>1</v>
      </c>
      <c r="F682" s="1">
        <f>IFERROR(__xludf.DUMMYFUNCTION("""COMPUTED_VALUE"""),2569.0)</f>
        <v>2569</v>
      </c>
      <c r="G682" s="1">
        <f>IFERROR(__xludf.DUMMYFUNCTION("""COMPUTED_VALUE"""),1.0)</f>
        <v>1</v>
      </c>
      <c r="H682" s="1">
        <f>IFERROR(__xludf.DUMMYFUNCTION("""COMPUTED_VALUE"""),722.0)</f>
        <v>722</v>
      </c>
      <c r="I682" s="1" t="str">
        <f>IFERROR(__xludf.DUMMYFUNCTION("""COMPUTED_VALUE"""),"นางสาว")</f>
        <v>นางสาว</v>
      </c>
      <c r="J682" s="1" t="str">
        <f>IFERROR(__xludf.DUMMYFUNCTION("""COMPUTED_VALUE"""),"ศรีไพร")</f>
        <v>ศรีไพร</v>
      </c>
      <c r="K682" s="1" t="str">
        <f>IFERROR(__xludf.DUMMYFUNCTION("""COMPUTED_VALUE"""),"พูลหลำ")</f>
        <v>พูลหลำ</v>
      </c>
      <c r="L682" s="1" t="str">
        <f>IFERROR(__xludf.DUMMYFUNCTION("""COMPUTED_VALUE"""),"ม.5")</f>
        <v>ม.5</v>
      </c>
      <c r="M682" s="1" t="str">
        <f>IFERROR(__xludf.DUMMYFUNCTION("""COMPUTED_VALUE"""),"การงานอาชีพ")</f>
        <v>การงานอาชีพ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>
        <f>IFERROR(__xludf.DUMMYFUNCTION("""COMPUTED_VALUE"""),2.0)</f>
        <v>2</v>
      </c>
      <c r="B683" s="1">
        <f>IFERROR(__xludf.DUMMYFUNCTION("""COMPUTED_VALUE"""),1.0)</f>
        <v>1</v>
      </c>
      <c r="C683" s="1" t="str">
        <f>IFERROR(__xludf.DUMMYFUNCTION("""COMPUTED_VALUE"""),"ง32101")</f>
        <v>ง32101</v>
      </c>
      <c r="D683" s="1" t="str">
        <f>IFERROR(__xludf.DUMMYFUNCTION("""COMPUTED_VALUE"""),"การงานอาชีพฯ3")</f>
        <v>การงานอาชีพฯ3</v>
      </c>
      <c r="E683" s="1">
        <f>IFERROR(__xludf.DUMMYFUNCTION("""COMPUTED_VALUE"""),0.5)</f>
        <v>0.5</v>
      </c>
      <c r="F683" s="1">
        <f>IFERROR(__xludf.DUMMYFUNCTION("""COMPUTED_VALUE"""),2569.0)</f>
        <v>2569</v>
      </c>
      <c r="G683" s="1">
        <f>IFERROR(__xludf.DUMMYFUNCTION("""COMPUTED_VALUE"""),1.0)</f>
        <v>1</v>
      </c>
      <c r="H683" s="1">
        <f>IFERROR(__xludf.DUMMYFUNCTION("""COMPUTED_VALUE"""),722.0)</f>
        <v>722</v>
      </c>
      <c r="I683" s="1" t="str">
        <f>IFERROR(__xludf.DUMMYFUNCTION("""COMPUTED_VALUE"""),"นางสาว")</f>
        <v>นางสาว</v>
      </c>
      <c r="J683" s="1" t="str">
        <f>IFERROR(__xludf.DUMMYFUNCTION("""COMPUTED_VALUE"""),"ศรีไพร")</f>
        <v>ศรีไพร</v>
      </c>
      <c r="K683" s="1" t="str">
        <f>IFERROR(__xludf.DUMMYFUNCTION("""COMPUTED_VALUE"""),"พูลหลำ")</f>
        <v>พูลหลำ</v>
      </c>
      <c r="L683" s="1" t="str">
        <f>IFERROR(__xludf.DUMMYFUNCTION("""COMPUTED_VALUE"""),"ม.5")</f>
        <v>ม.5</v>
      </c>
      <c r="M683" s="1" t="str">
        <f>IFERROR(__xludf.DUMMYFUNCTION("""COMPUTED_VALUE"""),"การงานอาชีพ")</f>
        <v>การงานอาชีพ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>
        <f>IFERROR(__xludf.DUMMYFUNCTION("""COMPUTED_VALUE"""),4.0)</f>
        <v>4</v>
      </c>
      <c r="B684" s="1">
        <f>IFERROR(__xludf.DUMMYFUNCTION("""COMPUTED_VALUE"""),1.0)</f>
        <v>1</v>
      </c>
      <c r="C684" s="1" t="str">
        <f>IFERROR(__xludf.DUMMYFUNCTION("""COMPUTED_VALUE"""),"ง32101")</f>
        <v>ง32101</v>
      </c>
      <c r="D684" s="1" t="str">
        <f>IFERROR(__xludf.DUMMYFUNCTION("""COMPUTED_VALUE"""),"การงานอาชีพฯ3")</f>
        <v>การงานอาชีพฯ3</v>
      </c>
      <c r="E684" s="1">
        <f>IFERROR(__xludf.DUMMYFUNCTION("""COMPUTED_VALUE"""),0.5)</f>
        <v>0.5</v>
      </c>
      <c r="F684" s="1">
        <f>IFERROR(__xludf.DUMMYFUNCTION("""COMPUTED_VALUE"""),2569.0)</f>
        <v>2569</v>
      </c>
      <c r="G684" s="1">
        <f>IFERROR(__xludf.DUMMYFUNCTION("""COMPUTED_VALUE"""),1.0)</f>
        <v>1</v>
      </c>
      <c r="H684" s="1">
        <f>IFERROR(__xludf.DUMMYFUNCTION("""COMPUTED_VALUE"""),722.0)</f>
        <v>722</v>
      </c>
      <c r="I684" s="1" t="str">
        <f>IFERROR(__xludf.DUMMYFUNCTION("""COMPUTED_VALUE"""),"นางสาว")</f>
        <v>นางสาว</v>
      </c>
      <c r="J684" s="1" t="str">
        <f>IFERROR(__xludf.DUMMYFUNCTION("""COMPUTED_VALUE"""),"ศรีไพร")</f>
        <v>ศรีไพร</v>
      </c>
      <c r="K684" s="1" t="str">
        <f>IFERROR(__xludf.DUMMYFUNCTION("""COMPUTED_VALUE"""),"พูลหลำ")</f>
        <v>พูลหลำ</v>
      </c>
      <c r="L684" s="1" t="str">
        <f>IFERROR(__xludf.DUMMYFUNCTION("""COMPUTED_VALUE"""),"ม.5")</f>
        <v>ม.5</v>
      </c>
      <c r="M684" s="1" t="str">
        <f>IFERROR(__xludf.DUMMYFUNCTION("""COMPUTED_VALUE"""),"การงานอาชีพ")</f>
        <v>การงานอาชีพ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>
        <f>IFERROR(__xludf.DUMMYFUNCTION("""COMPUTED_VALUE"""),6.0)</f>
        <v>6</v>
      </c>
      <c r="B685" s="1">
        <f>IFERROR(__xludf.DUMMYFUNCTION("""COMPUTED_VALUE"""),1.0)</f>
        <v>1</v>
      </c>
      <c r="C685" s="1" t="str">
        <f>IFERROR(__xludf.DUMMYFUNCTION("""COMPUTED_VALUE"""),"ง32101")</f>
        <v>ง32101</v>
      </c>
      <c r="D685" s="1" t="str">
        <f>IFERROR(__xludf.DUMMYFUNCTION("""COMPUTED_VALUE"""),"การงานอาชีพฯ3")</f>
        <v>การงานอาชีพฯ3</v>
      </c>
      <c r="E685" s="1">
        <f>IFERROR(__xludf.DUMMYFUNCTION("""COMPUTED_VALUE"""),0.5)</f>
        <v>0.5</v>
      </c>
      <c r="F685" s="1">
        <f>IFERROR(__xludf.DUMMYFUNCTION("""COMPUTED_VALUE"""),2569.0)</f>
        <v>2569</v>
      </c>
      <c r="G685" s="1">
        <f>IFERROR(__xludf.DUMMYFUNCTION("""COMPUTED_VALUE"""),1.0)</f>
        <v>1</v>
      </c>
      <c r="H685" s="1">
        <f>IFERROR(__xludf.DUMMYFUNCTION("""COMPUTED_VALUE"""),722.0)</f>
        <v>722</v>
      </c>
      <c r="I685" s="1" t="str">
        <f>IFERROR(__xludf.DUMMYFUNCTION("""COMPUTED_VALUE"""),"นางสาว")</f>
        <v>นางสาว</v>
      </c>
      <c r="J685" s="1" t="str">
        <f>IFERROR(__xludf.DUMMYFUNCTION("""COMPUTED_VALUE"""),"ศรีไพร")</f>
        <v>ศรีไพร</v>
      </c>
      <c r="K685" s="1" t="str">
        <f>IFERROR(__xludf.DUMMYFUNCTION("""COMPUTED_VALUE"""),"พูลหลำ")</f>
        <v>พูลหลำ</v>
      </c>
      <c r="L685" s="1" t="str">
        <f>IFERROR(__xludf.DUMMYFUNCTION("""COMPUTED_VALUE"""),"ม.5")</f>
        <v>ม.5</v>
      </c>
      <c r="M685" s="1" t="str">
        <f>IFERROR(__xludf.DUMMYFUNCTION("""COMPUTED_VALUE"""),"การงานอาชีพ")</f>
        <v>การงานอาชีพ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>
        <f>IFERROR(__xludf.DUMMYFUNCTION("""COMPUTED_VALUE"""),8.0)</f>
        <v>8</v>
      </c>
      <c r="B686" s="1">
        <f>IFERROR(__xludf.DUMMYFUNCTION("""COMPUTED_VALUE"""),1.0)</f>
        <v>1</v>
      </c>
      <c r="C686" s="1" t="str">
        <f>IFERROR(__xludf.DUMMYFUNCTION("""COMPUTED_VALUE"""),"ง32101")</f>
        <v>ง32101</v>
      </c>
      <c r="D686" s="1" t="str">
        <f>IFERROR(__xludf.DUMMYFUNCTION("""COMPUTED_VALUE"""),"การงานอาชีพฯ3")</f>
        <v>การงานอาชีพฯ3</v>
      </c>
      <c r="E686" s="1">
        <f>IFERROR(__xludf.DUMMYFUNCTION("""COMPUTED_VALUE"""),0.5)</f>
        <v>0.5</v>
      </c>
      <c r="F686" s="1">
        <f>IFERROR(__xludf.DUMMYFUNCTION("""COMPUTED_VALUE"""),2569.0)</f>
        <v>2569</v>
      </c>
      <c r="G686" s="1">
        <f>IFERROR(__xludf.DUMMYFUNCTION("""COMPUTED_VALUE"""),1.0)</f>
        <v>1</v>
      </c>
      <c r="H686" s="1">
        <f>IFERROR(__xludf.DUMMYFUNCTION("""COMPUTED_VALUE"""),722.0)</f>
        <v>722</v>
      </c>
      <c r="I686" s="1" t="str">
        <f>IFERROR(__xludf.DUMMYFUNCTION("""COMPUTED_VALUE"""),"นางสาว")</f>
        <v>นางสาว</v>
      </c>
      <c r="J686" s="1" t="str">
        <f>IFERROR(__xludf.DUMMYFUNCTION("""COMPUTED_VALUE"""),"ศรีไพร")</f>
        <v>ศรีไพร</v>
      </c>
      <c r="K686" s="1" t="str">
        <f>IFERROR(__xludf.DUMMYFUNCTION("""COMPUTED_VALUE"""),"พูลหลำ")</f>
        <v>พูลหลำ</v>
      </c>
      <c r="L686" s="1" t="str">
        <f>IFERROR(__xludf.DUMMYFUNCTION("""COMPUTED_VALUE"""),"ม.5")</f>
        <v>ม.5</v>
      </c>
      <c r="M686" s="1" t="str">
        <f>IFERROR(__xludf.DUMMYFUNCTION("""COMPUTED_VALUE"""),"การงานอาชีพ")</f>
        <v>การงานอาชีพ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>
        <f>IFERROR(__xludf.DUMMYFUNCTION("""COMPUTED_VALUE"""),10.0)</f>
        <v>10</v>
      </c>
      <c r="B687" s="1">
        <f>IFERROR(__xludf.DUMMYFUNCTION("""COMPUTED_VALUE"""),1.0)</f>
        <v>1</v>
      </c>
      <c r="C687" s="1" t="str">
        <f>IFERROR(__xludf.DUMMYFUNCTION("""COMPUTED_VALUE"""),"ง32101")</f>
        <v>ง32101</v>
      </c>
      <c r="D687" s="1" t="str">
        <f>IFERROR(__xludf.DUMMYFUNCTION("""COMPUTED_VALUE"""),"การงานอาชีพฯ3")</f>
        <v>การงานอาชีพฯ3</v>
      </c>
      <c r="E687" s="1">
        <f>IFERROR(__xludf.DUMMYFUNCTION("""COMPUTED_VALUE"""),0.5)</f>
        <v>0.5</v>
      </c>
      <c r="F687" s="1">
        <f>IFERROR(__xludf.DUMMYFUNCTION("""COMPUTED_VALUE"""),2569.0)</f>
        <v>2569</v>
      </c>
      <c r="G687" s="1">
        <f>IFERROR(__xludf.DUMMYFUNCTION("""COMPUTED_VALUE"""),1.0)</f>
        <v>1</v>
      </c>
      <c r="H687" s="1">
        <f>IFERROR(__xludf.DUMMYFUNCTION("""COMPUTED_VALUE"""),722.0)</f>
        <v>722</v>
      </c>
      <c r="I687" s="1" t="str">
        <f>IFERROR(__xludf.DUMMYFUNCTION("""COMPUTED_VALUE"""),"นางสาว")</f>
        <v>นางสาว</v>
      </c>
      <c r="J687" s="1" t="str">
        <f>IFERROR(__xludf.DUMMYFUNCTION("""COMPUTED_VALUE"""),"ศรีไพร")</f>
        <v>ศรีไพร</v>
      </c>
      <c r="K687" s="1" t="str">
        <f>IFERROR(__xludf.DUMMYFUNCTION("""COMPUTED_VALUE"""),"พูลหลำ")</f>
        <v>พูลหลำ</v>
      </c>
      <c r="L687" s="1" t="str">
        <f>IFERROR(__xludf.DUMMYFUNCTION("""COMPUTED_VALUE"""),"ม.5")</f>
        <v>ม.5</v>
      </c>
      <c r="M687" s="1" t="str">
        <f>IFERROR(__xludf.DUMMYFUNCTION("""COMPUTED_VALUE"""),"การงานอาชีพ")</f>
        <v>การงานอาชีพ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>
        <f>IFERROR(__xludf.DUMMYFUNCTION("""COMPUTED_VALUE"""),7.0)</f>
        <v>7</v>
      </c>
      <c r="B688" s="1">
        <f>IFERROR(__xludf.DUMMYFUNCTION("""COMPUTED_VALUE"""),2.0)</f>
        <v>2</v>
      </c>
      <c r="C688" s="1" t="str">
        <f>IFERROR(__xludf.DUMMYFUNCTION("""COMPUTED_VALUE"""),"ส20223")</f>
        <v>ส20223</v>
      </c>
      <c r="D688" s="1" t="str">
        <f>IFERROR(__xludf.DUMMYFUNCTION("""COMPUTED_VALUE"""),"การป้องกันการทุจริต 1")</f>
        <v>การป้องกันการทุจริต 1</v>
      </c>
      <c r="E688" s="1">
        <f>IFERROR(__xludf.DUMMYFUNCTION("""COMPUTED_VALUE"""),0.5)</f>
        <v>0.5</v>
      </c>
      <c r="F688" s="1">
        <f>IFERROR(__xludf.DUMMYFUNCTION("""COMPUTED_VALUE"""),2569.0)</f>
        <v>2569</v>
      </c>
      <c r="G688" s="1">
        <f>IFERROR(__xludf.DUMMYFUNCTION("""COMPUTED_VALUE"""),1.0)</f>
        <v>1</v>
      </c>
      <c r="H688" s="1">
        <f>IFERROR(__xludf.DUMMYFUNCTION("""COMPUTED_VALUE"""),722.0)</f>
        <v>722</v>
      </c>
      <c r="I688" s="1" t="str">
        <f>IFERROR(__xludf.DUMMYFUNCTION("""COMPUTED_VALUE"""),"นางสาว")</f>
        <v>นางสาว</v>
      </c>
      <c r="J688" s="1" t="str">
        <f>IFERROR(__xludf.DUMMYFUNCTION("""COMPUTED_VALUE"""),"ศรีไพร")</f>
        <v>ศรีไพร</v>
      </c>
      <c r="K688" s="1" t="str">
        <f>IFERROR(__xludf.DUMMYFUNCTION("""COMPUTED_VALUE"""),"พูลหลำ")</f>
        <v>พูลหลำ</v>
      </c>
      <c r="L688" s="1" t="str">
        <f>IFERROR(__xludf.DUMMYFUNCTION("""COMPUTED_VALUE"""),"ม.1")</f>
        <v>ม.1</v>
      </c>
      <c r="M688" s="1" t="str">
        <f>IFERROR(__xludf.DUMMYFUNCTION("""COMPUTED_VALUE"""),"การงานอาชีพ")</f>
        <v>การงานอาชีพ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>
        <f>IFERROR(__xludf.DUMMYFUNCTION("""COMPUTED_VALUE"""),1.0)</f>
        <v>1</v>
      </c>
      <c r="B689" s="1">
        <f>IFERROR(__xludf.DUMMYFUNCTION("""COMPUTED_VALUE"""),1.0)</f>
        <v>1</v>
      </c>
      <c r="C689" s="1" t="str">
        <f>IFERROR(__xludf.DUMMYFUNCTION("""COMPUTED_VALUE"""),"ง20229")</f>
        <v>ง20229</v>
      </c>
      <c r="D689" s="1" t="str">
        <f>IFERROR(__xludf.DUMMYFUNCTION("""COMPUTED_VALUE"""),"งานดอกไม้ประดิษฐ์")</f>
        <v>งานดอกไม้ประดิษฐ์</v>
      </c>
      <c r="E689" s="1">
        <f>IFERROR(__xludf.DUMMYFUNCTION("""COMPUTED_VALUE"""),1.0)</f>
        <v>1</v>
      </c>
      <c r="F689" s="1">
        <f>IFERROR(__xludf.DUMMYFUNCTION("""COMPUTED_VALUE"""),2569.0)</f>
        <v>2569</v>
      </c>
      <c r="G689" s="1">
        <f>IFERROR(__xludf.DUMMYFUNCTION("""COMPUTED_VALUE"""),1.0)</f>
        <v>1</v>
      </c>
      <c r="H689" s="1">
        <f>IFERROR(__xludf.DUMMYFUNCTION("""COMPUTED_VALUE"""),723.0)</f>
        <v>723</v>
      </c>
      <c r="I689" s="1" t="str">
        <f>IFERROR(__xludf.DUMMYFUNCTION("""COMPUTED_VALUE"""),"นาย")</f>
        <v>นาย</v>
      </c>
      <c r="J689" s="1" t="str">
        <f>IFERROR(__xludf.DUMMYFUNCTION("""COMPUTED_VALUE"""),"พนม")</f>
        <v>พนม</v>
      </c>
      <c r="K689" s="1" t="str">
        <f>IFERROR(__xludf.DUMMYFUNCTION("""COMPUTED_VALUE"""),"บุญมางำ")</f>
        <v>บุญมางำ</v>
      </c>
      <c r="L689" s="1" t="str">
        <f>IFERROR(__xludf.DUMMYFUNCTION("""COMPUTED_VALUE"""),"ม.1")</f>
        <v>ม.1</v>
      </c>
      <c r="M689" s="1" t="str">
        <f>IFERROR(__xludf.DUMMYFUNCTION("""COMPUTED_VALUE"""),"การงานอาชีพ")</f>
        <v>การงานอาชีพ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>
        <f>IFERROR(__xludf.DUMMYFUNCTION("""COMPUTED_VALUE"""),11.0)</f>
        <v>11</v>
      </c>
      <c r="B690" s="1">
        <f>IFERROR(__xludf.DUMMYFUNCTION("""COMPUTED_VALUE"""),1.0)</f>
        <v>1</v>
      </c>
      <c r="C690" s="1" t="str">
        <f>IFERROR(__xludf.DUMMYFUNCTION("""COMPUTED_VALUE"""),"ง30209")</f>
        <v>ง30209</v>
      </c>
      <c r="D690" s="1" t="str">
        <f>IFERROR(__xludf.DUMMYFUNCTION("""COMPUTED_VALUE"""),"สารชีวภาพเพื่อการเกษตร")</f>
        <v>สารชีวภาพเพื่อการเกษตร</v>
      </c>
      <c r="E690" s="1">
        <f>IFERROR(__xludf.DUMMYFUNCTION("""COMPUTED_VALUE"""),1.0)</f>
        <v>1</v>
      </c>
      <c r="F690" s="1">
        <f>IFERROR(__xludf.DUMMYFUNCTION("""COMPUTED_VALUE"""),2569.0)</f>
        <v>2569</v>
      </c>
      <c r="G690" s="1">
        <f>IFERROR(__xludf.DUMMYFUNCTION("""COMPUTED_VALUE"""),1.0)</f>
        <v>1</v>
      </c>
      <c r="H690" s="1">
        <f>IFERROR(__xludf.DUMMYFUNCTION("""COMPUTED_VALUE"""),723.0)</f>
        <v>723</v>
      </c>
      <c r="I690" s="1" t="str">
        <f>IFERROR(__xludf.DUMMYFUNCTION("""COMPUTED_VALUE"""),"นาย")</f>
        <v>นาย</v>
      </c>
      <c r="J690" s="1" t="str">
        <f>IFERROR(__xludf.DUMMYFUNCTION("""COMPUTED_VALUE"""),"พนม")</f>
        <v>พนม</v>
      </c>
      <c r="K690" s="1" t="str">
        <f>IFERROR(__xludf.DUMMYFUNCTION("""COMPUTED_VALUE"""),"บุญมางำ")</f>
        <v>บุญมางำ</v>
      </c>
      <c r="L690" s="1" t="str">
        <f>IFERROR(__xludf.DUMMYFUNCTION("""COMPUTED_VALUE"""),"ม.6")</f>
        <v>ม.6</v>
      </c>
      <c r="M690" s="1" t="str">
        <f>IFERROR(__xludf.DUMMYFUNCTION("""COMPUTED_VALUE"""),"การงานอาชีพ")</f>
        <v>การงานอาชีพ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>
        <f>IFERROR(__xludf.DUMMYFUNCTION("""COMPUTED_VALUE"""),1.0)</f>
        <v>1</v>
      </c>
      <c r="B691" s="1">
        <f>IFERROR(__xludf.DUMMYFUNCTION("""COMPUTED_VALUE"""),1.0)</f>
        <v>1</v>
      </c>
      <c r="C691" s="1" t="str">
        <f>IFERROR(__xludf.DUMMYFUNCTION("""COMPUTED_VALUE"""),"ง33101")</f>
        <v>ง33101</v>
      </c>
      <c r="D691" s="1" t="str">
        <f>IFERROR(__xludf.DUMMYFUNCTION("""COMPUTED_VALUE"""),"การงานอาชีพฯ5")</f>
        <v>การงานอาชีพฯ5</v>
      </c>
      <c r="E691" s="1">
        <f>IFERROR(__xludf.DUMMYFUNCTION("""COMPUTED_VALUE"""),0.5)</f>
        <v>0.5</v>
      </c>
      <c r="F691" s="1">
        <f>IFERROR(__xludf.DUMMYFUNCTION("""COMPUTED_VALUE"""),2569.0)</f>
        <v>2569</v>
      </c>
      <c r="G691" s="1">
        <f>IFERROR(__xludf.DUMMYFUNCTION("""COMPUTED_VALUE"""),1.0)</f>
        <v>1</v>
      </c>
      <c r="H691" s="1">
        <f>IFERROR(__xludf.DUMMYFUNCTION("""COMPUTED_VALUE"""),723.0)</f>
        <v>723</v>
      </c>
      <c r="I691" s="1" t="str">
        <f>IFERROR(__xludf.DUMMYFUNCTION("""COMPUTED_VALUE"""),"นาย")</f>
        <v>นาย</v>
      </c>
      <c r="J691" s="1" t="str">
        <f>IFERROR(__xludf.DUMMYFUNCTION("""COMPUTED_VALUE"""),"พนม")</f>
        <v>พนม</v>
      </c>
      <c r="K691" s="1" t="str">
        <f>IFERROR(__xludf.DUMMYFUNCTION("""COMPUTED_VALUE"""),"บุญมางำ")</f>
        <v>บุญมางำ</v>
      </c>
      <c r="L691" s="1" t="str">
        <f>IFERROR(__xludf.DUMMYFUNCTION("""COMPUTED_VALUE"""),"ม.6")</f>
        <v>ม.6</v>
      </c>
      <c r="M691" s="1" t="str">
        <f>IFERROR(__xludf.DUMMYFUNCTION("""COMPUTED_VALUE"""),"การงานอาชีพ")</f>
        <v>การงานอาชีพ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>
        <f>IFERROR(__xludf.DUMMYFUNCTION("""COMPUTED_VALUE"""),2.0)</f>
        <v>2</v>
      </c>
      <c r="B692" s="1">
        <f>IFERROR(__xludf.DUMMYFUNCTION("""COMPUTED_VALUE"""),1.0)</f>
        <v>1</v>
      </c>
      <c r="C692" s="1" t="str">
        <f>IFERROR(__xludf.DUMMYFUNCTION("""COMPUTED_VALUE"""),"ง33101")</f>
        <v>ง33101</v>
      </c>
      <c r="D692" s="1" t="str">
        <f>IFERROR(__xludf.DUMMYFUNCTION("""COMPUTED_VALUE"""),"การงานอาชีพฯ5")</f>
        <v>การงานอาชีพฯ5</v>
      </c>
      <c r="E692" s="1">
        <f>IFERROR(__xludf.DUMMYFUNCTION("""COMPUTED_VALUE"""),0.5)</f>
        <v>0.5</v>
      </c>
      <c r="F692" s="1">
        <f>IFERROR(__xludf.DUMMYFUNCTION("""COMPUTED_VALUE"""),2569.0)</f>
        <v>2569</v>
      </c>
      <c r="G692" s="1">
        <f>IFERROR(__xludf.DUMMYFUNCTION("""COMPUTED_VALUE"""),1.0)</f>
        <v>1</v>
      </c>
      <c r="H692" s="1">
        <f>IFERROR(__xludf.DUMMYFUNCTION("""COMPUTED_VALUE"""),723.0)</f>
        <v>723</v>
      </c>
      <c r="I692" s="1" t="str">
        <f>IFERROR(__xludf.DUMMYFUNCTION("""COMPUTED_VALUE"""),"นาย")</f>
        <v>นาย</v>
      </c>
      <c r="J692" s="1" t="str">
        <f>IFERROR(__xludf.DUMMYFUNCTION("""COMPUTED_VALUE"""),"พนม")</f>
        <v>พนม</v>
      </c>
      <c r="K692" s="1" t="str">
        <f>IFERROR(__xludf.DUMMYFUNCTION("""COMPUTED_VALUE"""),"บุญมางำ")</f>
        <v>บุญมางำ</v>
      </c>
      <c r="L692" s="1" t="str">
        <f>IFERROR(__xludf.DUMMYFUNCTION("""COMPUTED_VALUE"""),"ม.6")</f>
        <v>ม.6</v>
      </c>
      <c r="M692" s="1" t="str">
        <f>IFERROR(__xludf.DUMMYFUNCTION("""COMPUTED_VALUE"""),"การงานอาชีพ")</f>
        <v>การงานอาชีพ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>
        <f>IFERROR(__xludf.DUMMYFUNCTION("""COMPUTED_VALUE"""),3.0)</f>
        <v>3</v>
      </c>
      <c r="B693" s="1">
        <f>IFERROR(__xludf.DUMMYFUNCTION("""COMPUTED_VALUE"""),1.0)</f>
        <v>1</v>
      </c>
      <c r="C693" s="1" t="str">
        <f>IFERROR(__xludf.DUMMYFUNCTION("""COMPUTED_VALUE"""),"ง33101")</f>
        <v>ง33101</v>
      </c>
      <c r="D693" s="1" t="str">
        <f>IFERROR(__xludf.DUMMYFUNCTION("""COMPUTED_VALUE"""),"การงานอาชีพฯ5")</f>
        <v>การงานอาชีพฯ5</v>
      </c>
      <c r="E693" s="1">
        <f>IFERROR(__xludf.DUMMYFUNCTION("""COMPUTED_VALUE"""),0.5)</f>
        <v>0.5</v>
      </c>
      <c r="F693" s="1">
        <f>IFERROR(__xludf.DUMMYFUNCTION("""COMPUTED_VALUE"""),2569.0)</f>
        <v>2569</v>
      </c>
      <c r="G693" s="1">
        <f>IFERROR(__xludf.DUMMYFUNCTION("""COMPUTED_VALUE"""),1.0)</f>
        <v>1</v>
      </c>
      <c r="H693" s="1">
        <f>IFERROR(__xludf.DUMMYFUNCTION("""COMPUTED_VALUE"""),723.0)</f>
        <v>723</v>
      </c>
      <c r="I693" s="1" t="str">
        <f>IFERROR(__xludf.DUMMYFUNCTION("""COMPUTED_VALUE"""),"นาย")</f>
        <v>นาย</v>
      </c>
      <c r="J693" s="1" t="str">
        <f>IFERROR(__xludf.DUMMYFUNCTION("""COMPUTED_VALUE"""),"พนม")</f>
        <v>พนม</v>
      </c>
      <c r="K693" s="1" t="str">
        <f>IFERROR(__xludf.DUMMYFUNCTION("""COMPUTED_VALUE"""),"บุญมางำ")</f>
        <v>บุญมางำ</v>
      </c>
      <c r="L693" s="1" t="str">
        <f>IFERROR(__xludf.DUMMYFUNCTION("""COMPUTED_VALUE"""),"ม.6")</f>
        <v>ม.6</v>
      </c>
      <c r="M693" s="1" t="str">
        <f>IFERROR(__xludf.DUMMYFUNCTION("""COMPUTED_VALUE"""),"การงานอาชีพ")</f>
        <v>การงานอาชีพ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>
        <f>IFERROR(__xludf.DUMMYFUNCTION("""COMPUTED_VALUE"""),4.0)</f>
        <v>4</v>
      </c>
      <c r="B694" s="1">
        <f>IFERROR(__xludf.DUMMYFUNCTION("""COMPUTED_VALUE"""),1.0)</f>
        <v>1</v>
      </c>
      <c r="C694" s="1" t="str">
        <f>IFERROR(__xludf.DUMMYFUNCTION("""COMPUTED_VALUE"""),"ง33101")</f>
        <v>ง33101</v>
      </c>
      <c r="D694" s="1" t="str">
        <f>IFERROR(__xludf.DUMMYFUNCTION("""COMPUTED_VALUE"""),"การงานอาชีพฯ5")</f>
        <v>การงานอาชีพฯ5</v>
      </c>
      <c r="E694" s="1">
        <f>IFERROR(__xludf.DUMMYFUNCTION("""COMPUTED_VALUE"""),0.5)</f>
        <v>0.5</v>
      </c>
      <c r="F694" s="1">
        <f>IFERROR(__xludf.DUMMYFUNCTION("""COMPUTED_VALUE"""),2569.0)</f>
        <v>2569</v>
      </c>
      <c r="G694" s="1">
        <f>IFERROR(__xludf.DUMMYFUNCTION("""COMPUTED_VALUE"""),1.0)</f>
        <v>1</v>
      </c>
      <c r="H694" s="1">
        <f>IFERROR(__xludf.DUMMYFUNCTION("""COMPUTED_VALUE"""),723.0)</f>
        <v>723</v>
      </c>
      <c r="I694" s="1" t="str">
        <f>IFERROR(__xludf.DUMMYFUNCTION("""COMPUTED_VALUE"""),"นาย")</f>
        <v>นาย</v>
      </c>
      <c r="J694" s="1" t="str">
        <f>IFERROR(__xludf.DUMMYFUNCTION("""COMPUTED_VALUE"""),"พนม")</f>
        <v>พนม</v>
      </c>
      <c r="K694" s="1" t="str">
        <f>IFERROR(__xludf.DUMMYFUNCTION("""COMPUTED_VALUE"""),"บุญมางำ")</f>
        <v>บุญมางำ</v>
      </c>
      <c r="L694" s="1" t="str">
        <f>IFERROR(__xludf.DUMMYFUNCTION("""COMPUTED_VALUE"""),"ม.6")</f>
        <v>ม.6</v>
      </c>
      <c r="M694" s="1" t="str">
        <f>IFERROR(__xludf.DUMMYFUNCTION("""COMPUTED_VALUE"""),"การงานอาชีพ")</f>
        <v>การงานอาชีพ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>
        <f>IFERROR(__xludf.DUMMYFUNCTION("""COMPUTED_VALUE"""),5.0)</f>
        <v>5</v>
      </c>
      <c r="B695" s="1">
        <f>IFERROR(__xludf.DUMMYFUNCTION("""COMPUTED_VALUE"""),1.0)</f>
        <v>1</v>
      </c>
      <c r="C695" s="1" t="str">
        <f>IFERROR(__xludf.DUMMYFUNCTION("""COMPUTED_VALUE"""),"ง33101")</f>
        <v>ง33101</v>
      </c>
      <c r="D695" s="1" t="str">
        <f>IFERROR(__xludf.DUMMYFUNCTION("""COMPUTED_VALUE"""),"การงานอาชีพฯ5")</f>
        <v>การงานอาชีพฯ5</v>
      </c>
      <c r="E695" s="1">
        <f>IFERROR(__xludf.DUMMYFUNCTION("""COMPUTED_VALUE"""),0.5)</f>
        <v>0.5</v>
      </c>
      <c r="F695" s="1">
        <f>IFERROR(__xludf.DUMMYFUNCTION("""COMPUTED_VALUE"""),2569.0)</f>
        <v>2569</v>
      </c>
      <c r="G695" s="1">
        <f>IFERROR(__xludf.DUMMYFUNCTION("""COMPUTED_VALUE"""),1.0)</f>
        <v>1</v>
      </c>
      <c r="H695" s="1">
        <f>IFERROR(__xludf.DUMMYFUNCTION("""COMPUTED_VALUE"""),723.0)</f>
        <v>723</v>
      </c>
      <c r="I695" s="1" t="str">
        <f>IFERROR(__xludf.DUMMYFUNCTION("""COMPUTED_VALUE"""),"นาย")</f>
        <v>นาย</v>
      </c>
      <c r="J695" s="1" t="str">
        <f>IFERROR(__xludf.DUMMYFUNCTION("""COMPUTED_VALUE"""),"พนม")</f>
        <v>พนม</v>
      </c>
      <c r="K695" s="1" t="str">
        <f>IFERROR(__xludf.DUMMYFUNCTION("""COMPUTED_VALUE"""),"บุญมางำ")</f>
        <v>บุญมางำ</v>
      </c>
      <c r="L695" s="1" t="str">
        <f>IFERROR(__xludf.DUMMYFUNCTION("""COMPUTED_VALUE"""),"ม.6")</f>
        <v>ม.6</v>
      </c>
      <c r="M695" s="1" t="str">
        <f>IFERROR(__xludf.DUMMYFUNCTION("""COMPUTED_VALUE"""),"การงานอาชีพ")</f>
        <v>การงานอาชีพ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>
        <f>IFERROR(__xludf.DUMMYFUNCTION("""COMPUTED_VALUE"""),6.0)</f>
        <v>6</v>
      </c>
      <c r="B696" s="1">
        <f>IFERROR(__xludf.DUMMYFUNCTION("""COMPUTED_VALUE"""),1.0)</f>
        <v>1</v>
      </c>
      <c r="C696" s="1" t="str">
        <f>IFERROR(__xludf.DUMMYFUNCTION("""COMPUTED_VALUE"""),"ง33101")</f>
        <v>ง33101</v>
      </c>
      <c r="D696" s="1" t="str">
        <f>IFERROR(__xludf.DUMMYFUNCTION("""COMPUTED_VALUE"""),"การงานอาชีพฯ5")</f>
        <v>การงานอาชีพฯ5</v>
      </c>
      <c r="E696" s="1">
        <f>IFERROR(__xludf.DUMMYFUNCTION("""COMPUTED_VALUE"""),0.5)</f>
        <v>0.5</v>
      </c>
      <c r="F696" s="1">
        <f>IFERROR(__xludf.DUMMYFUNCTION("""COMPUTED_VALUE"""),2569.0)</f>
        <v>2569</v>
      </c>
      <c r="G696" s="1">
        <f>IFERROR(__xludf.DUMMYFUNCTION("""COMPUTED_VALUE"""),1.0)</f>
        <v>1</v>
      </c>
      <c r="H696" s="1">
        <f>IFERROR(__xludf.DUMMYFUNCTION("""COMPUTED_VALUE"""),723.0)</f>
        <v>723</v>
      </c>
      <c r="I696" s="1" t="str">
        <f>IFERROR(__xludf.DUMMYFUNCTION("""COMPUTED_VALUE"""),"นาย")</f>
        <v>นาย</v>
      </c>
      <c r="J696" s="1" t="str">
        <f>IFERROR(__xludf.DUMMYFUNCTION("""COMPUTED_VALUE"""),"พนม")</f>
        <v>พนม</v>
      </c>
      <c r="K696" s="1" t="str">
        <f>IFERROR(__xludf.DUMMYFUNCTION("""COMPUTED_VALUE"""),"บุญมางำ")</f>
        <v>บุญมางำ</v>
      </c>
      <c r="L696" s="1" t="str">
        <f>IFERROR(__xludf.DUMMYFUNCTION("""COMPUTED_VALUE"""),"ม.6")</f>
        <v>ม.6</v>
      </c>
      <c r="M696" s="1" t="str">
        <f>IFERROR(__xludf.DUMMYFUNCTION("""COMPUTED_VALUE"""),"การงานอาชีพ")</f>
        <v>การงานอาชีพ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>
        <f>IFERROR(__xludf.DUMMYFUNCTION("""COMPUTED_VALUE"""),7.0)</f>
        <v>7</v>
      </c>
      <c r="B697" s="1">
        <f>IFERROR(__xludf.DUMMYFUNCTION("""COMPUTED_VALUE"""),1.0)</f>
        <v>1</v>
      </c>
      <c r="C697" s="1" t="str">
        <f>IFERROR(__xludf.DUMMYFUNCTION("""COMPUTED_VALUE"""),"ง33101")</f>
        <v>ง33101</v>
      </c>
      <c r="D697" s="1" t="str">
        <f>IFERROR(__xludf.DUMMYFUNCTION("""COMPUTED_VALUE"""),"การงานอาชีพฯ5")</f>
        <v>การงานอาชีพฯ5</v>
      </c>
      <c r="E697" s="1">
        <f>IFERROR(__xludf.DUMMYFUNCTION("""COMPUTED_VALUE"""),0.5)</f>
        <v>0.5</v>
      </c>
      <c r="F697" s="1">
        <f>IFERROR(__xludf.DUMMYFUNCTION("""COMPUTED_VALUE"""),2569.0)</f>
        <v>2569</v>
      </c>
      <c r="G697" s="1">
        <f>IFERROR(__xludf.DUMMYFUNCTION("""COMPUTED_VALUE"""),1.0)</f>
        <v>1</v>
      </c>
      <c r="H697" s="1">
        <f>IFERROR(__xludf.DUMMYFUNCTION("""COMPUTED_VALUE"""),723.0)</f>
        <v>723</v>
      </c>
      <c r="I697" s="1" t="str">
        <f>IFERROR(__xludf.DUMMYFUNCTION("""COMPUTED_VALUE"""),"นาย")</f>
        <v>นาย</v>
      </c>
      <c r="J697" s="1" t="str">
        <f>IFERROR(__xludf.DUMMYFUNCTION("""COMPUTED_VALUE"""),"พนม")</f>
        <v>พนม</v>
      </c>
      <c r="K697" s="1" t="str">
        <f>IFERROR(__xludf.DUMMYFUNCTION("""COMPUTED_VALUE"""),"บุญมางำ")</f>
        <v>บุญมางำ</v>
      </c>
      <c r="L697" s="1" t="str">
        <f>IFERROR(__xludf.DUMMYFUNCTION("""COMPUTED_VALUE"""),"ม.6")</f>
        <v>ม.6</v>
      </c>
      <c r="M697" s="1" t="str">
        <f>IFERROR(__xludf.DUMMYFUNCTION("""COMPUTED_VALUE"""),"การงานอาชีพ")</f>
        <v>การงานอาชีพ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>
        <f>IFERROR(__xludf.DUMMYFUNCTION("""COMPUTED_VALUE"""),8.0)</f>
        <v>8</v>
      </c>
      <c r="B698" s="1">
        <f>IFERROR(__xludf.DUMMYFUNCTION("""COMPUTED_VALUE"""),1.0)</f>
        <v>1</v>
      </c>
      <c r="C698" s="1" t="str">
        <f>IFERROR(__xludf.DUMMYFUNCTION("""COMPUTED_VALUE"""),"ง33101")</f>
        <v>ง33101</v>
      </c>
      <c r="D698" s="1" t="str">
        <f>IFERROR(__xludf.DUMMYFUNCTION("""COMPUTED_VALUE"""),"การงานอาชีพฯ5")</f>
        <v>การงานอาชีพฯ5</v>
      </c>
      <c r="E698" s="1">
        <f>IFERROR(__xludf.DUMMYFUNCTION("""COMPUTED_VALUE"""),0.5)</f>
        <v>0.5</v>
      </c>
      <c r="F698" s="1">
        <f>IFERROR(__xludf.DUMMYFUNCTION("""COMPUTED_VALUE"""),2569.0)</f>
        <v>2569</v>
      </c>
      <c r="G698" s="1">
        <f>IFERROR(__xludf.DUMMYFUNCTION("""COMPUTED_VALUE"""),1.0)</f>
        <v>1</v>
      </c>
      <c r="H698" s="1">
        <f>IFERROR(__xludf.DUMMYFUNCTION("""COMPUTED_VALUE"""),723.0)</f>
        <v>723</v>
      </c>
      <c r="I698" s="1" t="str">
        <f>IFERROR(__xludf.DUMMYFUNCTION("""COMPUTED_VALUE"""),"นาย")</f>
        <v>นาย</v>
      </c>
      <c r="J698" s="1" t="str">
        <f>IFERROR(__xludf.DUMMYFUNCTION("""COMPUTED_VALUE"""),"พนม")</f>
        <v>พนม</v>
      </c>
      <c r="K698" s="1" t="str">
        <f>IFERROR(__xludf.DUMMYFUNCTION("""COMPUTED_VALUE"""),"บุญมางำ")</f>
        <v>บุญมางำ</v>
      </c>
      <c r="L698" s="1" t="str">
        <f>IFERROR(__xludf.DUMMYFUNCTION("""COMPUTED_VALUE"""),"ม.6")</f>
        <v>ม.6</v>
      </c>
      <c r="M698" s="1" t="str">
        <f>IFERROR(__xludf.DUMMYFUNCTION("""COMPUTED_VALUE"""),"การงานอาชีพ")</f>
        <v>การงานอาชีพ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>
        <f>IFERROR(__xludf.DUMMYFUNCTION("""COMPUTED_VALUE"""),9.0)</f>
        <v>9</v>
      </c>
      <c r="B699" s="1">
        <f>IFERROR(__xludf.DUMMYFUNCTION("""COMPUTED_VALUE"""),1.0)</f>
        <v>1</v>
      </c>
      <c r="C699" s="1" t="str">
        <f>IFERROR(__xludf.DUMMYFUNCTION("""COMPUTED_VALUE"""),"ง33101")</f>
        <v>ง33101</v>
      </c>
      <c r="D699" s="1" t="str">
        <f>IFERROR(__xludf.DUMMYFUNCTION("""COMPUTED_VALUE"""),"การงานอาชีพฯ5")</f>
        <v>การงานอาชีพฯ5</v>
      </c>
      <c r="E699" s="1">
        <f>IFERROR(__xludf.DUMMYFUNCTION("""COMPUTED_VALUE"""),0.5)</f>
        <v>0.5</v>
      </c>
      <c r="F699" s="1">
        <f>IFERROR(__xludf.DUMMYFUNCTION("""COMPUTED_VALUE"""),2569.0)</f>
        <v>2569</v>
      </c>
      <c r="G699" s="1">
        <f>IFERROR(__xludf.DUMMYFUNCTION("""COMPUTED_VALUE"""),1.0)</f>
        <v>1</v>
      </c>
      <c r="H699" s="1">
        <f>IFERROR(__xludf.DUMMYFUNCTION("""COMPUTED_VALUE"""),723.0)</f>
        <v>723</v>
      </c>
      <c r="I699" s="1" t="str">
        <f>IFERROR(__xludf.DUMMYFUNCTION("""COMPUTED_VALUE"""),"นาย")</f>
        <v>นาย</v>
      </c>
      <c r="J699" s="1" t="str">
        <f>IFERROR(__xludf.DUMMYFUNCTION("""COMPUTED_VALUE"""),"พนม")</f>
        <v>พนม</v>
      </c>
      <c r="K699" s="1" t="str">
        <f>IFERROR(__xludf.DUMMYFUNCTION("""COMPUTED_VALUE"""),"บุญมางำ")</f>
        <v>บุญมางำ</v>
      </c>
      <c r="L699" s="1" t="str">
        <f>IFERROR(__xludf.DUMMYFUNCTION("""COMPUTED_VALUE"""),"ม.6")</f>
        <v>ม.6</v>
      </c>
      <c r="M699" s="1" t="str">
        <f>IFERROR(__xludf.DUMMYFUNCTION("""COMPUTED_VALUE"""),"การงานอาชีพ")</f>
        <v>การงานอาชีพ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>
        <f>IFERROR(__xludf.DUMMYFUNCTION("""COMPUTED_VALUE"""),10.0)</f>
        <v>10</v>
      </c>
      <c r="B700" s="1">
        <f>IFERROR(__xludf.DUMMYFUNCTION("""COMPUTED_VALUE"""),1.0)</f>
        <v>1</v>
      </c>
      <c r="C700" s="1" t="str">
        <f>IFERROR(__xludf.DUMMYFUNCTION("""COMPUTED_VALUE"""),"ง33101")</f>
        <v>ง33101</v>
      </c>
      <c r="D700" s="1" t="str">
        <f>IFERROR(__xludf.DUMMYFUNCTION("""COMPUTED_VALUE"""),"การงานอาชีพฯ5")</f>
        <v>การงานอาชีพฯ5</v>
      </c>
      <c r="E700" s="1">
        <f>IFERROR(__xludf.DUMMYFUNCTION("""COMPUTED_VALUE"""),0.5)</f>
        <v>0.5</v>
      </c>
      <c r="F700" s="1">
        <f>IFERROR(__xludf.DUMMYFUNCTION("""COMPUTED_VALUE"""),2569.0)</f>
        <v>2569</v>
      </c>
      <c r="G700" s="1">
        <f>IFERROR(__xludf.DUMMYFUNCTION("""COMPUTED_VALUE"""),1.0)</f>
        <v>1</v>
      </c>
      <c r="H700" s="1">
        <f>IFERROR(__xludf.DUMMYFUNCTION("""COMPUTED_VALUE"""),723.0)</f>
        <v>723</v>
      </c>
      <c r="I700" s="1" t="str">
        <f>IFERROR(__xludf.DUMMYFUNCTION("""COMPUTED_VALUE"""),"นาย")</f>
        <v>นาย</v>
      </c>
      <c r="J700" s="1" t="str">
        <f>IFERROR(__xludf.DUMMYFUNCTION("""COMPUTED_VALUE"""),"พนม")</f>
        <v>พนม</v>
      </c>
      <c r="K700" s="1" t="str">
        <f>IFERROR(__xludf.DUMMYFUNCTION("""COMPUTED_VALUE"""),"บุญมางำ")</f>
        <v>บุญมางำ</v>
      </c>
      <c r="L700" s="1" t="str">
        <f>IFERROR(__xludf.DUMMYFUNCTION("""COMPUTED_VALUE"""),"ม.6")</f>
        <v>ม.6</v>
      </c>
      <c r="M700" s="1" t="str">
        <f>IFERROR(__xludf.DUMMYFUNCTION("""COMPUTED_VALUE"""),"การงานอาชีพ")</f>
        <v>การงานอาชีพ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>
        <f>IFERROR(__xludf.DUMMYFUNCTION("""COMPUTED_VALUE"""),11.0)</f>
        <v>11</v>
      </c>
      <c r="B701" s="1">
        <f>IFERROR(__xludf.DUMMYFUNCTION("""COMPUTED_VALUE"""),1.0)</f>
        <v>1</v>
      </c>
      <c r="C701" s="1" t="str">
        <f>IFERROR(__xludf.DUMMYFUNCTION("""COMPUTED_VALUE"""),"ง33101")</f>
        <v>ง33101</v>
      </c>
      <c r="D701" s="1" t="str">
        <f>IFERROR(__xludf.DUMMYFUNCTION("""COMPUTED_VALUE"""),"การงานอาชีพฯ5")</f>
        <v>การงานอาชีพฯ5</v>
      </c>
      <c r="E701" s="1">
        <f>IFERROR(__xludf.DUMMYFUNCTION("""COMPUTED_VALUE"""),0.5)</f>
        <v>0.5</v>
      </c>
      <c r="F701" s="1">
        <f>IFERROR(__xludf.DUMMYFUNCTION("""COMPUTED_VALUE"""),2569.0)</f>
        <v>2569</v>
      </c>
      <c r="G701" s="1">
        <f>IFERROR(__xludf.DUMMYFUNCTION("""COMPUTED_VALUE"""),1.0)</f>
        <v>1</v>
      </c>
      <c r="H701" s="1">
        <f>IFERROR(__xludf.DUMMYFUNCTION("""COMPUTED_VALUE"""),723.0)</f>
        <v>723</v>
      </c>
      <c r="I701" s="1" t="str">
        <f>IFERROR(__xludf.DUMMYFUNCTION("""COMPUTED_VALUE"""),"นาย")</f>
        <v>นาย</v>
      </c>
      <c r="J701" s="1" t="str">
        <f>IFERROR(__xludf.DUMMYFUNCTION("""COMPUTED_VALUE"""),"พนม")</f>
        <v>พนม</v>
      </c>
      <c r="K701" s="1" t="str">
        <f>IFERROR(__xludf.DUMMYFUNCTION("""COMPUTED_VALUE"""),"บุญมางำ")</f>
        <v>บุญมางำ</v>
      </c>
      <c r="L701" s="1" t="str">
        <f>IFERROR(__xludf.DUMMYFUNCTION("""COMPUTED_VALUE"""),"ม.6")</f>
        <v>ม.6</v>
      </c>
      <c r="M701" s="1" t="str">
        <f>IFERROR(__xludf.DUMMYFUNCTION("""COMPUTED_VALUE"""),"การงานอาชีพ")</f>
        <v>การงานอาชีพ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>
        <f>IFERROR(__xludf.DUMMYFUNCTION("""COMPUTED_VALUE"""),9.0)</f>
        <v>9</v>
      </c>
      <c r="B702" s="1">
        <f>IFERROR(__xludf.DUMMYFUNCTION("""COMPUTED_VALUE"""),2.0)</f>
        <v>2</v>
      </c>
      <c r="C702" s="1" t="str">
        <f>IFERROR(__xludf.DUMMYFUNCTION("""COMPUTED_VALUE"""),"ส30251")</f>
        <v>ส30251</v>
      </c>
      <c r="D702" s="1" t="str">
        <f>IFERROR(__xludf.DUMMYFUNCTION("""COMPUTED_VALUE"""),"การป้องกันการทุจริต 5")</f>
        <v>การป้องกันการทุจริต 5</v>
      </c>
      <c r="E702" s="1">
        <f>IFERROR(__xludf.DUMMYFUNCTION("""COMPUTED_VALUE"""),0.5)</f>
        <v>0.5</v>
      </c>
      <c r="F702" s="1">
        <f>IFERROR(__xludf.DUMMYFUNCTION("""COMPUTED_VALUE"""),2569.0)</f>
        <v>2569</v>
      </c>
      <c r="G702" s="1">
        <f>IFERROR(__xludf.DUMMYFUNCTION("""COMPUTED_VALUE"""),1.0)</f>
        <v>1</v>
      </c>
      <c r="H702" s="1">
        <f>IFERROR(__xludf.DUMMYFUNCTION("""COMPUTED_VALUE"""),723.0)</f>
        <v>723</v>
      </c>
      <c r="I702" s="1" t="str">
        <f>IFERROR(__xludf.DUMMYFUNCTION("""COMPUTED_VALUE"""),"นาย")</f>
        <v>นาย</v>
      </c>
      <c r="J702" s="1" t="str">
        <f>IFERROR(__xludf.DUMMYFUNCTION("""COMPUTED_VALUE"""),"พนม")</f>
        <v>พนม</v>
      </c>
      <c r="K702" s="1" t="str">
        <f>IFERROR(__xludf.DUMMYFUNCTION("""COMPUTED_VALUE"""),"บุญมางำ")</f>
        <v>บุญมางำ</v>
      </c>
      <c r="L702" s="1" t="str">
        <f>IFERROR(__xludf.DUMMYFUNCTION("""COMPUTED_VALUE"""),"ม.6")</f>
        <v>ม.6</v>
      </c>
      <c r="M702" s="1" t="str">
        <f>IFERROR(__xludf.DUMMYFUNCTION("""COMPUTED_VALUE"""),"การงานอาชีพ")</f>
        <v>การงานอาชีพ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>
        <f>IFERROR(__xludf.DUMMYFUNCTION("""COMPUTED_VALUE"""),1.0)</f>
        <v>1</v>
      </c>
      <c r="B703" s="1">
        <f>IFERROR(__xludf.DUMMYFUNCTION("""COMPUTED_VALUE"""),1.0)</f>
        <v>1</v>
      </c>
      <c r="C703" s="1" t="str">
        <f>IFERROR(__xludf.DUMMYFUNCTION("""COMPUTED_VALUE"""),"ง21101")</f>
        <v>ง21101</v>
      </c>
      <c r="D703" s="1" t="str">
        <f>IFERROR(__xludf.DUMMYFUNCTION("""COMPUTED_VALUE"""),"การงานอาชีพฯ 1")</f>
        <v>การงานอาชีพฯ 1</v>
      </c>
      <c r="E703" s="1">
        <f>IFERROR(__xludf.DUMMYFUNCTION("""COMPUTED_VALUE"""),0.5)</f>
        <v>0.5</v>
      </c>
      <c r="F703" s="1">
        <f>IFERROR(__xludf.DUMMYFUNCTION("""COMPUTED_VALUE"""),2569.0)</f>
        <v>2569</v>
      </c>
      <c r="G703" s="1">
        <f>IFERROR(__xludf.DUMMYFUNCTION("""COMPUTED_VALUE"""),1.0)</f>
        <v>1</v>
      </c>
      <c r="H703" s="1">
        <f>IFERROR(__xludf.DUMMYFUNCTION("""COMPUTED_VALUE"""),725.0)</f>
        <v>725</v>
      </c>
      <c r="I703" s="1" t="str">
        <f>IFERROR(__xludf.DUMMYFUNCTION("""COMPUTED_VALUE"""),"นางสาว")</f>
        <v>นางสาว</v>
      </c>
      <c r="J703" s="1" t="str">
        <f>IFERROR(__xludf.DUMMYFUNCTION("""COMPUTED_VALUE"""),"ณัฏฐ์จิรา")</f>
        <v>ณัฏฐ์จิรา</v>
      </c>
      <c r="K703" s="1" t="str">
        <f>IFERROR(__xludf.DUMMYFUNCTION("""COMPUTED_VALUE"""),"วงษ์ประไพ")</f>
        <v>วงษ์ประไพ</v>
      </c>
      <c r="L703" s="1" t="str">
        <f>IFERROR(__xludf.DUMMYFUNCTION("""COMPUTED_VALUE"""),"ม.1")</f>
        <v>ม.1</v>
      </c>
      <c r="M703" s="1" t="str">
        <f>IFERROR(__xludf.DUMMYFUNCTION("""COMPUTED_VALUE"""),"การงานอาชีพ")</f>
        <v>การงานอาชีพ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>
        <f>IFERROR(__xludf.DUMMYFUNCTION("""COMPUTED_VALUE"""),2.0)</f>
        <v>2</v>
      </c>
      <c r="B704" s="1">
        <f>IFERROR(__xludf.DUMMYFUNCTION("""COMPUTED_VALUE"""),1.0)</f>
        <v>1</v>
      </c>
      <c r="C704" s="1" t="str">
        <f>IFERROR(__xludf.DUMMYFUNCTION("""COMPUTED_VALUE"""),"ง21101")</f>
        <v>ง21101</v>
      </c>
      <c r="D704" s="1" t="str">
        <f>IFERROR(__xludf.DUMMYFUNCTION("""COMPUTED_VALUE"""),"การงานอาชีพฯ 1")</f>
        <v>การงานอาชีพฯ 1</v>
      </c>
      <c r="E704" s="1">
        <f>IFERROR(__xludf.DUMMYFUNCTION("""COMPUTED_VALUE"""),0.5)</f>
        <v>0.5</v>
      </c>
      <c r="F704" s="1">
        <f>IFERROR(__xludf.DUMMYFUNCTION("""COMPUTED_VALUE"""),2569.0)</f>
        <v>2569</v>
      </c>
      <c r="G704" s="1">
        <f>IFERROR(__xludf.DUMMYFUNCTION("""COMPUTED_VALUE"""),1.0)</f>
        <v>1</v>
      </c>
      <c r="H704" s="1">
        <f>IFERROR(__xludf.DUMMYFUNCTION("""COMPUTED_VALUE"""),725.0)</f>
        <v>725</v>
      </c>
      <c r="I704" s="1" t="str">
        <f>IFERROR(__xludf.DUMMYFUNCTION("""COMPUTED_VALUE"""),"นางสาว")</f>
        <v>นางสาว</v>
      </c>
      <c r="J704" s="1" t="str">
        <f>IFERROR(__xludf.DUMMYFUNCTION("""COMPUTED_VALUE"""),"ณัฏฐ์จิรา")</f>
        <v>ณัฏฐ์จิรา</v>
      </c>
      <c r="K704" s="1" t="str">
        <f>IFERROR(__xludf.DUMMYFUNCTION("""COMPUTED_VALUE"""),"วงษ์ประไพ")</f>
        <v>วงษ์ประไพ</v>
      </c>
      <c r="L704" s="1" t="str">
        <f>IFERROR(__xludf.DUMMYFUNCTION("""COMPUTED_VALUE"""),"ม.1")</f>
        <v>ม.1</v>
      </c>
      <c r="M704" s="1" t="str">
        <f>IFERROR(__xludf.DUMMYFUNCTION("""COMPUTED_VALUE"""),"การงานอาชีพ")</f>
        <v>การงานอาชีพ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>
        <f>IFERROR(__xludf.DUMMYFUNCTION("""COMPUTED_VALUE"""),3.0)</f>
        <v>3</v>
      </c>
      <c r="B705" s="1">
        <f>IFERROR(__xludf.DUMMYFUNCTION("""COMPUTED_VALUE"""),1.0)</f>
        <v>1</v>
      </c>
      <c r="C705" s="1" t="str">
        <f>IFERROR(__xludf.DUMMYFUNCTION("""COMPUTED_VALUE"""),"ง21101")</f>
        <v>ง21101</v>
      </c>
      <c r="D705" s="1" t="str">
        <f>IFERROR(__xludf.DUMMYFUNCTION("""COMPUTED_VALUE"""),"การงานอาชีพฯ 1")</f>
        <v>การงานอาชีพฯ 1</v>
      </c>
      <c r="E705" s="1">
        <f>IFERROR(__xludf.DUMMYFUNCTION("""COMPUTED_VALUE"""),0.5)</f>
        <v>0.5</v>
      </c>
      <c r="F705" s="1">
        <f>IFERROR(__xludf.DUMMYFUNCTION("""COMPUTED_VALUE"""),2569.0)</f>
        <v>2569</v>
      </c>
      <c r="G705" s="1">
        <f>IFERROR(__xludf.DUMMYFUNCTION("""COMPUTED_VALUE"""),1.0)</f>
        <v>1</v>
      </c>
      <c r="H705" s="1">
        <f>IFERROR(__xludf.DUMMYFUNCTION("""COMPUTED_VALUE"""),725.0)</f>
        <v>725</v>
      </c>
      <c r="I705" s="1" t="str">
        <f>IFERROR(__xludf.DUMMYFUNCTION("""COMPUTED_VALUE"""),"นางสาว")</f>
        <v>นางสาว</v>
      </c>
      <c r="J705" s="1" t="str">
        <f>IFERROR(__xludf.DUMMYFUNCTION("""COMPUTED_VALUE"""),"ณัฏฐ์จิรา")</f>
        <v>ณัฏฐ์จิรา</v>
      </c>
      <c r="K705" s="1" t="str">
        <f>IFERROR(__xludf.DUMMYFUNCTION("""COMPUTED_VALUE"""),"วงษ์ประไพ")</f>
        <v>วงษ์ประไพ</v>
      </c>
      <c r="L705" s="1" t="str">
        <f>IFERROR(__xludf.DUMMYFUNCTION("""COMPUTED_VALUE"""),"ม.1")</f>
        <v>ม.1</v>
      </c>
      <c r="M705" s="1" t="str">
        <f>IFERROR(__xludf.DUMMYFUNCTION("""COMPUTED_VALUE"""),"การงานอาชีพ")</f>
        <v>การงานอาชีพ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>
        <f>IFERROR(__xludf.DUMMYFUNCTION("""COMPUTED_VALUE"""),4.0)</f>
        <v>4</v>
      </c>
      <c r="B706" s="1">
        <f>IFERROR(__xludf.DUMMYFUNCTION("""COMPUTED_VALUE"""),1.0)</f>
        <v>1</v>
      </c>
      <c r="C706" s="1" t="str">
        <f>IFERROR(__xludf.DUMMYFUNCTION("""COMPUTED_VALUE"""),"ง21101")</f>
        <v>ง21101</v>
      </c>
      <c r="D706" s="1" t="str">
        <f>IFERROR(__xludf.DUMMYFUNCTION("""COMPUTED_VALUE"""),"การงานอาชีพฯ 1")</f>
        <v>การงานอาชีพฯ 1</v>
      </c>
      <c r="E706" s="1">
        <f>IFERROR(__xludf.DUMMYFUNCTION("""COMPUTED_VALUE"""),0.5)</f>
        <v>0.5</v>
      </c>
      <c r="F706" s="1">
        <f>IFERROR(__xludf.DUMMYFUNCTION("""COMPUTED_VALUE"""),2569.0)</f>
        <v>2569</v>
      </c>
      <c r="G706" s="1">
        <f>IFERROR(__xludf.DUMMYFUNCTION("""COMPUTED_VALUE"""),1.0)</f>
        <v>1</v>
      </c>
      <c r="H706" s="1">
        <f>IFERROR(__xludf.DUMMYFUNCTION("""COMPUTED_VALUE"""),725.0)</f>
        <v>725</v>
      </c>
      <c r="I706" s="1" t="str">
        <f>IFERROR(__xludf.DUMMYFUNCTION("""COMPUTED_VALUE"""),"นางสาว")</f>
        <v>นางสาว</v>
      </c>
      <c r="J706" s="1" t="str">
        <f>IFERROR(__xludf.DUMMYFUNCTION("""COMPUTED_VALUE"""),"ณัฏฐ์จิรา")</f>
        <v>ณัฏฐ์จิรา</v>
      </c>
      <c r="K706" s="1" t="str">
        <f>IFERROR(__xludf.DUMMYFUNCTION("""COMPUTED_VALUE"""),"วงษ์ประไพ")</f>
        <v>วงษ์ประไพ</v>
      </c>
      <c r="L706" s="1" t="str">
        <f>IFERROR(__xludf.DUMMYFUNCTION("""COMPUTED_VALUE"""),"ม.1")</f>
        <v>ม.1</v>
      </c>
      <c r="M706" s="1" t="str">
        <f>IFERROR(__xludf.DUMMYFUNCTION("""COMPUTED_VALUE"""),"การงานอาชีพ")</f>
        <v>การงานอาชีพ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>
        <f>IFERROR(__xludf.DUMMYFUNCTION("""COMPUTED_VALUE"""),5.0)</f>
        <v>5</v>
      </c>
      <c r="B707" s="1">
        <f>IFERROR(__xludf.DUMMYFUNCTION("""COMPUTED_VALUE"""),1.0)</f>
        <v>1</v>
      </c>
      <c r="C707" s="1" t="str">
        <f>IFERROR(__xludf.DUMMYFUNCTION("""COMPUTED_VALUE"""),"ง21101")</f>
        <v>ง21101</v>
      </c>
      <c r="D707" s="1" t="str">
        <f>IFERROR(__xludf.DUMMYFUNCTION("""COMPUTED_VALUE"""),"การงานอาชีพฯ 1")</f>
        <v>การงานอาชีพฯ 1</v>
      </c>
      <c r="E707" s="1">
        <f>IFERROR(__xludf.DUMMYFUNCTION("""COMPUTED_VALUE"""),0.5)</f>
        <v>0.5</v>
      </c>
      <c r="F707" s="1">
        <f>IFERROR(__xludf.DUMMYFUNCTION("""COMPUTED_VALUE"""),2569.0)</f>
        <v>2569</v>
      </c>
      <c r="G707" s="1">
        <f>IFERROR(__xludf.DUMMYFUNCTION("""COMPUTED_VALUE"""),1.0)</f>
        <v>1</v>
      </c>
      <c r="H707" s="1">
        <f>IFERROR(__xludf.DUMMYFUNCTION("""COMPUTED_VALUE"""),725.0)</f>
        <v>725</v>
      </c>
      <c r="I707" s="1" t="str">
        <f>IFERROR(__xludf.DUMMYFUNCTION("""COMPUTED_VALUE"""),"นางสาว")</f>
        <v>นางสาว</v>
      </c>
      <c r="J707" s="1" t="str">
        <f>IFERROR(__xludf.DUMMYFUNCTION("""COMPUTED_VALUE"""),"ณัฏฐ์จิรา")</f>
        <v>ณัฏฐ์จิรา</v>
      </c>
      <c r="K707" s="1" t="str">
        <f>IFERROR(__xludf.DUMMYFUNCTION("""COMPUTED_VALUE"""),"วงษ์ประไพ")</f>
        <v>วงษ์ประไพ</v>
      </c>
      <c r="L707" s="1" t="str">
        <f>IFERROR(__xludf.DUMMYFUNCTION("""COMPUTED_VALUE"""),"ม.1")</f>
        <v>ม.1</v>
      </c>
      <c r="M707" s="1" t="str">
        <f>IFERROR(__xludf.DUMMYFUNCTION("""COMPUTED_VALUE"""),"การงานอาชีพ")</f>
        <v>การงานอาชีพ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>
        <f>IFERROR(__xludf.DUMMYFUNCTION("""COMPUTED_VALUE"""),6.0)</f>
        <v>6</v>
      </c>
      <c r="B708" s="1">
        <f>IFERROR(__xludf.DUMMYFUNCTION("""COMPUTED_VALUE"""),1.0)</f>
        <v>1</v>
      </c>
      <c r="C708" s="1" t="str">
        <f>IFERROR(__xludf.DUMMYFUNCTION("""COMPUTED_VALUE"""),"ง21101")</f>
        <v>ง21101</v>
      </c>
      <c r="D708" s="1" t="str">
        <f>IFERROR(__xludf.DUMMYFUNCTION("""COMPUTED_VALUE"""),"การงานอาชีพฯ 1")</f>
        <v>การงานอาชีพฯ 1</v>
      </c>
      <c r="E708" s="1">
        <f>IFERROR(__xludf.DUMMYFUNCTION("""COMPUTED_VALUE"""),0.5)</f>
        <v>0.5</v>
      </c>
      <c r="F708" s="1">
        <f>IFERROR(__xludf.DUMMYFUNCTION("""COMPUTED_VALUE"""),2569.0)</f>
        <v>2569</v>
      </c>
      <c r="G708" s="1">
        <f>IFERROR(__xludf.DUMMYFUNCTION("""COMPUTED_VALUE"""),1.0)</f>
        <v>1</v>
      </c>
      <c r="H708" s="1">
        <f>IFERROR(__xludf.DUMMYFUNCTION("""COMPUTED_VALUE"""),725.0)</f>
        <v>725</v>
      </c>
      <c r="I708" s="1" t="str">
        <f>IFERROR(__xludf.DUMMYFUNCTION("""COMPUTED_VALUE"""),"นางสาว")</f>
        <v>นางสาว</v>
      </c>
      <c r="J708" s="1" t="str">
        <f>IFERROR(__xludf.DUMMYFUNCTION("""COMPUTED_VALUE"""),"ณัฏฐ์จิรา")</f>
        <v>ณัฏฐ์จิรา</v>
      </c>
      <c r="K708" s="1" t="str">
        <f>IFERROR(__xludf.DUMMYFUNCTION("""COMPUTED_VALUE"""),"วงษ์ประไพ")</f>
        <v>วงษ์ประไพ</v>
      </c>
      <c r="L708" s="1" t="str">
        <f>IFERROR(__xludf.DUMMYFUNCTION("""COMPUTED_VALUE"""),"ม.1")</f>
        <v>ม.1</v>
      </c>
      <c r="M708" s="1" t="str">
        <f>IFERROR(__xludf.DUMMYFUNCTION("""COMPUTED_VALUE"""),"การงานอาชีพ")</f>
        <v>การงานอาชีพ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>
        <f>IFERROR(__xludf.DUMMYFUNCTION("""COMPUTED_VALUE"""),7.0)</f>
        <v>7</v>
      </c>
      <c r="B709" s="1">
        <f>IFERROR(__xludf.DUMMYFUNCTION("""COMPUTED_VALUE"""),1.0)</f>
        <v>1</v>
      </c>
      <c r="C709" s="1" t="str">
        <f>IFERROR(__xludf.DUMMYFUNCTION("""COMPUTED_VALUE"""),"ง21101")</f>
        <v>ง21101</v>
      </c>
      <c r="D709" s="1" t="str">
        <f>IFERROR(__xludf.DUMMYFUNCTION("""COMPUTED_VALUE"""),"การงานอาชีพฯ 1")</f>
        <v>การงานอาชีพฯ 1</v>
      </c>
      <c r="E709" s="1">
        <f>IFERROR(__xludf.DUMMYFUNCTION("""COMPUTED_VALUE"""),0.5)</f>
        <v>0.5</v>
      </c>
      <c r="F709" s="1">
        <f>IFERROR(__xludf.DUMMYFUNCTION("""COMPUTED_VALUE"""),2569.0)</f>
        <v>2569</v>
      </c>
      <c r="G709" s="1">
        <f>IFERROR(__xludf.DUMMYFUNCTION("""COMPUTED_VALUE"""),1.0)</f>
        <v>1</v>
      </c>
      <c r="H709" s="1">
        <f>IFERROR(__xludf.DUMMYFUNCTION("""COMPUTED_VALUE"""),725.0)</f>
        <v>725</v>
      </c>
      <c r="I709" s="1" t="str">
        <f>IFERROR(__xludf.DUMMYFUNCTION("""COMPUTED_VALUE"""),"นางสาว")</f>
        <v>นางสาว</v>
      </c>
      <c r="J709" s="1" t="str">
        <f>IFERROR(__xludf.DUMMYFUNCTION("""COMPUTED_VALUE"""),"ณัฏฐ์จิรา")</f>
        <v>ณัฏฐ์จิรา</v>
      </c>
      <c r="K709" s="1" t="str">
        <f>IFERROR(__xludf.DUMMYFUNCTION("""COMPUTED_VALUE"""),"วงษ์ประไพ")</f>
        <v>วงษ์ประไพ</v>
      </c>
      <c r="L709" s="1" t="str">
        <f>IFERROR(__xludf.DUMMYFUNCTION("""COMPUTED_VALUE"""),"ม.1")</f>
        <v>ม.1</v>
      </c>
      <c r="M709" s="1" t="str">
        <f>IFERROR(__xludf.DUMMYFUNCTION("""COMPUTED_VALUE"""),"การงานอาชีพ")</f>
        <v>การงานอาชีพ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>
        <f>IFERROR(__xludf.DUMMYFUNCTION("""COMPUTED_VALUE"""),9.0)</f>
        <v>9</v>
      </c>
      <c r="B710" s="1">
        <f>IFERROR(__xludf.DUMMYFUNCTION("""COMPUTED_VALUE"""),1.0)</f>
        <v>1</v>
      </c>
      <c r="C710" s="1" t="str">
        <f>IFERROR(__xludf.DUMMYFUNCTION("""COMPUTED_VALUE"""),"ง30201")</f>
        <v>ง30201</v>
      </c>
      <c r="D710" s="1" t="str">
        <f>IFERROR(__xludf.DUMMYFUNCTION("""COMPUTED_VALUE"""),"การประกอบอาหารไทยเบื้องต้น")</f>
        <v>การประกอบอาหารไทยเบื้องต้น</v>
      </c>
      <c r="E710" s="1">
        <f>IFERROR(__xludf.DUMMYFUNCTION("""COMPUTED_VALUE"""),1.0)</f>
        <v>1</v>
      </c>
      <c r="F710" s="1">
        <f>IFERROR(__xludf.DUMMYFUNCTION("""COMPUTED_VALUE"""),2569.0)</f>
        <v>2569</v>
      </c>
      <c r="G710" s="1">
        <f>IFERROR(__xludf.DUMMYFUNCTION("""COMPUTED_VALUE"""),1.0)</f>
        <v>1</v>
      </c>
      <c r="H710" s="1">
        <f>IFERROR(__xludf.DUMMYFUNCTION("""COMPUTED_VALUE"""),725.0)</f>
        <v>725</v>
      </c>
      <c r="I710" s="1" t="str">
        <f>IFERROR(__xludf.DUMMYFUNCTION("""COMPUTED_VALUE"""),"นางสาว")</f>
        <v>นางสาว</v>
      </c>
      <c r="J710" s="1" t="str">
        <f>IFERROR(__xludf.DUMMYFUNCTION("""COMPUTED_VALUE"""),"ณัฏฐ์จิรา")</f>
        <v>ณัฏฐ์จิรา</v>
      </c>
      <c r="K710" s="1" t="str">
        <f>IFERROR(__xludf.DUMMYFUNCTION("""COMPUTED_VALUE"""),"วงษ์ประไพ")</f>
        <v>วงษ์ประไพ</v>
      </c>
      <c r="L710" s="1" t="str">
        <f>IFERROR(__xludf.DUMMYFUNCTION("""COMPUTED_VALUE"""),"ม.4")</f>
        <v>ม.4</v>
      </c>
      <c r="M710" s="1" t="str">
        <f>IFERROR(__xludf.DUMMYFUNCTION("""COMPUTED_VALUE"""),"การงานอาชีพ")</f>
        <v>การงานอาชีพ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>
        <f>IFERROR(__xludf.DUMMYFUNCTION("""COMPUTED_VALUE"""),11.0)</f>
        <v>11</v>
      </c>
      <c r="B711" s="1">
        <f>IFERROR(__xludf.DUMMYFUNCTION("""COMPUTED_VALUE"""),1.0)</f>
        <v>1</v>
      </c>
      <c r="C711" s="1" t="str">
        <f>IFERROR(__xludf.DUMMYFUNCTION("""COMPUTED_VALUE"""),"ง30205")</f>
        <v>ง30205</v>
      </c>
      <c r="D711" s="1" t="str">
        <f>IFERROR(__xludf.DUMMYFUNCTION("""COMPUTED_VALUE"""),"การประกอบอาหารโรงแรม")</f>
        <v>การประกอบอาหารโรงแรม</v>
      </c>
      <c r="E711" s="1">
        <f>IFERROR(__xludf.DUMMYFUNCTION("""COMPUTED_VALUE"""),1.0)</f>
        <v>1</v>
      </c>
      <c r="F711" s="1">
        <f>IFERROR(__xludf.DUMMYFUNCTION("""COMPUTED_VALUE"""),2569.0)</f>
        <v>2569</v>
      </c>
      <c r="G711" s="1">
        <f>IFERROR(__xludf.DUMMYFUNCTION("""COMPUTED_VALUE"""),1.0)</f>
        <v>1</v>
      </c>
      <c r="H711" s="1">
        <f>IFERROR(__xludf.DUMMYFUNCTION("""COMPUTED_VALUE"""),725.0)</f>
        <v>725</v>
      </c>
      <c r="I711" s="1" t="str">
        <f>IFERROR(__xludf.DUMMYFUNCTION("""COMPUTED_VALUE"""),"นางสาว")</f>
        <v>นางสาว</v>
      </c>
      <c r="J711" s="1" t="str">
        <f>IFERROR(__xludf.DUMMYFUNCTION("""COMPUTED_VALUE"""),"ณัฏฐ์จิรา")</f>
        <v>ณัฏฐ์จิรา</v>
      </c>
      <c r="K711" s="1" t="str">
        <f>IFERROR(__xludf.DUMMYFUNCTION("""COMPUTED_VALUE"""),"วงษ์ประไพ")</f>
        <v>วงษ์ประไพ</v>
      </c>
      <c r="L711" s="1" t="str">
        <f>IFERROR(__xludf.DUMMYFUNCTION("""COMPUTED_VALUE"""),"ม.5")</f>
        <v>ม.5</v>
      </c>
      <c r="M711" s="1" t="str">
        <f>IFERROR(__xludf.DUMMYFUNCTION("""COMPUTED_VALUE"""),"การงานอาชีพ")</f>
        <v>การงานอาชีพ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>
        <f>IFERROR(__xludf.DUMMYFUNCTION("""COMPUTED_VALUE"""),10.0)</f>
        <v>10</v>
      </c>
      <c r="B712" s="1">
        <f>IFERROR(__xludf.DUMMYFUNCTION("""COMPUTED_VALUE"""),1.0)</f>
        <v>1</v>
      </c>
      <c r="C712" s="1" t="str">
        <f>IFERROR(__xludf.DUMMYFUNCTION("""COMPUTED_VALUE"""),"ง30217")</f>
        <v>ง30217</v>
      </c>
      <c r="D712" s="1" t="str">
        <f>IFERROR(__xludf.DUMMYFUNCTION("""COMPUTED_VALUE"""),"อาชีพอุตสากรรมในชุมชน")</f>
        <v>อาชีพอุตสากรรมในชุมชน</v>
      </c>
      <c r="E712" s="1">
        <f>IFERROR(__xludf.DUMMYFUNCTION("""COMPUTED_VALUE"""),1.0)</f>
        <v>1</v>
      </c>
      <c r="F712" s="1">
        <f>IFERROR(__xludf.DUMMYFUNCTION("""COMPUTED_VALUE"""),2569.0)</f>
        <v>2569</v>
      </c>
      <c r="G712" s="1">
        <f>IFERROR(__xludf.DUMMYFUNCTION("""COMPUTED_VALUE"""),1.0)</f>
        <v>1</v>
      </c>
      <c r="H712" s="1">
        <f>IFERROR(__xludf.DUMMYFUNCTION("""COMPUTED_VALUE"""),725.0)</f>
        <v>725</v>
      </c>
      <c r="I712" s="1" t="str">
        <f>IFERROR(__xludf.DUMMYFUNCTION("""COMPUTED_VALUE"""),"นางสาว")</f>
        <v>นางสาว</v>
      </c>
      <c r="J712" s="1" t="str">
        <f>IFERROR(__xludf.DUMMYFUNCTION("""COMPUTED_VALUE"""),"ณัฏฐ์จิรา")</f>
        <v>ณัฏฐ์จิรา</v>
      </c>
      <c r="K712" s="1" t="str">
        <f>IFERROR(__xludf.DUMMYFUNCTION("""COMPUTED_VALUE"""),"วงษ์ประไพ")</f>
        <v>วงษ์ประไพ</v>
      </c>
      <c r="L712" s="1" t="str">
        <f>IFERROR(__xludf.DUMMYFUNCTION("""COMPUTED_VALUE"""),"ม.6")</f>
        <v>ม.6</v>
      </c>
      <c r="M712" s="1" t="str">
        <f>IFERROR(__xludf.DUMMYFUNCTION("""COMPUTED_VALUE"""),"การงานอาชีพ")</f>
        <v>การงานอาชีพ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>
        <f>IFERROR(__xludf.DUMMYFUNCTION("""COMPUTED_VALUE"""),11.0)</f>
        <v>11</v>
      </c>
      <c r="B713" s="1">
        <f>IFERROR(__xludf.DUMMYFUNCTION("""COMPUTED_VALUE"""),1.0)</f>
        <v>1</v>
      </c>
      <c r="C713" s="1" t="str">
        <f>IFERROR(__xludf.DUMMYFUNCTION("""COMPUTED_VALUE"""),"ส30251")</f>
        <v>ส30251</v>
      </c>
      <c r="D713" s="1" t="str">
        <f>IFERROR(__xludf.DUMMYFUNCTION("""COMPUTED_VALUE"""),"การป้องกันการทุจริต 5")</f>
        <v>การป้องกันการทุจริต 5</v>
      </c>
      <c r="E713" s="1">
        <f>IFERROR(__xludf.DUMMYFUNCTION("""COMPUTED_VALUE"""),0.5)</f>
        <v>0.5</v>
      </c>
      <c r="F713" s="1">
        <f>IFERROR(__xludf.DUMMYFUNCTION("""COMPUTED_VALUE"""),2569.0)</f>
        <v>2569</v>
      </c>
      <c r="G713" s="1">
        <f>IFERROR(__xludf.DUMMYFUNCTION("""COMPUTED_VALUE"""),1.0)</f>
        <v>1</v>
      </c>
      <c r="H713" s="1">
        <f>IFERROR(__xludf.DUMMYFUNCTION("""COMPUTED_VALUE"""),725.0)</f>
        <v>725</v>
      </c>
      <c r="I713" s="1" t="str">
        <f>IFERROR(__xludf.DUMMYFUNCTION("""COMPUTED_VALUE"""),"นางสาว")</f>
        <v>นางสาว</v>
      </c>
      <c r="J713" s="1" t="str">
        <f>IFERROR(__xludf.DUMMYFUNCTION("""COMPUTED_VALUE"""),"ณัฏฐ์จิรา")</f>
        <v>ณัฏฐ์จิรา</v>
      </c>
      <c r="K713" s="1" t="str">
        <f>IFERROR(__xludf.DUMMYFUNCTION("""COMPUTED_VALUE"""),"วงษ์ประไพ")</f>
        <v>วงษ์ประไพ</v>
      </c>
      <c r="L713" s="1" t="str">
        <f>IFERROR(__xludf.DUMMYFUNCTION("""COMPUTED_VALUE"""),"ม.6")</f>
        <v>ม.6</v>
      </c>
      <c r="M713" s="1" t="str">
        <f>IFERROR(__xludf.DUMMYFUNCTION("""COMPUTED_VALUE"""),"การงานอาชีพ")</f>
        <v>การงานอาชีพ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>
        <f>IFERROR(__xludf.DUMMYFUNCTION("""COMPUTED_VALUE"""),1.0)</f>
        <v>1</v>
      </c>
      <c r="B714" s="1">
        <f>IFERROR(__xludf.DUMMYFUNCTION("""COMPUTED_VALUE"""),1.0)</f>
        <v>1</v>
      </c>
      <c r="C714" s="1" t="str">
        <f>IFERROR(__xludf.DUMMYFUNCTION("""COMPUTED_VALUE"""),"ง23101")</f>
        <v>ง23101</v>
      </c>
      <c r="D714" s="1" t="str">
        <f>IFERROR(__xludf.DUMMYFUNCTION("""COMPUTED_VALUE"""),"การงานอาชีพฯ 5")</f>
        <v>การงานอาชีพฯ 5</v>
      </c>
      <c r="E714" s="1">
        <f>IFERROR(__xludf.DUMMYFUNCTION("""COMPUTED_VALUE"""),0.5)</f>
        <v>0.5</v>
      </c>
      <c r="F714" s="1">
        <f>IFERROR(__xludf.DUMMYFUNCTION("""COMPUTED_VALUE"""),2569.0)</f>
        <v>2569</v>
      </c>
      <c r="G714" s="1">
        <f>IFERROR(__xludf.DUMMYFUNCTION("""COMPUTED_VALUE"""),1.0)</f>
        <v>1</v>
      </c>
      <c r="H714" s="1">
        <f>IFERROR(__xludf.DUMMYFUNCTION("""COMPUTED_VALUE"""),726.0)</f>
        <v>726</v>
      </c>
      <c r="I714" s="1" t="str">
        <f>IFERROR(__xludf.DUMMYFUNCTION("""COMPUTED_VALUE"""),"นางสาว")</f>
        <v>นางสาว</v>
      </c>
      <c r="J714" s="1" t="str">
        <f>IFERROR(__xludf.DUMMYFUNCTION("""COMPUTED_VALUE"""),"ศิริรัตน์")</f>
        <v>ศิริรัตน์</v>
      </c>
      <c r="K714" s="1" t="str">
        <f>IFERROR(__xludf.DUMMYFUNCTION("""COMPUTED_VALUE"""),"คำอยู่")</f>
        <v>คำอยู่</v>
      </c>
      <c r="L714" s="1" t="str">
        <f>IFERROR(__xludf.DUMMYFUNCTION("""COMPUTED_VALUE"""),"ม.3")</f>
        <v>ม.3</v>
      </c>
      <c r="M714" s="1" t="str">
        <f>IFERROR(__xludf.DUMMYFUNCTION("""COMPUTED_VALUE"""),"การงานอาชีพ")</f>
        <v>การงานอาชีพ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>
        <f>IFERROR(__xludf.DUMMYFUNCTION("""COMPUTED_VALUE"""),2.0)</f>
        <v>2</v>
      </c>
      <c r="B715" s="1">
        <f>IFERROR(__xludf.DUMMYFUNCTION("""COMPUTED_VALUE"""),1.0)</f>
        <v>1</v>
      </c>
      <c r="C715" s="1" t="str">
        <f>IFERROR(__xludf.DUMMYFUNCTION("""COMPUTED_VALUE"""),"ง23101")</f>
        <v>ง23101</v>
      </c>
      <c r="D715" s="1" t="str">
        <f>IFERROR(__xludf.DUMMYFUNCTION("""COMPUTED_VALUE"""),"การงานอาชีพฯ 5")</f>
        <v>การงานอาชีพฯ 5</v>
      </c>
      <c r="E715" s="1">
        <f>IFERROR(__xludf.DUMMYFUNCTION("""COMPUTED_VALUE"""),0.5)</f>
        <v>0.5</v>
      </c>
      <c r="F715" s="1">
        <f>IFERROR(__xludf.DUMMYFUNCTION("""COMPUTED_VALUE"""),2569.0)</f>
        <v>2569</v>
      </c>
      <c r="G715" s="1">
        <f>IFERROR(__xludf.DUMMYFUNCTION("""COMPUTED_VALUE"""),1.0)</f>
        <v>1</v>
      </c>
      <c r="H715" s="1">
        <f>IFERROR(__xludf.DUMMYFUNCTION("""COMPUTED_VALUE"""),726.0)</f>
        <v>726</v>
      </c>
      <c r="I715" s="1" t="str">
        <f>IFERROR(__xludf.DUMMYFUNCTION("""COMPUTED_VALUE"""),"นางสาว")</f>
        <v>นางสาว</v>
      </c>
      <c r="J715" s="1" t="str">
        <f>IFERROR(__xludf.DUMMYFUNCTION("""COMPUTED_VALUE"""),"ศิริรัตน์")</f>
        <v>ศิริรัตน์</v>
      </c>
      <c r="K715" s="1" t="str">
        <f>IFERROR(__xludf.DUMMYFUNCTION("""COMPUTED_VALUE"""),"คำอยู่")</f>
        <v>คำอยู่</v>
      </c>
      <c r="L715" s="1" t="str">
        <f>IFERROR(__xludf.DUMMYFUNCTION("""COMPUTED_VALUE"""),"ม.3")</f>
        <v>ม.3</v>
      </c>
      <c r="M715" s="1" t="str">
        <f>IFERROR(__xludf.DUMMYFUNCTION("""COMPUTED_VALUE"""),"การงานอาชีพ")</f>
        <v>การงานอาชีพ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>
        <f>IFERROR(__xludf.DUMMYFUNCTION("""COMPUTED_VALUE"""),3.0)</f>
        <v>3</v>
      </c>
      <c r="B716" s="1">
        <f>IFERROR(__xludf.DUMMYFUNCTION("""COMPUTED_VALUE"""),1.0)</f>
        <v>1</v>
      </c>
      <c r="C716" s="1" t="str">
        <f>IFERROR(__xludf.DUMMYFUNCTION("""COMPUTED_VALUE"""),"ง23101")</f>
        <v>ง23101</v>
      </c>
      <c r="D716" s="1" t="str">
        <f>IFERROR(__xludf.DUMMYFUNCTION("""COMPUTED_VALUE"""),"การงานอาชีพฯ 5")</f>
        <v>การงานอาชีพฯ 5</v>
      </c>
      <c r="E716" s="1">
        <f>IFERROR(__xludf.DUMMYFUNCTION("""COMPUTED_VALUE"""),0.5)</f>
        <v>0.5</v>
      </c>
      <c r="F716" s="1">
        <f>IFERROR(__xludf.DUMMYFUNCTION("""COMPUTED_VALUE"""),2569.0)</f>
        <v>2569</v>
      </c>
      <c r="G716" s="1">
        <f>IFERROR(__xludf.DUMMYFUNCTION("""COMPUTED_VALUE"""),1.0)</f>
        <v>1</v>
      </c>
      <c r="H716" s="1">
        <f>IFERROR(__xludf.DUMMYFUNCTION("""COMPUTED_VALUE"""),726.0)</f>
        <v>726</v>
      </c>
      <c r="I716" s="1" t="str">
        <f>IFERROR(__xludf.DUMMYFUNCTION("""COMPUTED_VALUE"""),"นางสาว")</f>
        <v>นางสาว</v>
      </c>
      <c r="J716" s="1" t="str">
        <f>IFERROR(__xludf.DUMMYFUNCTION("""COMPUTED_VALUE"""),"ศิริรัตน์")</f>
        <v>ศิริรัตน์</v>
      </c>
      <c r="K716" s="1" t="str">
        <f>IFERROR(__xludf.DUMMYFUNCTION("""COMPUTED_VALUE"""),"คำอยู่")</f>
        <v>คำอยู่</v>
      </c>
      <c r="L716" s="1" t="str">
        <f>IFERROR(__xludf.DUMMYFUNCTION("""COMPUTED_VALUE"""),"ม.3")</f>
        <v>ม.3</v>
      </c>
      <c r="M716" s="1" t="str">
        <f>IFERROR(__xludf.DUMMYFUNCTION("""COMPUTED_VALUE"""),"การงานอาชีพ")</f>
        <v>การงานอาชีพ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>
        <f>IFERROR(__xludf.DUMMYFUNCTION("""COMPUTED_VALUE"""),4.0)</f>
        <v>4</v>
      </c>
      <c r="B717" s="1">
        <f>IFERROR(__xludf.DUMMYFUNCTION("""COMPUTED_VALUE"""),1.0)</f>
        <v>1</v>
      </c>
      <c r="C717" s="1" t="str">
        <f>IFERROR(__xludf.DUMMYFUNCTION("""COMPUTED_VALUE"""),"ง23101")</f>
        <v>ง23101</v>
      </c>
      <c r="D717" s="1" t="str">
        <f>IFERROR(__xludf.DUMMYFUNCTION("""COMPUTED_VALUE"""),"การงานอาชีพฯ 5")</f>
        <v>การงานอาชีพฯ 5</v>
      </c>
      <c r="E717" s="1">
        <f>IFERROR(__xludf.DUMMYFUNCTION("""COMPUTED_VALUE"""),0.5)</f>
        <v>0.5</v>
      </c>
      <c r="F717" s="1">
        <f>IFERROR(__xludf.DUMMYFUNCTION("""COMPUTED_VALUE"""),2569.0)</f>
        <v>2569</v>
      </c>
      <c r="G717" s="1">
        <f>IFERROR(__xludf.DUMMYFUNCTION("""COMPUTED_VALUE"""),1.0)</f>
        <v>1</v>
      </c>
      <c r="H717" s="1">
        <f>IFERROR(__xludf.DUMMYFUNCTION("""COMPUTED_VALUE"""),726.0)</f>
        <v>726</v>
      </c>
      <c r="I717" s="1" t="str">
        <f>IFERROR(__xludf.DUMMYFUNCTION("""COMPUTED_VALUE"""),"นางสาว")</f>
        <v>นางสาว</v>
      </c>
      <c r="J717" s="1" t="str">
        <f>IFERROR(__xludf.DUMMYFUNCTION("""COMPUTED_VALUE"""),"ศิริรัตน์")</f>
        <v>ศิริรัตน์</v>
      </c>
      <c r="K717" s="1" t="str">
        <f>IFERROR(__xludf.DUMMYFUNCTION("""COMPUTED_VALUE"""),"คำอยู่")</f>
        <v>คำอยู่</v>
      </c>
      <c r="L717" s="1" t="str">
        <f>IFERROR(__xludf.DUMMYFUNCTION("""COMPUTED_VALUE"""),"ม.3")</f>
        <v>ม.3</v>
      </c>
      <c r="M717" s="1" t="str">
        <f>IFERROR(__xludf.DUMMYFUNCTION("""COMPUTED_VALUE"""),"การงานอาชีพ")</f>
        <v>การงานอาชีพ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>
        <f>IFERROR(__xludf.DUMMYFUNCTION("""COMPUTED_VALUE"""),5.0)</f>
        <v>5</v>
      </c>
      <c r="B718" s="1">
        <f>IFERROR(__xludf.DUMMYFUNCTION("""COMPUTED_VALUE"""),1.0)</f>
        <v>1</v>
      </c>
      <c r="C718" s="1" t="str">
        <f>IFERROR(__xludf.DUMMYFUNCTION("""COMPUTED_VALUE"""),"ง23101")</f>
        <v>ง23101</v>
      </c>
      <c r="D718" s="1" t="str">
        <f>IFERROR(__xludf.DUMMYFUNCTION("""COMPUTED_VALUE"""),"การงานอาชีพฯ 5")</f>
        <v>การงานอาชีพฯ 5</v>
      </c>
      <c r="E718" s="1">
        <f>IFERROR(__xludf.DUMMYFUNCTION("""COMPUTED_VALUE"""),0.5)</f>
        <v>0.5</v>
      </c>
      <c r="F718" s="1">
        <f>IFERROR(__xludf.DUMMYFUNCTION("""COMPUTED_VALUE"""),2569.0)</f>
        <v>2569</v>
      </c>
      <c r="G718" s="1">
        <f>IFERROR(__xludf.DUMMYFUNCTION("""COMPUTED_VALUE"""),1.0)</f>
        <v>1</v>
      </c>
      <c r="H718" s="1">
        <f>IFERROR(__xludf.DUMMYFUNCTION("""COMPUTED_VALUE"""),726.0)</f>
        <v>726</v>
      </c>
      <c r="I718" s="1" t="str">
        <f>IFERROR(__xludf.DUMMYFUNCTION("""COMPUTED_VALUE"""),"นางสาว")</f>
        <v>นางสาว</v>
      </c>
      <c r="J718" s="1" t="str">
        <f>IFERROR(__xludf.DUMMYFUNCTION("""COMPUTED_VALUE"""),"ศิริรัตน์")</f>
        <v>ศิริรัตน์</v>
      </c>
      <c r="K718" s="1" t="str">
        <f>IFERROR(__xludf.DUMMYFUNCTION("""COMPUTED_VALUE"""),"คำอยู่")</f>
        <v>คำอยู่</v>
      </c>
      <c r="L718" s="1" t="str">
        <f>IFERROR(__xludf.DUMMYFUNCTION("""COMPUTED_VALUE"""),"ม.3")</f>
        <v>ม.3</v>
      </c>
      <c r="M718" s="1" t="str">
        <f>IFERROR(__xludf.DUMMYFUNCTION("""COMPUTED_VALUE"""),"การงานอาชีพ")</f>
        <v>การงานอาชีพ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>
        <f>IFERROR(__xludf.DUMMYFUNCTION("""COMPUTED_VALUE"""),6.0)</f>
        <v>6</v>
      </c>
      <c r="B719" s="1">
        <f>IFERROR(__xludf.DUMMYFUNCTION("""COMPUTED_VALUE"""),1.0)</f>
        <v>1</v>
      </c>
      <c r="C719" s="1" t="str">
        <f>IFERROR(__xludf.DUMMYFUNCTION("""COMPUTED_VALUE"""),"ง23101")</f>
        <v>ง23101</v>
      </c>
      <c r="D719" s="1" t="str">
        <f>IFERROR(__xludf.DUMMYFUNCTION("""COMPUTED_VALUE"""),"การงานอาชีพฯ 5")</f>
        <v>การงานอาชีพฯ 5</v>
      </c>
      <c r="E719" s="1">
        <f>IFERROR(__xludf.DUMMYFUNCTION("""COMPUTED_VALUE"""),0.5)</f>
        <v>0.5</v>
      </c>
      <c r="F719" s="1">
        <f>IFERROR(__xludf.DUMMYFUNCTION("""COMPUTED_VALUE"""),2569.0)</f>
        <v>2569</v>
      </c>
      <c r="G719" s="1">
        <f>IFERROR(__xludf.DUMMYFUNCTION("""COMPUTED_VALUE"""),1.0)</f>
        <v>1</v>
      </c>
      <c r="H719" s="1">
        <f>IFERROR(__xludf.DUMMYFUNCTION("""COMPUTED_VALUE"""),726.0)</f>
        <v>726</v>
      </c>
      <c r="I719" s="1" t="str">
        <f>IFERROR(__xludf.DUMMYFUNCTION("""COMPUTED_VALUE"""),"นางสาว")</f>
        <v>นางสาว</v>
      </c>
      <c r="J719" s="1" t="str">
        <f>IFERROR(__xludf.DUMMYFUNCTION("""COMPUTED_VALUE"""),"ศิริรัตน์")</f>
        <v>ศิริรัตน์</v>
      </c>
      <c r="K719" s="1" t="str">
        <f>IFERROR(__xludf.DUMMYFUNCTION("""COMPUTED_VALUE"""),"คำอยู่")</f>
        <v>คำอยู่</v>
      </c>
      <c r="L719" s="1" t="str">
        <f>IFERROR(__xludf.DUMMYFUNCTION("""COMPUTED_VALUE"""),"ม.3")</f>
        <v>ม.3</v>
      </c>
      <c r="M719" s="1" t="str">
        <f>IFERROR(__xludf.DUMMYFUNCTION("""COMPUTED_VALUE"""),"การงานอาชีพ")</f>
        <v>การงานอาชีพ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>
        <f>IFERROR(__xludf.DUMMYFUNCTION("""COMPUTED_VALUE"""),7.0)</f>
        <v>7</v>
      </c>
      <c r="B720" s="1">
        <f>IFERROR(__xludf.DUMMYFUNCTION("""COMPUTED_VALUE"""),1.0)</f>
        <v>1</v>
      </c>
      <c r="C720" s="1" t="str">
        <f>IFERROR(__xludf.DUMMYFUNCTION("""COMPUTED_VALUE"""),"ง23101")</f>
        <v>ง23101</v>
      </c>
      <c r="D720" s="1" t="str">
        <f>IFERROR(__xludf.DUMMYFUNCTION("""COMPUTED_VALUE"""),"การงานอาชีพฯ 5")</f>
        <v>การงานอาชีพฯ 5</v>
      </c>
      <c r="E720" s="1">
        <f>IFERROR(__xludf.DUMMYFUNCTION("""COMPUTED_VALUE"""),0.5)</f>
        <v>0.5</v>
      </c>
      <c r="F720" s="1">
        <f>IFERROR(__xludf.DUMMYFUNCTION("""COMPUTED_VALUE"""),2569.0)</f>
        <v>2569</v>
      </c>
      <c r="G720" s="1">
        <f>IFERROR(__xludf.DUMMYFUNCTION("""COMPUTED_VALUE"""),1.0)</f>
        <v>1</v>
      </c>
      <c r="H720" s="1">
        <f>IFERROR(__xludf.DUMMYFUNCTION("""COMPUTED_VALUE"""),726.0)</f>
        <v>726</v>
      </c>
      <c r="I720" s="1" t="str">
        <f>IFERROR(__xludf.DUMMYFUNCTION("""COMPUTED_VALUE"""),"นางสาว")</f>
        <v>นางสาว</v>
      </c>
      <c r="J720" s="1" t="str">
        <f>IFERROR(__xludf.DUMMYFUNCTION("""COMPUTED_VALUE"""),"ศิริรัตน์")</f>
        <v>ศิริรัตน์</v>
      </c>
      <c r="K720" s="1" t="str">
        <f>IFERROR(__xludf.DUMMYFUNCTION("""COMPUTED_VALUE"""),"คำอยู่")</f>
        <v>คำอยู่</v>
      </c>
      <c r="L720" s="1" t="str">
        <f>IFERROR(__xludf.DUMMYFUNCTION("""COMPUTED_VALUE"""),"ม.3")</f>
        <v>ม.3</v>
      </c>
      <c r="M720" s="1" t="str">
        <f>IFERROR(__xludf.DUMMYFUNCTION("""COMPUTED_VALUE"""),"การงานอาชีพ")</f>
        <v>การงานอาชีพ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>
        <f>IFERROR(__xludf.DUMMYFUNCTION("""COMPUTED_VALUE"""),8.0)</f>
        <v>8</v>
      </c>
      <c r="B721" s="1">
        <f>IFERROR(__xludf.DUMMYFUNCTION("""COMPUTED_VALUE"""),1.0)</f>
        <v>1</v>
      </c>
      <c r="C721" s="1" t="str">
        <f>IFERROR(__xludf.DUMMYFUNCTION("""COMPUTED_VALUE"""),"ง23101")</f>
        <v>ง23101</v>
      </c>
      <c r="D721" s="1" t="str">
        <f>IFERROR(__xludf.DUMMYFUNCTION("""COMPUTED_VALUE"""),"การงานอาชีพฯ 5")</f>
        <v>การงานอาชีพฯ 5</v>
      </c>
      <c r="E721" s="1">
        <f>IFERROR(__xludf.DUMMYFUNCTION("""COMPUTED_VALUE"""),0.5)</f>
        <v>0.5</v>
      </c>
      <c r="F721" s="1">
        <f>IFERROR(__xludf.DUMMYFUNCTION("""COMPUTED_VALUE"""),2569.0)</f>
        <v>2569</v>
      </c>
      <c r="G721" s="1">
        <f>IFERROR(__xludf.DUMMYFUNCTION("""COMPUTED_VALUE"""),1.0)</f>
        <v>1</v>
      </c>
      <c r="H721" s="1">
        <f>IFERROR(__xludf.DUMMYFUNCTION("""COMPUTED_VALUE"""),726.0)</f>
        <v>726</v>
      </c>
      <c r="I721" s="1" t="str">
        <f>IFERROR(__xludf.DUMMYFUNCTION("""COMPUTED_VALUE"""),"นางสาว")</f>
        <v>นางสาว</v>
      </c>
      <c r="J721" s="1" t="str">
        <f>IFERROR(__xludf.DUMMYFUNCTION("""COMPUTED_VALUE"""),"ศิริรัตน์")</f>
        <v>ศิริรัตน์</v>
      </c>
      <c r="K721" s="1" t="str">
        <f>IFERROR(__xludf.DUMMYFUNCTION("""COMPUTED_VALUE"""),"คำอยู่")</f>
        <v>คำอยู่</v>
      </c>
      <c r="L721" s="1" t="str">
        <f>IFERROR(__xludf.DUMMYFUNCTION("""COMPUTED_VALUE"""),"ม.3")</f>
        <v>ม.3</v>
      </c>
      <c r="M721" s="1" t="str">
        <f>IFERROR(__xludf.DUMMYFUNCTION("""COMPUTED_VALUE"""),"การงานอาชีพ")</f>
        <v>การงานอาชีพ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>
        <f>IFERROR(__xludf.DUMMYFUNCTION("""COMPUTED_VALUE"""),5.0)</f>
        <v>5</v>
      </c>
      <c r="B722" s="1">
        <f>IFERROR(__xludf.DUMMYFUNCTION("""COMPUTED_VALUE"""),1.0)</f>
        <v>1</v>
      </c>
      <c r="C722" s="1" t="str">
        <f>IFERROR(__xludf.DUMMYFUNCTION("""COMPUTED_VALUE"""),"ง30220")</f>
        <v>ง30220</v>
      </c>
      <c r="D722" s="1" t="str">
        <f>IFERROR(__xludf.DUMMYFUNCTION("""COMPUTED_VALUE"""),"ธุรกิจการเกษตร")</f>
        <v>ธุรกิจการเกษตร</v>
      </c>
      <c r="E722" s="1">
        <f>IFERROR(__xludf.DUMMYFUNCTION("""COMPUTED_VALUE"""),0.5)</f>
        <v>0.5</v>
      </c>
      <c r="F722" s="1">
        <f>IFERROR(__xludf.DUMMYFUNCTION("""COMPUTED_VALUE"""),2569.0)</f>
        <v>2569</v>
      </c>
      <c r="G722" s="1">
        <f>IFERROR(__xludf.DUMMYFUNCTION("""COMPUTED_VALUE"""),1.0)</f>
        <v>1</v>
      </c>
      <c r="H722" s="1">
        <f>IFERROR(__xludf.DUMMYFUNCTION("""COMPUTED_VALUE"""),726.0)</f>
        <v>726</v>
      </c>
      <c r="I722" s="1" t="str">
        <f>IFERROR(__xludf.DUMMYFUNCTION("""COMPUTED_VALUE"""),"นางสาว")</f>
        <v>นางสาว</v>
      </c>
      <c r="J722" s="1" t="str">
        <f>IFERROR(__xludf.DUMMYFUNCTION("""COMPUTED_VALUE"""),"ศิริรัตน์")</f>
        <v>ศิริรัตน์</v>
      </c>
      <c r="K722" s="1" t="str">
        <f>IFERROR(__xludf.DUMMYFUNCTION("""COMPUTED_VALUE"""),"คำอยู่")</f>
        <v>คำอยู่</v>
      </c>
      <c r="L722" s="1" t="str">
        <f>IFERROR(__xludf.DUMMYFUNCTION("""COMPUTED_VALUE"""),"ม.4")</f>
        <v>ม.4</v>
      </c>
      <c r="M722" s="1" t="str">
        <f>IFERROR(__xludf.DUMMYFUNCTION("""COMPUTED_VALUE"""),"การงานอาชีพ")</f>
        <v>การงานอาชีพ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>
        <f>IFERROR(__xludf.DUMMYFUNCTION("""COMPUTED_VALUE"""),4.0)</f>
        <v>4</v>
      </c>
      <c r="B723" s="1">
        <f>IFERROR(__xludf.DUMMYFUNCTION("""COMPUTED_VALUE"""),2.0)</f>
        <v>2</v>
      </c>
      <c r="C723" s="1" t="str">
        <f>IFERROR(__xludf.DUMMYFUNCTION("""COMPUTED_VALUE"""),"ส30251")</f>
        <v>ส30251</v>
      </c>
      <c r="D723" s="1" t="str">
        <f>IFERROR(__xludf.DUMMYFUNCTION("""COMPUTED_VALUE"""),"การป้องกันการทุจริต 5")</f>
        <v>การป้องกันการทุจริต 5</v>
      </c>
      <c r="E723" s="1">
        <f>IFERROR(__xludf.DUMMYFUNCTION("""COMPUTED_VALUE"""),0.5)</f>
        <v>0.5</v>
      </c>
      <c r="F723" s="1">
        <f>IFERROR(__xludf.DUMMYFUNCTION("""COMPUTED_VALUE"""),2569.0)</f>
        <v>2569</v>
      </c>
      <c r="G723" s="1">
        <f>IFERROR(__xludf.DUMMYFUNCTION("""COMPUTED_VALUE"""),1.0)</f>
        <v>1</v>
      </c>
      <c r="H723" s="1">
        <f>IFERROR(__xludf.DUMMYFUNCTION("""COMPUTED_VALUE"""),726.0)</f>
        <v>726</v>
      </c>
      <c r="I723" s="1" t="str">
        <f>IFERROR(__xludf.DUMMYFUNCTION("""COMPUTED_VALUE"""),"นางสาว")</f>
        <v>นางสาว</v>
      </c>
      <c r="J723" s="1" t="str">
        <f>IFERROR(__xludf.DUMMYFUNCTION("""COMPUTED_VALUE"""),"ศิริรัตน์")</f>
        <v>ศิริรัตน์</v>
      </c>
      <c r="K723" s="1" t="str">
        <f>IFERROR(__xludf.DUMMYFUNCTION("""COMPUTED_VALUE"""),"คำอยู่")</f>
        <v>คำอยู่</v>
      </c>
      <c r="L723" s="1" t="str">
        <f>IFERROR(__xludf.DUMMYFUNCTION("""COMPUTED_VALUE"""),"ม.6")</f>
        <v>ม.6</v>
      </c>
      <c r="M723" s="1" t="str">
        <f>IFERROR(__xludf.DUMMYFUNCTION("""COMPUTED_VALUE"""),"การงานอาชีพ")</f>
        <v>การงานอาชีพ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>
        <f>IFERROR(__xludf.DUMMYFUNCTION("""COMPUTED_VALUE"""),11.0)</f>
        <v>11</v>
      </c>
      <c r="B724" s="1">
        <f>IFERROR(__xludf.DUMMYFUNCTION("""COMPUTED_VALUE"""),1.0)</f>
        <v>1</v>
      </c>
      <c r="C724" s="1" t="str">
        <f>IFERROR(__xludf.DUMMYFUNCTION("""COMPUTED_VALUE"""),"I30201")</f>
        <v>I30201</v>
      </c>
      <c r="D724" s="1" t="str">
        <f>IFERROR(__xludf.DUMMYFUNCTION("""COMPUTED_VALUE"""),"การศึกษาค้นคว้าฯ")</f>
        <v>การศึกษาค้นคว้าฯ</v>
      </c>
      <c r="E724" s="1">
        <f>IFERROR(__xludf.DUMMYFUNCTION("""COMPUTED_VALUE"""),1.0)</f>
        <v>1</v>
      </c>
      <c r="F724" s="1">
        <f>IFERROR(__xludf.DUMMYFUNCTION("""COMPUTED_VALUE"""),2569.0)</f>
        <v>2569</v>
      </c>
      <c r="G724" s="1">
        <f>IFERROR(__xludf.DUMMYFUNCTION("""COMPUTED_VALUE"""),1.0)</f>
        <v>1</v>
      </c>
      <c r="H724" s="1">
        <f>IFERROR(__xludf.DUMMYFUNCTION("""COMPUTED_VALUE"""),726.0)</f>
        <v>726</v>
      </c>
      <c r="I724" s="1" t="str">
        <f>IFERROR(__xludf.DUMMYFUNCTION("""COMPUTED_VALUE"""),"นางสาว")</f>
        <v>นางสาว</v>
      </c>
      <c r="J724" s="1" t="str">
        <f>IFERROR(__xludf.DUMMYFUNCTION("""COMPUTED_VALUE"""),"ศิริรัตน์")</f>
        <v>ศิริรัตน์</v>
      </c>
      <c r="K724" s="1" t="str">
        <f>IFERROR(__xludf.DUMMYFUNCTION("""COMPUTED_VALUE"""),"คำอยู่")</f>
        <v>คำอยู่</v>
      </c>
      <c r="L724" s="1" t="str">
        <f>IFERROR(__xludf.DUMMYFUNCTION("""COMPUTED_VALUE"""),"ม.5")</f>
        <v>ม.5</v>
      </c>
      <c r="M724" s="1" t="str">
        <f>IFERROR(__xludf.DUMMYFUNCTION("""COMPUTED_VALUE"""),"การงานอาชีพ")</f>
        <v>การงานอาชีพ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>
        <f>IFERROR(__xludf.DUMMYFUNCTION("""COMPUTED_VALUE"""),11.0)</f>
        <v>11</v>
      </c>
      <c r="B725" s="1">
        <f>IFERROR(__xludf.DUMMYFUNCTION("""COMPUTED_VALUE"""),1.0)</f>
        <v>1</v>
      </c>
      <c r="C725" s="1" t="str">
        <f>IFERROR(__xludf.DUMMYFUNCTION("""COMPUTED_VALUE"""),"ง30206")</f>
        <v>ง30206</v>
      </c>
      <c r="D725" s="1" t="str">
        <f>IFERROR(__xludf.DUMMYFUNCTION("""COMPUTED_VALUE"""),"วัสดุงานช่างอุตสาหกรรม")</f>
        <v>วัสดุงานช่างอุตสาหกรรม</v>
      </c>
      <c r="E725" s="1">
        <f>IFERROR(__xludf.DUMMYFUNCTION("""COMPUTED_VALUE"""),1.0)</f>
        <v>1</v>
      </c>
      <c r="F725" s="1">
        <f>IFERROR(__xludf.DUMMYFUNCTION("""COMPUTED_VALUE"""),2569.0)</f>
        <v>2569</v>
      </c>
      <c r="G725" s="1">
        <f>IFERROR(__xludf.DUMMYFUNCTION("""COMPUTED_VALUE"""),1.0)</f>
        <v>1</v>
      </c>
      <c r="H725" s="1">
        <f>IFERROR(__xludf.DUMMYFUNCTION("""COMPUTED_VALUE"""),727.0)</f>
        <v>727</v>
      </c>
      <c r="I725" s="1" t="str">
        <f>IFERROR(__xludf.DUMMYFUNCTION("""COMPUTED_VALUE"""),"นางสาว")</f>
        <v>นางสาว</v>
      </c>
      <c r="J725" s="1" t="str">
        <f>IFERROR(__xludf.DUMMYFUNCTION("""COMPUTED_VALUE"""),"กฤษฎารัตน์")</f>
        <v>กฤษฎารัตน์</v>
      </c>
      <c r="K725" s="1" t="str">
        <f>IFERROR(__xludf.DUMMYFUNCTION("""COMPUTED_VALUE"""),"เครื่องชนะ")</f>
        <v>เครื่องชนะ</v>
      </c>
      <c r="L725" s="1" t="str">
        <f>IFERROR(__xludf.DUMMYFUNCTION("""COMPUTED_VALUE"""),"ม.5")</f>
        <v>ม.5</v>
      </c>
      <c r="M725" s="1" t="str">
        <f>IFERROR(__xludf.DUMMYFUNCTION("""COMPUTED_VALUE"""),"การงานอาชีพ")</f>
        <v>การงานอาชีพ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>
        <f>IFERROR(__xludf.DUMMYFUNCTION("""COMPUTED_VALUE"""),9.0)</f>
        <v>9</v>
      </c>
      <c r="B726" s="1">
        <f>IFERROR(__xludf.DUMMYFUNCTION("""COMPUTED_VALUE"""),1.0)</f>
        <v>1</v>
      </c>
      <c r="C726" s="1" t="str">
        <f>IFERROR(__xludf.DUMMYFUNCTION("""COMPUTED_VALUE"""),"ง30211")</f>
        <v>ง30211</v>
      </c>
      <c r="D726" s="1" t="str">
        <f>IFERROR(__xludf.DUMMYFUNCTION("""COMPUTED_VALUE"""),"มาตรฐานความปลอดภัยในโรงงาน")</f>
        <v>มาตรฐานความปลอดภัยในโรงงาน</v>
      </c>
      <c r="E726" s="1">
        <f>IFERROR(__xludf.DUMMYFUNCTION("""COMPUTED_VALUE"""),1.0)</f>
        <v>1</v>
      </c>
      <c r="F726" s="1">
        <f>IFERROR(__xludf.DUMMYFUNCTION("""COMPUTED_VALUE"""),2569.0)</f>
        <v>2569</v>
      </c>
      <c r="G726" s="1">
        <f>IFERROR(__xludf.DUMMYFUNCTION("""COMPUTED_VALUE"""),1.0)</f>
        <v>1</v>
      </c>
      <c r="H726" s="1">
        <f>IFERROR(__xludf.DUMMYFUNCTION("""COMPUTED_VALUE"""),727.0)</f>
        <v>727</v>
      </c>
      <c r="I726" s="1" t="str">
        <f>IFERROR(__xludf.DUMMYFUNCTION("""COMPUTED_VALUE"""),"นางสาว")</f>
        <v>นางสาว</v>
      </c>
      <c r="J726" s="1" t="str">
        <f>IFERROR(__xludf.DUMMYFUNCTION("""COMPUTED_VALUE"""),"กฤษฎารัตน์")</f>
        <v>กฤษฎารัตน์</v>
      </c>
      <c r="K726" s="1" t="str">
        <f>IFERROR(__xludf.DUMMYFUNCTION("""COMPUTED_VALUE"""),"เครื่องชนะ")</f>
        <v>เครื่องชนะ</v>
      </c>
      <c r="L726" s="1" t="str">
        <f>IFERROR(__xludf.DUMMYFUNCTION("""COMPUTED_VALUE"""),"ม.4")</f>
        <v>ม.4</v>
      </c>
      <c r="M726" s="1" t="str">
        <f>IFERROR(__xludf.DUMMYFUNCTION("""COMPUTED_VALUE"""),"การงานอาชีพ")</f>
        <v>การงานอาชีพ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>
        <f>IFERROR(__xludf.DUMMYFUNCTION("""COMPUTED_VALUE"""),1.0)</f>
        <v>1</v>
      </c>
      <c r="B727" s="1">
        <f>IFERROR(__xludf.DUMMYFUNCTION("""COMPUTED_VALUE"""),1.0)</f>
        <v>1</v>
      </c>
      <c r="C727" s="1" t="str">
        <f>IFERROR(__xludf.DUMMYFUNCTION("""COMPUTED_VALUE"""),"ง31101")</f>
        <v>ง31101</v>
      </c>
      <c r="D727" s="1" t="str">
        <f>IFERROR(__xludf.DUMMYFUNCTION("""COMPUTED_VALUE"""),"การงานอาชีพฯ 1")</f>
        <v>การงานอาชีพฯ 1</v>
      </c>
      <c r="E727" s="1">
        <f>IFERROR(__xludf.DUMMYFUNCTION("""COMPUTED_VALUE"""),0.5)</f>
        <v>0.5</v>
      </c>
      <c r="F727" s="1">
        <f>IFERROR(__xludf.DUMMYFUNCTION("""COMPUTED_VALUE"""),2569.0)</f>
        <v>2569</v>
      </c>
      <c r="G727" s="1">
        <f>IFERROR(__xludf.DUMMYFUNCTION("""COMPUTED_VALUE"""),1.0)</f>
        <v>1</v>
      </c>
      <c r="H727" s="1">
        <f>IFERROR(__xludf.DUMMYFUNCTION("""COMPUTED_VALUE"""),727.0)</f>
        <v>727</v>
      </c>
      <c r="I727" s="1" t="str">
        <f>IFERROR(__xludf.DUMMYFUNCTION("""COMPUTED_VALUE"""),"นางสาว")</f>
        <v>นางสาว</v>
      </c>
      <c r="J727" s="1" t="str">
        <f>IFERROR(__xludf.DUMMYFUNCTION("""COMPUTED_VALUE"""),"กฤษฎารัตน์")</f>
        <v>กฤษฎารัตน์</v>
      </c>
      <c r="K727" s="1" t="str">
        <f>IFERROR(__xludf.DUMMYFUNCTION("""COMPUTED_VALUE"""),"เครื่องชนะ")</f>
        <v>เครื่องชนะ</v>
      </c>
      <c r="L727" s="1" t="str">
        <f>IFERROR(__xludf.DUMMYFUNCTION("""COMPUTED_VALUE"""),"ม.4")</f>
        <v>ม.4</v>
      </c>
      <c r="M727" s="1" t="str">
        <f>IFERROR(__xludf.DUMMYFUNCTION("""COMPUTED_VALUE"""),"การงานอาชีพ")</f>
        <v>การงานอาชีพ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>
        <f>IFERROR(__xludf.DUMMYFUNCTION("""COMPUTED_VALUE"""),2.0)</f>
        <v>2</v>
      </c>
      <c r="B728" s="1">
        <f>IFERROR(__xludf.DUMMYFUNCTION("""COMPUTED_VALUE"""),1.0)</f>
        <v>1</v>
      </c>
      <c r="C728" s="1" t="str">
        <f>IFERROR(__xludf.DUMMYFUNCTION("""COMPUTED_VALUE"""),"ง31101")</f>
        <v>ง31101</v>
      </c>
      <c r="D728" s="1" t="str">
        <f>IFERROR(__xludf.DUMMYFUNCTION("""COMPUTED_VALUE"""),"การงานอาชีพฯ 1")</f>
        <v>การงานอาชีพฯ 1</v>
      </c>
      <c r="E728" s="1">
        <f>IFERROR(__xludf.DUMMYFUNCTION("""COMPUTED_VALUE"""),0.5)</f>
        <v>0.5</v>
      </c>
      <c r="F728" s="1">
        <f>IFERROR(__xludf.DUMMYFUNCTION("""COMPUTED_VALUE"""),2569.0)</f>
        <v>2569</v>
      </c>
      <c r="G728" s="1">
        <f>IFERROR(__xludf.DUMMYFUNCTION("""COMPUTED_VALUE"""),1.0)</f>
        <v>1</v>
      </c>
      <c r="H728" s="1">
        <f>IFERROR(__xludf.DUMMYFUNCTION("""COMPUTED_VALUE"""),727.0)</f>
        <v>727</v>
      </c>
      <c r="I728" s="1" t="str">
        <f>IFERROR(__xludf.DUMMYFUNCTION("""COMPUTED_VALUE"""),"นางสาว")</f>
        <v>นางสาว</v>
      </c>
      <c r="J728" s="1" t="str">
        <f>IFERROR(__xludf.DUMMYFUNCTION("""COMPUTED_VALUE"""),"กฤษฎารัตน์")</f>
        <v>กฤษฎารัตน์</v>
      </c>
      <c r="K728" s="1" t="str">
        <f>IFERROR(__xludf.DUMMYFUNCTION("""COMPUTED_VALUE"""),"เครื่องชนะ")</f>
        <v>เครื่องชนะ</v>
      </c>
      <c r="L728" s="1" t="str">
        <f>IFERROR(__xludf.DUMMYFUNCTION("""COMPUTED_VALUE"""),"ม.4")</f>
        <v>ม.4</v>
      </c>
      <c r="M728" s="1" t="str">
        <f>IFERROR(__xludf.DUMMYFUNCTION("""COMPUTED_VALUE"""),"การงานอาชีพ")</f>
        <v>การงานอาชีพ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>
        <f>IFERROR(__xludf.DUMMYFUNCTION("""COMPUTED_VALUE"""),3.0)</f>
        <v>3</v>
      </c>
      <c r="B729" s="1">
        <f>IFERROR(__xludf.DUMMYFUNCTION("""COMPUTED_VALUE"""),1.0)</f>
        <v>1</v>
      </c>
      <c r="C729" s="1" t="str">
        <f>IFERROR(__xludf.DUMMYFUNCTION("""COMPUTED_VALUE"""),"ง31101")</f>
        <v>ง31101</v>
      </c>
      <c r="D729" s="1" t="str">
        <f>IFERROR(__xludf.DUMMYFUNCTION("""COMPUTED_VALUE"""),"การงานอาชีพฯ 1")</f>
        <v>การงานอาชีพฯ 1</v>
      </c>
      <c r="E729" s="1">
        <f>IFERROR(__xludf.DUMMYFUNCTION("""COMPUTED_VALUE"""),0.5)</f>
        <v>0.5</v>
      </c>
      <c r="F729" s="1">
        <f>IFERROR(__xludf.DUMMYFUNCTION("""COMPUTED_VALUE"""),2569.0)</f>
        <v>2569</v>
      </c>
      <c r="G729" s="1">
        <f>IFERROR(__xludf.DUMMYFUNCTION("""COMPUTED_VALUE"""),1.0)</f>
        <v>1</v>
      </c>
      <c r="H729" s="1">
        <f>IFERROR(__xludf.DUMMYFUNCTION("""COMPUTED_VALUE"""),727.0)</f>
        <v>727</v>
      </c>
      <c r="I729" s="1" t="str">
        <f>IFERROR(__xludf.DUMMYFUNCTION("""COMPUTED_VALUE"""),"นางสาว")</f>
        <v>นางสาว</v>
      </c>
      <c r="J729" s="1" t="str">
        <f>IFERROR(__xludf.DUMMYFUNCTION("""COMPUTED_VALUE"""),"กฤษฎารัตน์")</f>
        <v>กฤษฎารัตน์</v>
      </c>
      <c r="K729" s="1" t="str">
        <f>IFERROR(__xludf.DUMMYFUNCTION("""COMPUTED_VALUE"""),"เครื่องชนะ")</f>
        <v>เครื่องชนะ</v>
      </c>
      <c r="L729" s="1" t="str">
        <f>IFERROR(__xludf.DUMMYFUNCTION("""COMPUTED_VALUE"""),"ม.4")</f>
        <v>ม.4</v>
      </c>
      <c r="M729" s="1" t="str">
        <f>IFERROR(__xludf.DUMMYFUNCTION("""COMPUTED_VALUE"""),"การงานอาชีพ")</f>
        <v>การงานอาชีพ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>
        <f>IFERROR(__xludf.DUMMYFUNCTION("""COMPUTED_VALUE"""),4.0)</f>
        <v>4</v>
      </c>
      <c r="B730" s="1">
        <f>IFERROR(__xludf.DUMMYFUNCTION("""COMPUTED_VALUE"""),1.0)</f>
        <v>1</v>
      </c>
      <c r="C730" s="1" t="str">
        <f>IFERROR(__xludf.DUMMYFUNCTION("""COMPUTED_VALUE"""),"ง31101")</f>
        <v>ง31101</v>
      </c>
      <c r="D730" s="1" t="str">
        <f>IFERROR(__xludf.DUMMYFUNCTION("""COMPUTED_VALUE"""),"การงานอาชีพฯ 1")</f>
        <v>การงานอาชีพฯ 1</v>
      </c>
      <c r="E730" s="1">
        <f>IFERROR(__xludf.DUMMYFUNCTION("""COMPUTED_VALUE"""),0.5)</f>
        <v>0.5</v>
      </c>
      <c r="F730" s="1">
        <f>IFERROR(__xludf.DUMMYFUNCTION("""COMPUTED_VALUE"""),2569.0)</f>
        <v>2569</v>
      </c>
      <c r="G730" s="1">
        <f>IFERROR(__xludf.DUMMYFUNCTION("""COMPUTED_VALUE"""),1.0)</f>
        <v>1</v>
      </c>
      <c r="H730" s="1">
        <f>IFERROR(__xludf.DUMMYFUNCTION("""COMPUTED_VALUE"""),727.0)</f>
        <v>727</v>
      </c>
      <c r="I730" s="1" t="str">
        <f>IFERROR(__xludf.DUMMYFUNCTION("""COMPUTED_VALUE"""),"นางสาว")</f>
        <v>นางสาว</v>
      </c>
      <c r="J730" s="1" t="str">
        <f>IFERROR(__xludf.DUMMYFUNCTION("""COMPUTED_VALUE"""),"กฤษฎารัตน์")</f>
        <v>กฤษฎารัตน์</v>
      </c>
      <c r="K730" s="1" t="str">
        <f>IFERROR(__xludf.DUMMYFUNCTION("""COMPUTED_VALUE"""),"เครื่องชนะ")</f>
        <v>เครื่องชนะ</v>
      </c>
      <c r="L730" s="1" t="str">
        <f>IFERROR(__xludf.DUMMYFUNCTION("""COMPUTED_VALUE"""),"ม.4")</f>
        <v>ม.4</v>
      </c>
      <c r="M730" s="1" t="str">
        <f>IFERROR(__xludf.DUMMYFUNCTION("""COMPUTED_VALUE"""),"การงานอาชีพ")</f>
        <v>การงานอาชีพ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>
        <f>IFERROR(__xludf.DUMMYFUNCTION("""COMPUTED_VALUE"""),5.0)</f>
        <v>5</v>
      </c>
      <c r="B731" s="1">
        <f>IFERROR(__xludf.DUMMYFUNCTION("""COMPUTED_VALUE"""),1.0)</f>
        <v>1</v>
      </c>
      <c r="C731" s="1" t="str">
        <f>IFERROR(__xludf.DUMMYFUNCTION("""COMPUTED_VALUE"""),"ง31101")</f>
        <v>ง31101</v>
      </c>
      <c r="D731" s="1" t="str">
        <f>IFERROR(__xludf.DUMMYFUNCTION("""COMPUTED_VALUE"""),"การงานอาชีพฯ 1")</f>
        <v>การงานอาชีพฯ 1</v>
      </c>
      <c r="E731" s="1">
        <f>IFERROR(__xludf.DUMMYFUNCTION("""COMPUTED_VALUE"""),0.5)</f>
        <v>0.5</v>
      </c>
      <c r="F731" s="1">
        <f>IFERROR(__xludf.DUMMYFUNCTION("""COMPUTED_VALUE"""),2569.0)</f>
        <v>2569</v>
      </c>
      <c r="G731" s="1">
        <f>IFERROR(__xludf.DUMMYFUNCTION("""COMPUTED_VALUE"""),1.0)</f>
        <v>1</v>
      </c>
      <c r="H731" s="1">
        <f>IFERROR(__xludf.DUMMYFUNCTION("""COMPUTED_VALUE"""),727.0)</f>
        <v>727</v>
      </c>
      <c r="I731" s="1" t="str">
        <f>IFERROR(__xludf.DUMMYFUNCTION("""COMPUTED_VALUE"""),"นางสาว")</f>
        <v>นางสาว</v>
      </c>
      <c r="J731" s="1" t="str">
        <f>IFERROR(__xludf.DUMMYFUNCTION("""COMPUTED_VALUE"""),"กฤษฎารัตน์")</f>
        <v>กฤษฎารัตน์</v>
      </c>
      <c r="K731" s="1" t="str">
        <f>IFERROR(__xludf.DUMMYFUNCTION("""COMPUTED_VALUE"""),"เครื่องชนะ")</f>
        <v>เครื่องชนะ</v>
      </c>
      <c r="L731" s="1" t="str">
        <f>IFERROR(__xludf.DUMMYFUNCTION("""COMPUTED_VALUE"""),"ม.4")</f>
        <v>ม.4</v>
      </c>
      <c r="M731" s="1" t="str">
        <f>IFERROR(__xludf.DUMMYFUNCTION("""COMPUTED_VALUE"""),"การงานอาชีพ")</f>
        <v>การงานอาชีพ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>
        <f>IFERROR(__xludf.DUMMYFUNCTION("""COMPUTED_VALUE"""),6.0)</f>
        <v>6</v>
      </c>
      <c r="B732" s="1">
        <f>IFERROR(__xludf.DUMMYFUNCTION("""COMPUTED_VALUE"""),1.0)</f>
        <v>1</v>
      </c>
      <c r="C732" s="1" t="str">
        <f>IFERROR(__xludf.DUMMYFUNCTION("""COMPUTED_VALUE"""),"ง31101")</f>
        <v>ง31101</v>
      </c>
      <c r="D732" s="1" t="str">
        <f>IFERROR(__xludf.DUMMYFUNCTION("""COMPUTED_VALUE"""),"การงานอาชีพฯ 1")</f>
        <v>การงานอาชีพฯ 1</v>
      </c>
      <c r="E732" s="1">
        <f>IFERROR(__xludf.DUMMYFUNCTION("""COMPUTED_VALUE"""),0.5)</f>
        <v>0.5</v>
      </c>
      <c r="F732" s="1">
        <f>IFERROR(__xludf.DUMMYFUNCTION("""COMPUTED_VALUE"""),2569.0)</f>
        <v>2569</v>
      </c>
      <c r="G732" s="1">
        <f>IFERROR(__xludf.DUMMYFUNCTION("""COMPUTED_VALUE"""),1.0)</f>
        <v>1</v>
      </c>
      <c r="H732" s="1">
        <f>IFERROR(__xludf.DUMMYFUNCTION("""COMPUTED_VALUE"""),727.0)</f>
        <v>727</v>
      </c>
      <c r="I732" s="1" t="str">
        <f>IFERROR(__xludf.DUMMYFUNCTION("""COMPUTED_VALUE"""),"นางสาว")</f>
        <v>นางสาว</v>
      </c>
      <c r="J732" s="1" t="str">
        <f>IFERROR(__xludf.DUMMYFUNCTION("""COMPUTED_VALUE"""),"กฤษฎารัตน์")</f>
        <v>กฤษฎารัตน์</v>
      </c>
      <c r="K732" s="1" t="str">
        <f>IFERROR(__xludf.DUMMYFUNCTION("""COMPUTED_VALUE"""),"เครื่องชนะ")</f>
        <v>เครื่องชนะ</v>
      </c>
      <c r="L732" s="1" t="str">
        <f>IFERROR(__xludf.DUMMYFUNCTION("""COMPUTED_VALUE"""),"ม.4")</f>
        <v>ม.4</v>
      </c>
      <c r="M732" s="1" t="str">
        <f>IFERROR(__xludf.DUMMYFUNCTION("""COMPUTED_VALUE"""),"การงานอาชีพ")</f>
        <v>การงานอาชีพ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>
        <f>IFERROR(__xludf.DUMMYFUNCTION("""COMPUTED_VALUE"""),7.0)</f>
        <v>7</v>
      </c>
      <c r="B733" s="1">
        <f>IFERROR(__xludf.DUMMYFUNCTION("""COMPUTED_VALUE"""),1.0)</f>
        <v>1</v>
      </c>
      <c r="C733" s="1" t="str">
        <f>IFERROR(__xludf.DUMMYFUNCTION("""COMPUTED_VALUE"""),"ง31101")</f>
        <v>ง31101</v>
      </c>
      <c r="D733" s="1" t="str">
        <f>IFERROR(__xludf.DUMMYFUNCTION("""COMPUTED_VALUE"""),"การงานอาชีพฯ 1")</f>
        <v>การงานอาชีพฯ 1</v>
      </c>
      <c r="E733" s="1">
        <f>IFERROR(__xludf.DUMMYFUNCTION("""COMPUTED_VALUE"""),0.5)</f>
        <v>0.5</v>
      </c>
      <c r="F733" s="1">
        <f>IFERROR(__xludf.DUMMYFUNCTION("""COMPUTED_VALUE"""),2569.0)</f>
        <v>2569</v>
      </c>
      <c r="G733" s="1">
        <f>IFERROR(__xludf.DUMMYFUNCTION("""COMPUTED_VALUE"""),1.0)</f>
        <v>1</v>
      </c>
      <c r="H733" s="1">
        <f>IFERROR(__xludf.DUMMYFUNCTION("""COMPUTED_VALUE"""),727.0)</f>
        <v>727</v>
      </c>
      <c r="I733" s="1" t="str">
        <f>IFERROR(__xludf.DUMMYFUNCTION("""COMPUTED_VALUE"""),"นางสาว")</f>
        <v>นางสาว</v>
      </c>
      <c r="J733" s="1" t="str">
        <f>IFERROR(__xludf.DUMMYFUNCTION("""COMPUTED_VALUE"""),"กฤษฎารัตน์")</f>
        <v>กฤษฎารัตน์</v>
      </c>
      <c r="K733" s="1" t="str">
        <f>IFERROR(__xludf.DUMMYFUNCTION("""COMPUTED_VALUE"""),"เครื่องชนะ")</f>
        <v>เครื่องชนะ</v>
      </c>
      <c r="L733" s="1" t="str">
        <f>IFERROR(__xludf.DUMMYFUNCTION("""COMPUTED_VALUE"""),"ม.4")</f>
        <v>ม.4</v>
      </c>
      <c r="M733" s="1" t="str">
        <f>IFERROR(__xludf.DUMMYFUNCTION("""COMPUTED_VALUE"""),"การงานอาชีพ")</f>
        <v>การงานอาชีพ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>
        <f>IFERROR(__xludf.DUMMYFUNCTION("""COMPUTED_VALUE"""),8.0)</f>
        <v>8</v>
      </c>
      <c r="B734" s="1">
        <f>IFERROR(__xludf.DUMMYFUNCTION("""COMPUTED_VALUE"""),1.0)</f>
        <v>1</v>
      </c>
      <c r="C734" s="1" t="str">
        <f>IFERROR(__xludf.DUMMYFUNCTION("""COMPUTED_VALUE"""),"ง31101")</f>
        <v>ง31101</v>
      </c>
      <c r="D734" s="1" t="str">
        <f>IFERROR(__xludf.DUMMYFUNCTION("""COMPUTED_VALUE"""),"การงานอาชีพฯ 1")</f>
        <v>การงานอาชีพฯ 1</v>
      </c>
      <c r="E734" s="1">
        <f>IFERROR(__xludf.DUMMYFUNCTION("""COMPUTED_VALUE"""),0.5)</f>
        <v>0.5</v>
      </c>
      <c r="F734" s="1">
        <f>IFERROR(__xludf.DUMMYFUNCTION("""COMPUTED_VALUE"""),2569.0)</f>
        <v>2569</v>
      </c>
      <c r="G734" s="1">
        <f>IFERROR(__xludf.DUMMYFUNCTION("""COMPUTED_VALUE"""),1.0)</f>
        <v>1</v>
      </c>
      <c r="H734" s="1">
        <f>IFERROR(__xludf.DUMMYFUNCTION("""COMPUTED_VALUE"""),727.0)</f>
        <v>727</v>
      </c>
      <c r="I734" s="1" t="str">
        <f>IFERROR(__xludf.DUMMYFUNCTION("""COMPUTED_VALUE"""),"นางสาว")</f>
        <v>นางสาว</v>
      </c>
      <c r="J734" s="1" t="str">
        <f>IFERROR(__xludf.DUMMYFUNCTION("""COMPUTED_VALUE"""),"กฤษฎารัตน์")</f>
        <v>กฤษฎารัตน์</v>
      </c>
      <c r="K734" s="1" t="str">
        <f>IFERROR(__xludf.DUMMYFUNCTION("""COMPUTED_VALUE"""),"เครื่องชนะ")</f>
        <v>เครื่องชนะ</v>
      </c>
      <c r="L734" s="1" t="str">
        <f>IFERROR(__xludf.DUMMYFUNCTION("""COMPUTED_VALUE"""),"ม.4")</f>
        <v>ม.4</v>
      </c>
      <c r="M734" s="1" t="str">
        <f>IFERROR(__xludf.DUMMYFUNCTION("""COMPUTED_VALUE"""),"การงานอาชีพ")</f>
        <v>การงานอาชีพ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>
        <f>IFERROR(__xludf.DUMMYFUNCTION("""COMPUTED_VALUE"""),9.0)</f>
        <v>9</v>
      </c>
      <c r="B735" s="1">
        <f>IFERROR(__xludf.DUMMYFUNCTION("""COMPUTED_VALUE"""),1.0)</f>
        <v>1</v>
      </c>
      <c r="C735" s="1" t="str">
        <f>IFERROR(__xludf.DUMMYFUNCTION("""COMPUTED_VALUE"""),"ง31101")</f>
        <v>ง31101</v>
      </c>
      <c r="D735" s="1" t="str">
        <f>IFERROR(__xludf.DUMMYFUNCTION("""COMPUTED_VALUE"""),"การงานอาชีพฯ 1")</f>
        <v>การงานอาชีพฯ 1</v>
      </c>
      <c r="E735" s="1">
        <f>IFERROR(__xludf.DUMMYFUNCTION("""COMPUTED_VALUE"""),0.5)</f>
        <v>0.5</v>
      </c>
      <c r="F735" s="1">
        <f>IFERROR(__xludf.DUMMYFUNCTION("""COMPUTED_VALUE"""),2569.0)</f>
        <v>2569</v>
      </c>
      <c r="G735" s="1">
        <f>IFERROR(__xludf.DUMMYFUNCTION("""COMPUTED_VALUE"""),1.0)</f>
        <v>1</v>
      </c>
      <c r="H735" s="1">
        <f>IFERROR(__xludf.DUMMYFUNCTION("""COMPUTED_VALUE"""),727.0)</f>
        <v>727</v>
      </c>
      <c r="I735" s="1" t="str">
        <f>IFERROR(__xludf.DUMMYFUNCTION("""COMPUTED_VALUE"""),"นางสาว")</f>
        <v>นางสาว</v>
      </c>
      <c r="J735" s="1" t="str">
        <f>IFERROR(__xludf.DUMMYFUNCTION("""COMPUTED_VALUE"""),"กฤษฎารัตน์")</f>
        <v>กฤษฎารัตน์</v>
      </c>
      <c r="K735" s="1" t="str">
        <f>IFERROR(__xludf.DUMMYFUNCTION("""COMPUTED_VALUE"""),"เครื่องชนะ")</f>
        <v>เครื่องชนะ</v>
      </c>
      <c r="L735" s="1" t="str">
        <f>IFERROR(__xludf.DUMMYFUNCTION("""COMPUTED_VALUE"""),"ม.4")</f>
        <v>ม.4</v>
      </c>
      <c r="M735" s="1" t="str">
        <f>IFERROR(__xludf.DUMMYFUNCTION("""COMPUTED_VALUE"""),"การงานอาชีพ")</f>
        <v>การงานอาชีพ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>
        <f>IFERROR(__xludf.DUMMYFUNCTION("""COMPUTED_VALUE"""),10.0)</f>
        <v>10</v>
      </c>
      <c r="B736" s="1">
        <f>IFERROR(__xludf.DUMMYFUNCTION("""COMPUTED_VALUE"""),1.0)</f>
        <v>1</v>
      </c>
      <c r="C736" s="1" t="str">
        <f>IFERROR(__xludf.DUMMYFUNCTION("""COMPUTED_VALUE"""),"ง31101")</f>
        <v>ง31101</v>
      </c>
      <c r="D736" s="1" t="str">
        <f>IFERROR(__xludf.DUMMYFUNCTION("""COMPUTED_VALUE"""),"การงานอาชีพฯ 1")</f>
        <v>การงานอาชีพฯ 1</v>
      </c>
      <c r="E736" s="1">
        <f>IFERROR(__xludf.DUMMYFUNCTION("""COMPUTED_VALUE"""),0.5)</f>
        <v>0.5</v>
      </c>
      <c r="F736" s="1">
        <f>IFERROR(__xludf.DUMMYFUNCTION("""COMPUTED_VALUE"""),2569.0)</f>
        <v>2569</v>
      </c>
      <c r="G736" s="1">
        <f>IFERROR(__xludf.DUMMYFUNCTION("""COMPUTED_VALUE"""),1.0)</f>
        <v>1</v>
      </c>
      <c r="H736" s="1">
        <f>IFERROR(__xludf.DUMMYFUNCTION("""COMPUTED_VALUE"""),727.0)</f>
        <v>727</v>
      </c>
      <c r="I736" s="1" t="str">
        <f>IFERROR(__xludf.DUMMYFUNCTION("""COMPUTED_VALUE"""),"นางสาว")</f>
        <v>นางสาว</v>
      </c>
      <c r="J736" s="1" t="str">
        <f>IFERROR(__xludf.DUMMYFUNCTION("""COMPUTED_VALUE"""),"กฤษฎารัตน์")</f>
        <v>กฤษฎารัตน์</v>
      </c>
      <c r="K736" s="1" t="str">
        <f>IFERROR(__xludf.DUMMYFUNCTION("""COMPUTED_VALUE"""),"เครื่องชนะ")</f>
        <v>เครื่องชนะ</v>
      </c>
      <c r="L736" s="1" t="str">
        <f>IFERROR(__xludf.DUMMYFUNCTION("""COMPUTED_VALUE"""),"ม.4")</f>
        <v>ม.4</v>
      </c>
      <c r="M736" s="1" t="str">
        <f>IFERROR(__xludf.DUMMYFUNCTION("""COMPUTED_VALUE"""),"การงานอาชีพ")</f>
        <v>การงานอาชีพ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>
        <f>IFERROR(__xludf.DUMMYFUNCTION("""COMPUTED_VALUE"""),11.0)</f>
        <v>11</v>
      </c>
      <c r="B737" s="1">
        <f>IFERROR(__xludf.DUMMYFUNCTION("""COMPUTED_VALUE"""),1.0)</f>
        <v>1</v>
      </c>
      <c r="C737" s="1" t="str">
        <f>IFERROR(__xludf.DUMMYFUNCTION("""COMPUTED_VALUE"""),"ง31101")</f>
        <v>ง31101</v>
      </c>
      <c r="D737" s="1" t="str">
        <f>IFERROR(__xludf.DUMMYFUNCTION("""COMPUTED_VALUE"""),"การงานอาชีพฯ 1")</f>
        <v>การงานอาชีพฯ 1</v>
      </c>
      <c r="E737" s="1">
        <f>IFERROR(__xludf.DUMMYFUNCTION("""COMPUTED_VALUE"""),0.5)</f>
        <v>0.5</v>
      </c>
      <c r="F737" s="1">
        <f>IFERROR(__xludf.DUMMYFUNCTION("""COMPUTED_VALUE"""),2569.0)</f>
        <v>2569</v>
      </c>
      <c r="G737" s="1">
        <f>IFERROR(__xludf.DUMMYFUNCTION("""COMPUTED_VALUE"""),1.0)</f>
        <v>1</v>
      </c>
      <c r="H737" s="1">
        <f>IFERROR(__xludf.DUMMYFUNCTION("""COMPUTED_VALUE"""),727.0)</f>
        <v>727</v>
      </c>
      <c r="I737" s="1" t="str">
        <f>IFERROR(__xludf.DUMMYFUNCTION("""COMPUTED_VALUE"""),"นางสาว")</f>
        <v>นางสาว</v>
      </c>
      <c r="J737" s="1" t="str">
        <f>IFERROR(__xludf.DUMMYFUNCTION("""COMPUTED_VALUE"""),"กฤษฎารัตน์")</f>
        <v>กฤษฎารัตน์</v>
      </c>
      <c r="K737" s="1" t="str">
        <f>IFERROR(__xludf.DUMMYFUNCTION("""COMPUTED_VALUE"""),"เครื่องชนะ")</f>
        <v>เครื่องชนะ</v>
      </c>
      <c r="L737" s="1" t="str">
        <f>IFERROR(__xludf.DUMMYFUNCTION("""COMPUTED_VALUE"""),"ม.4")</f>
        <v>ม.4</v>
      </c>
      <c r="M737" s="1" t="str">
        <f>IFERROR(__xludf.DUMMYFUNCTION("""COMPUTED_VALUE"""),"การงานอาชีพ")</f>
        <v>การงานอาชีพ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>
        <f>IFERROR(__xludf.DUMMYFUNCTION("""COMPUTED_VALUE"""),6.0)</f>
        <v>6</v>
      </c>
      <c r="B738" s="1">
        <f>IFERROR(__xludf.DUMMYFUNCTION("""COMPUTED_VALUE"""),2.0)</f>
        <v>2</v>
      </c>
      <c r="C738" s="1" t="str">
        <f>IFERROR(__xludf.DUMMYFUNCTION("""COMPUTED_VALUE"""),"ส20227")</f>
        <v>ส20227</v>
      </c>
      <c r="D738" s="1" t="str">
        <f>IFERROR(__xludf.DUMMYFUNCTION("""COMPUTED_VALUE"""),"การป้องกันการทุจริต 5")</f>
        <v>การป้องกันการทุจริต 5</v>
      </c>
      <c r="E738" s="1">
        <f>IFERROR(__xludf.DUMMYFUNCTION("""COMPUTED_VALUE"""),0.5)</f>
        <v>0.5</v>
      </c>
      <c r="F738" s="1">
        <f>IFERROR(__xludf.DUMMYFUNCTION("""COMPUTED_VALUE"""),2569.0)</f>
        <v>2569</v>
      </c>
      <c r="G738" s="1">
        <f>IFERROR(__xludf.DUMMYFUNCTION("""COMPUTED_VALUE"""),1.0)</f>
        <v>1</v>
      </c>
      <c r="H738" s="1">
        <f>IFERROR(__xludf.DUMMYFUNCTION("""COMPUTED_VALUE"""),727.0)</f>
        <v>727</v>
      </c>
      <c r="I738" s="1" t="str">
        <f>IFERROR(__xludf.DUMMYFUNCTION("""COMPUTED_VALUE"""),"นางสาว")</f>
        <v>นางสาว</v>
      </c>
      <c r="J738" s="1" t="str">
        <f>IFERROR(__xludf.DUMMYFUNCTION("""COMPUTED_VALUE"""),"กฤษฎารัตน์")</f>
        <v>กฤษฎารัตน์</v>
      </c>
      <c r="K738" s="1" t="str">
        <f>IFERROR(__xludf.DUMMYFUNCTION("""COMPUTED_VALUE"""),"เครื่องชนะ")</f>
        <v>เครื่องชนะ</v>
      </c>
      <c r="L738" s="1" t="str">
        <f>IFERROR(__xludf.DUMMYFUNCTION("""COMPUTED_VALUE"""),"ม.3")</f>
        <v>ม.3</v>
      </c>
      <c r="M738" s="1" t="str">
        <f>IFERROR(__xludf.DUMMYFUNCTION("""COMPUTED_VALUE"""),"การงานอาชีพ")</f>
        <v>การงานอาชีพ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>
        <f>IFERROR(__xludf.DUMMYFUNCTION("""COMPUTED_VALUE"""),1.0)</f>
        <v>1</v>
      </c>
      <c r="B739" s="1">
        <f>IFERROR(__xludf.DUMMYFUNCTION("""COMPUTED_VALUE"""),1.0)</f>
        <v>1</v>
      </c>
      <c r="C739" s="1" t="str">
        <f>IFERROR(__xludf.DUMMYFUNCTION("""COMPUTED_VALUE"""),"ง20247")</f>
        <v>ง20247</v>
      </c>
      <c r="D739" s="1" t="str">
        <f>IFERROR(__xludf.DUMMYFUNCTION("""COMPUTED_VALUE"""),"การประดิษฐ์ของใช้จากกระดาษ")</f>
        <v>การประดิษฐ์ของใช้จากกระดาษ</v>
      </c>
      <c r="E739" s="1">
        <f>IFERROR(__xludf.DUMMYFUNCTION("""COMPUTED_VALUE"""),1.0)</f>
        <v>1</v>
      </c>
      <c r="F739" s="1">
        <f>IFERROR(__xludf.DUMMYFUNCTION("""COMPUTED_VALUE"""),2569.0)</f>
        <v>2569</v>
      </c>
      <c r="G739" s="1">
        <f>IFERROR(__xludf.DUMMYFUNCTION("""COMPUTED_VALUE"""),1.0)</f>
        <v>1</v>
      </c>
      <c r="H739" s="1">
        <f>IFERROR(__xludf.DUMMYFUNCTION("""COMPUTED_VALUE"""),728.0)</f>
        <v>728</v>
      </c>
      <c r="I739" s="1" t="str">
        <f>IFERROR(__xludf.DUMMYFUNCTION("""COMPUTED_VALUE"""),"นาย")</f>
        <v>นาย</v>
      </c>
      <c r="J739" s="1" t="str">
        <f>IFERROR(__xludf.DUMMYFUNCTION("""COMPUTED_VALUE"""),"วายุ")</f>
        <v>วายุ</v>
      </c>
      <c r="K739" s="1" t="str">
        <f>IFERROR(__xludf.DUMMYFUNCTION("""COMPUTED_VALUE"""),"ก้งทอง")</f>
        <v>ก้งทอง</v>
      </c>
      <c r="L739" s="1" t="str">
        <f>IFERROR(__xludf.DUMMYFUNCTION("""COMPUTED_VALUE"""),"ม.1")</f>
        <v>ม.1</v>
      </c>
      <c r="M739" s="1" t="str">
        <f>IFERROR(__xludf.DUMMYFUNCTION("""COMPUTED_VALUE"""),"การงานอาชีพ")</f>
        <v>การงานอาชีพ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>
        <f>IFERROR(__xludf.DUMMYFUNCTION("""COMPUTED_VALUE"""),1.0)</f>
        <v>1</v>
      </c>
      <c r="B740" s="1">
        <f>IFERROR(__xludf.DUMMYFUNCTION("""COMPUTED_VALUE"""),1.0)</f>
        <v>1</v>
      </c>
      <c r="C740" s="1" t="str">
        <f>IFERROR(__xludf.DUMMYFUNCTION("""COMPUTED_VALUE"""),"ง20249")</f>
        <v>ง20249</v>
      </c>
      <c r="D740" s="1" t="str">
        <f>IFERROR(__xludf.DUMMYFUNCTION("""COMPUTED_VALUE"""),"ผลิตภัณฑ์งานไม้")</f>
        <v>ผลิตภัณฑ์งานไม้</v>
      </c>
      <c r="E740" s="1">
        <f>IFERROR(__xludf.DUMMYFUNCTION("""COMPUTED_VALUE"""),1.0)</f>
        <v>1</v>
      </c>
      <c r="F740" s="1">
        <f>IFERROR(__xludf.DUMMYFUNCTION("""COMPUTED_VALUE"""),2569.0)</f>
        <v>2569</v>
      </c>
      <c r="G740" s="1">
        <f>IFERROR(__xludf.DUMMYFUNCTION("""COMPUTED_VALUE"""),1.0)</f>
        <v>1</v>
      </c>
      <c r="H740" s="1">
        <f>IFERROR(__xludf.DUMMYFUNCTION("""COMPUTED_VALUE"""),728.0)</f>
        <v>728</v>
      </c>
      <c r="I740" s="1" t="str">
        <f>IFERROR(__xludf.DUMMYFUNCTION("""COMPUTED_VALUE"""),"นาย")</f>
        <v>นาย</v>
      </c>
      <c r="J740" s="1" t="str">
        <f>IFERROR(__xludf.DUMMYFUNCTION("""COMPUTED_VALUE"""),"วายุ")</f>
        <v>วายุ</v>
      </c>
      <c r="K740" s="1" t="str">
        <f>IFERROR(__xludf.DUMMYFUNCTION("""COMPUTED_VALUE"""),"ก้งทอง")</f>
        <v>ก้งทอง</v>
      </c>
      <c r="L740" s="1" t="str">
        <f>IFERROR(__xludf.DUMMYFUNCTION("""COMPUTED_VALUE"""),"ม.2")</f>
        <v>ม.2</v>
      </c>
      <c r="M740" s="1" t="str">
        <f>IFERROR(__xludf.DUMMYFUNCTION("""COMPUTED_VALUE"""),"การงานอาชีพ")</f>
        <v>การงานอาชีพ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>
        <f>IFERROR(__xludf.DUMMYFUNCTION("""COMPUTED_VALUE"""),11.0)</f>
        <v>11</v>
      </c>
      <c r="B741" s="1">
        <f>IFERROR(__xludf.DUMMYFUNCTION("""COMPUTED_VALUE"""),1.0)</f>
        <v>1</v>
      </c>
      <c r="C741" s="1" t="str">
        <f>IFERROR(__xludf.DUMMYFUNCTION("""COMPUTED_VALUE"""),"ง30232")</f>
        <v>ง30232</v>
      </c>
      <c r="D741" s="1" t="str">
        <f>IFERROR(__xludf.DUMMYFUNCTION("""COMPUTED_VALUE"""),"งานติดตั้งไฟฟ้าภายในอาคาร")</f>
        <v>งานติดตั้งไฟฟ้าภายในอาคาร</v>
      </c>
      <c r="E741" s="1">
        <f>IFERROR(__xludf.DUMMYFUNCTION("""COMPUTED_VALUE"""),1.0)</f>
        <v>1</v>
      </c>
      <c r="F741" s="1">
        <f>IFERROR(__xludf.DUMMYFUNCTION("""COMPUTED_VALUE"""),2569.0)</f>
        <v>2569</v>
      </c>
      <c r="G741" s="1">
        <f>IFERROR(__xludf.DUMMYFUNCTION("""COMPUTED_VALUE"""),1.0)</f>
        <v>1</v>
      </c>
      <c r="H741" s="1">
        <f>IFERROR(__xludf.DUMMYFUNCTION("""COMPUTED_VALUE"""),728.0)</f>
        <v>728</v>
      </c>
      <c r="I741" s="1" t="str">
        <f>IFERROR(__xludf.DUMMYFUNCTION("""COMPUTED_VALUE"""),"นาย")</f>
        <v>นาย</v>
      </c>
      <c r="J741" s="1" t="str">
        <f>IFERROR(__xludf.DUMMYFUNCTION("""COMPUTED_VALUE"""),"วายุ")</f>
        <v>วายุ</v>
      </c>
      <c r="K741" s="1" t="str">
        <f>IFERROR(__xludf.DUMMYFUNCTION("""COMPUTED_VALUE"""),"ก้งทอง")</f>
        <v>ก้งทอง</v>
      </c>
      <c r="L741" s="1" t="str">
        <f>IFERROR(__xludf.DUMMYFUNCTION("""COMPUTED_VALUE"""),"ม.6")</f>
        <v>ม.6</v>
      </c>
      <c r="M741" s="1" t="str">
        <f>IFERROR(__xludf.DUMMYFUNCTION("""COMPUTED_VALUE"""),"การงานอาชีพ")</f>
        <v>การงานอาชีพ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>
        <f>IFERROR(__xludf.DUMMYFUNCTION("""COMPUTED_VALUE"""),1.0)</f>
        <v>1</v>
      </c>
      <c r="B742" s="1">
        <f>IFERROR(__xludf.DUMMYFUNCTION("""COMPUTED_VALUE"""),1.0)</f>
        <v>1</v>
      </c>
      <c r="C742" s="1" t="str">
        <f>IFERROR(__xludf.DUMMYFUNCTION("""COMPUTED_VALUE"""),"ง32101")</f>
        <v>ง32101</v>
      </c>
      <c r="D742" s="1" t="str">
        <f>IFERROR(__xludf.DUMMYFUNCTION("""COMPUTED_VALUE"""),"การงานอาชีพฯ3")</f>
        <v>การงานอาชีพฯ3</v>
      </c>
      <c r="E742" s="1">
        <f>IFERROR(__xludf.DUMMYFUNCTION("""COMPUTED_VALUE"""),0.5)</f>
        <v>0.5</v>
      </c>
      <c r="F742" s="1">
        <f>IFERROR(__xludf.DUMMYFUNCTION("""COMPUTED_VALUE"""),2569.0)</f>
        <v>2569</v>
      </c>
      <c r="G742" s="1">
        <f>IFERROR(__xludf.DUMMYFUNCTION("""COMPUTED_VALUE"""),1.0)</f>
        <v>1</v>
      </c>
      <c r="H742" s="1">
        <f>IFERROR(__xludf.DUMMYFUNCTION("""COMPUTED_VALUE"""),728.0)</f>
        <v>728</v>
      </c>
      <c r="I742" s="1" t="str">
        <f>IFERROR(__xludf.DUMMYFUNCTION("""COMPUTED_VALUE"""),"นาย")</f>
        <v>นาย</v>
      </c>
      <c r="J742" s="1" t="str">
        <f>IFERROR(__xludf.DUMMYFUNCTION("""COMPUTED_VALUE"""),"วายุ")</f>
        <v>วายุ</v>
      </c>
      <c r="K742" s="1" t="str">
        <f>IFERROR(__xludf.DUMMYFUNCTION("""COMPUTED_VALUE"""),"ก้งทอง")</f>
        <v>ก้งทอง</v>
      </c>
      <c r="L742" s="1" t="str">
        <f>IFERROR(__xludf.DUMMYFUNCTION("""COMPUTED_VALUE"""),"ม.5")</f>
        <v>ม.5</v>
      </c>
      <c r="M742" s="1" t="str">
        <f>IFERROR(__xludf.DUMMYFUNCTION("""COMPUTED_VALUE"""),"การงานอาชีพ")</f>
        <v>การงานอาชีพ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>
        <f>IFERROR(__xludf.DUMMYFUNCTION("""COMPUTED_VALUE"""),3.0)</f>
        <v>3</v>
      </c>
      <c r="B743" s="1">
        <f>IFERROR(__xludf.DUMMYFUNCTION("""COMPUTED_VALUE"""),1.0)</f>
        <v>1</v>
      </c>
      <c r="C743" s="1" t="str">
        <f>IFERROR(__xludf.DUMMYFUNCTION("""COMPUTED_VALUE"""),"ง32101")</f>
        <v>ง32101</v>
      </c>
      <c r="D743" s="1" t="str">
        <f>IFERROR(__xludf.DUMMYFUNCTION("""COMPUTED_VALUE"""),"การงานอาชีพฯ3")</f>
        <v>การงานอาชีพฯ3</v>
      </c>
      <c r="E743" s="1">
        <f>IFERROR(__xludf.DUMMYFUNCTION("""COMPUTED_VALUE"""),0.5)</f>
        <v>0.5</v>
      </c>
      <c r="F743" s="1">
        <f>IFERROR(__xludf.DUMMYFUNCTION("""COMPUTED_VALUE"""),2569.0)</f>
        <v>2569</v>
      </c>
      <c r="G743" s="1">
        <f>IFERROR(__xludf.DUMMYFUNCTION("""COMPUTED_VALUE"""),1.0)</f>
        <v>1</v>
      </c>
      <c r="H743" s="1">
        <f>IFERROR(__xludf.DUMMYFUNCTION("""COMPUTED_VALUE"""),728.0)</f>
        <v>728</v>
      </c>
      <c r="I743" s="1" t="str">
        <f>IFERROR(__xludf.DUMMYFUNCTION("""COMPUTED_VALUE"""),"นาย")</f>
        <v>นาย</v>
      </c>
      <c r="J743" s="1" t="str">
        <f>IFERROR(__xludf.DUMMYFUNCTION("""COMPUTED_VALUE"""),"วายุ")</f>
        <v>วายุ</v>
      </c>
      <c r="K743" s="1" t="str">
        <f>IFERROR(__xludf.DUMMYFUNCTION("""COMPUTED_VALUE"""),"ก้งทอง")</f>
        <v>ก้งทอง</v>
      </c>
      <c r="L743" s="1" t="str">
        <f>IFERROR(__xludf.DUMMYFUNCTION("""COMPUTED_VALUE"""),"ม.5")</f>
        <v>ม.5</v>
      </c>
      <c r="M743" s="1" t="str">
        <f>IFERROR(__xludf.DUMMYFUNCTION("""COMPUTED_VALUE"""),"การงานอาชีพ")</f>
        <v>การงานอาชีพ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>
        <f>IFERROR(__xludf.DUMMYFUNCTION("""COMPUTED_VALUE"""),5.0)</f>
        <v>5</v>
      </c>
      <c r="B744" s="1">
        <f>IFERROR(__xludf.DUMMYFUNCTION("""COMPUTED_VALUE"""),1.0)</f>
        <v>1</v>
      </c>
      <c r="C744" s="1" t="str">
        <f>IFERROR(__xludf.DUMMYFUNCTION("""COMPUTED_VALUE"""),"ง32101")</f>
        <v>ง32101</v>
      </c>
      <c r="D744" s="1" t="str">
        <f>IFERROR(__xludf.DUMMYFUNCTION("""COMPUTED_VALUE"""),"การงานอาชีพฯ3")</f>
        <v>การงานอาชีพฯ3</v>
      </c>
      <c r="E744" s="1">
        <f>IFERROR(__xludf.DUMMYFUNCTION("""COMPUTED_VALUE"""),0.5)</f>
        <v>0.5</v>
      </c>
      <c r="F744" s="1">
        <f>IFERROR(__xludf.DUMMYFUNCTION("""COMPUTED_VALUE"""),2569.0)</f>
        <v>2569</v>
      </c>
      <c r="G744" s="1">
        <f>IFERROR(__xludf.DUMMYFUNCTION("""COMPUTED_VALUE"""),1.0)</f>
        <v>1</v>
      </c>
      <c r="H744" s="1">
        <f>IFERROR(__xludf.DUMMYFUNCTION("""COMPUTED_VALUE"""),728.0)</f>
        <v>728</v>
      </c>
      <c r="I744" s="1" t="str">
        <f>IFERROR(__xludf.DUMMYFUNCTION("""COMPUTED_VALUE"""),"นาย")</f>
        <v>นาย</v>
      </c>
      <c r="J744" s="1" t="str">
        <f>IFERROR(__xludf.DUMMYFUNCTION("""COMPUTED_VALUE"""),"วายุ")</f>
        <v>วายุ</v>
      </c>
      <c r="K744" s="1" t="str">
        <f>IFERROR(__xludf.DUMMYFUNCTION("""COMPUTED_VALUE"""),"ก้งทอง")</f>
        <v>ก้งทอง</v>
      </c>
      <c r="L744" s="1" t="str">
        <f>IFERROR(__xludf.DUMMYFUNCTION("""COMPUTED_VALUE"""),"ม.5")</f>
        <v>ม.5</v>
      </c>
      <c r="M744" s="1" t="str">
        <f>IFERROR(__xludf.DUMMYFUNCTION("""COMPUTED_VALUE"""),"การงานอาชีพ")</f>
        <v>การงานอาชีพ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>
        <f>IFERROR(__xludf.DUMMYFUNCTION("""COMPUTED_VALUE"""),7.0)</f>
        <v>7</v>
      </c>
      <c r="B745" s="1">
        <f>IFERROR(__xludf.DUMMYFUNCTION("""COMPUTED_VALUE"""),1.0)</f>
        <v>1</v>
      </c>
      <c r="C745" s="1" t="str">
        <f>IFERROR(__xludf.DUMMYFUNCTION("""COMPUTED_VALUE"""),"ง32101")</f>
        <v>ง32101</v>
      </c>
      <c r="D745" s="1" t="str">
        <f>IFERROR(__xludf.DUMMYFUNCTION("""COMPUTED_VALUE"""),"การงานอาชีพฯ3")</f>
        <v>การงานอาชีพฯ3</v>
      </c>
      <c r="E745" s="1">
        <f>IFERROR(__xludf.DUMMYFUNCTION("""COMPUTED_VALUE"""),0.5)</f>
        <v>0.5</v>
      </c>
      <c r="F745" s="1">
        <f>IFERROR(__xludf.DUMMYFUNCTION("""COMPUTED_VALUE"""),2569.0)</f>
        <v>2569</v>
      </c>
      <c r="G745" s="1">
        <f>IFERROR(__xludf.DUMMYFUNCTION("""COMPUTED_VALUE"""),1.0)</f>
        <v>1</v>
      </c>
      <c r="H745" s="1">
        <f>IFERROR(__xludf.DUMMYFUNCTION("""COMPUTED_VALUE"""),728.0)</f>
        <v>728</v>
      </c>
      <c r="I745" s="1" t="str">
        <f>IFERROR(__xludf.DUMMYFUNCTION("""COMPUTED_VALUE"""),"นาย")</f>
        <v>นาย</v>
      </c>
      <c r="J745" s="1" t="str">
        <f>IFERROR(__xludf.DUMMYFUNCTION("""COMPUTED_VALUE"""),"วายุ")</f>
        <v>วายุ</v>
      </c>
      <c r="K745" s="1" t="str">
        <f>IFERROR(__xludf.DUMMYFUNCTION("""COMPUTED_VALUE"""),"ก้งทอง")</f>
        <v>ก้งทอง</v>
      </c>
      <c r="L745" s="1" t="str">
        <f>IFERROR(__xludf.DUMMYFUNCTION("""COMPUTED_VALUE"""),"ม.5")</f>
        <v>ม.5</v>
      </c>
      <c r="M745" s="1" t="str">
        <f>IFERROR(__xludf.DUMMYFUNCTION("""COMPUTED_VALUE"""),"การงานอาชีพ")</f>
        <v>การงานอาชีพ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>
        <f>IFERROR(__xludf.DUMMYFUNCTION("""COMPUTED_VALUE"""),9.0)</f>
        <v>9</v>
      </c>
      <c r="B746" s="1">
        <f>IFERROR(__xludf.DUMMYFUNCTION("""COMPUTED_VALUE"""),1.0)</f>
        <v>1</v>
      </c>
      <c r="C746" s="1" t="str">
        <f>IFERROR(__xludf.DUMMYFUNCTION("""COMPUTED_VALUE"""),"ง32101")</f>
        <v>ง32101</v>
      </c>
      <c r="D746" s="1" t="str">
        <f>IFERROR(__xludf.DUMMYFUNCTION("""COMPUTED_VALUE"""),"การงานอาชีพฯ3")</f>
        <v>การงานอาชีพฯ3</v>
      </c>
      <c r="E746" s="1">
        <f>IFERROR(__xludf.DUMMYFUNCTION("""COMPUTED_VALUE"""),0.5)</f>
        <v>0.5</v>
      </c>
      <c r="F746" s="1">
        <f>IFERROR(__xludf.DUMMYFUNCTION("""COMPUTED_VALUE"""),2569.0)</f>
        <v>2569</v>
      </c>
      <c r="G746" s="1">
        <f>IFERROR(__xludf.DUMMYFUNCTION("""COMPUTED_VALUE"""),1.0)</f>
        <v>1</v>
      </c>
      <c r="H746" s="1">
        <f>IFERROR(__xludf.DUMMYFUNCTION("""COMPUTED_VALUE"""),728.0)</f>
        <v>728</v>
      </c>
      <c r="I746" s="1" t="str">
        <f>IFERROR(__xludf.DUMMYFUNCTION("""COMPUTED_VALUE"""),"นาย")</f>
        <v>นาย</v>
      </c>
      <c r="J746" s="1" t="str">
        <f>IFERROR(__xludf.DUMMYFUNCTION("""COMPUTED_VALUE"""),"วายุ")</f>
        <v>วายุ</v>
      </c>
      <c r="K746" s="1" t="str">
        <f>IFERROR(__xludf.DUMMYFUNCTION("""COMPUTED_VALUE"""),"ก้งทอง")</f>
        <v>ก้งทอง</v>
      </c>
      <c r="L746" s="1" t="str">
        <f>IFERROR(__xludf.DUMMYFUNCTION("""COMPUTED_VALUE"""),"ม.5")</f>
        <v>ม.5</v>
      </c>
      <c r="M746" s="1" t="str">
        <f>IFERROR(__xludf.DUMMYFUNCTION("""COMPUTED_VALUE"""),"การงานอาชีพ")</f>
        <v>การงานอาชีพ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>
        <f>IFERROR(__xludf.DUMMYFUNCTION("""COMPUTED_VALUE"""),11.0)</f>
        <v>11</v>
      </c>
      <c r="B747" s="1">
        <f>IFERROR(__xludf.DUMMYFUNCTION("""COMPUTED_VALUE"""),1.0)</f>
        <v>1</v>
      </c>
      <c r="C747" s="1" t="str">
        <f>IFERROR(__xludf.DUMMYFUNCTION("""COMPUTED_VALUE"""),"ง32101")</f>
        <v>ง32101</v>
      </c>
      <c r="D747" s="1" t="str">
        <f>IFERROR(__xludf.DUMMYFUNCTION("""COMPUTED_VALUE"""),"การงานอาชีพฯ3")</f>
        <v>การงานอาชีพฯ3</v>
      </c>
      <c r="E747" s="1">
        <f>IFERROR(__xludf.DUMMYFUNCTION("""COMPUTED_VALUE"""),0.5)</f>
        <v>0.5</v>
      </c>
      <c r="F747" s="1">
        <f>IFERROR(__xludf.DUMMYFUNCTION("""COMPUTED_VALUE"""),2569.0)</f>
        <v>2569</v>
      </c>
      <c r="G747" s="1">
        <f>IFERROR(__xludf.DUMMYFUNCTION("""COMPUTED_VALUE"""),1.0)</f>
        <v>1</v>
      </c>
      <c r="H747" s="1">
        <f>IFERROR(__xludf.DUMMYFUNCTION("""COMPUTED_VALUE"""),728.0)</f>
        <v>728</v>
      </c>
      <c r="I747" s="1" t="str">
        <f>IFERROR(__xludf.DUMMYFUNCTION("""COMPUTED_VALUE"""),"นาย")</f>
        <v>นาย</v>
      </c>
      <c r="J747" s="1" t="str">
        <f>IFERROR(__xludf.DUMMYFUNCTION("""COMPUTED_VALUE"""),"วายุ")</f>
        <v>วายุ</v>
      </c>
      <c r="K747" s="1" t="str">
        <f>IFERROR(__xludf.DUMMYFUNCTION("""COMPUTED_VALUE"""),"ก้งทอง")</f>
        <v>ก้งทอง</v>
      </c>
      <c r="L747" s="1" t="str">
        <f>IFERROR(__xludf.DUMMYFUNCTION("""COMPUTED_VALUE"""),"ม.5")</f>
        <v>ม.5</v>
      </c>
      <c r="M747" s="1" t="str">
        <f>IFERROR(__xludf.DUMMYFUNCTION("""COMPUTED_VALUE"""),"การงานอาชีพ")</f>
        <v>การงานอาชีพ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>
        <f>IFERROR(__xludf.DUMMYFUNCTION("""COMPUTED_VALUE"""),9.0)</f>
        <v>9</v>
      </c>
      <c r="B748" s="1">
        <f>IFERROR(__xludf.DUMMYFUNCTION("""COMPUTED_VALUE"""),2.0)</f>
        <v>2</v>
      </c>
      <c r="C748" s="1" t="str">
        <f>IFERROR(__xludf.DUMMYFUNCTION("""COMPUTED_VALUE"""),"ส30247")</f>
        <v>ส30247</v>
      </c>
      <c r="D748" s="1" t="str">
        <f>IFERROR(__xludf.DUMMYFUNCTION("""COMPUTED_VALUE"""),"การป้องกันการทุจริต 1")</f>
        <v>การป้องกันการทุจริต 1</v>
      </c>
      <c r="E748" s="1">
        <f>IFERROR(__xludf.DUMMYFUNCTION("""COMPUTED_VALUE"""),0.5)</f>
        <v>0.5</v>
      </c>
      <c r="F748" s="1">
        <f>IFERROR(__xludf.DUMMYFUNCTION("""COMPUTED_VALUE"""),2569.0)</f>
        <v>2569</v>
      </c>
      <c r="G748" s="1">
        <f>IFERROR(__xludf.DUMMYFUNCTION("""COMPUTED_VALUE"""),1.0)</f>
        <v>1</v>
      </c>
      <c r="H748" s="1">
        <f>IFERROR(__xludf.DUMMYFUNCTION("""COMPUTED_VALUE"""),728.0)</f>
        <v>728</v>
      </c>
      <c r="I748" s="1" t="str">
        <f>IFERROR(__xludf.DUMMYFUNCTION("""COMPUTED_VALUE"""),"นาย")</f>
        <v>นาย</v>
      </c>
      <c r="J748" s="1" t="str">
        <f>IFERROR(__xludf.DUMMYFUNCTION("""COMPUTED_VALUE"""),"วายุ")</f>
        <v>วายุ</v>
      </c>
      <c r="K748" s="1" t="str">
        <f>IFERROR(__xludf.DUMMYFUNCTION("""COMPUTED_VALUE"""),"ก้งทอง")</f>
        <v>ก้งทอง</v>
      </c>
      <c r="L748" s="1" t="str">
        <f>IFERROR(__xludf.DUMMYFUNCTION("""COMPUTED_VALUE"""),"ม.4")</f>
        <v>ม.4</v>
      </c>
      <c r="M748" s="1" t="str">
        <f>IFERROR(__xludf.DUMMYFUNCTION("""COMPUTED_VALUE"""),"การงานอาชีพ")</f>
        <v>การงานอาชีพ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>
        <f>IFERROR(__xludf.DUMMYFUNCTION("""COMPUTED_VALUE"""),3.0)</f>
        <v>3</v>
      </c>
      <c r="B749" s="1">
        <f>IFERROR(__xludf.DUMMYFUNCTION("""COMPUTED_VALUE"""),1.0)</f>
        <v>1</v>
      </c>
      <c r="C749" s="1" t="str">
        <f>IFERROR(__xludf.DUMMYFUNCTION("""COMPUTED_VALUE"""),"อ30223")</f>
        <v>อ30223</v>
      </c>
      <c r="D749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749" s="1">
        <f>IFERROR(__xludf.DUMMYFUNCTION("""COMPUTED_VALUE"""),1.0)</f>
        <v>1</v>
      </c>
      <c r="F749" s="1">
        <f>IFERROR(__xludf.DUMMYFUNCTION("""COMPUTED_VALUE"""),2569.0)</f>
        <v>2569</v>
      </c>
      <c r="G749" s="1">
        <f>IFERROR(__xludf.DUMMYFUNCTION("""COMPUTED_VALUE"""),1.0)</f>
        <v>1</v>
      </c>
      <c r="H749" s="1">
        <f>IFERROR(__xludf.DUMMYFUNCTION("""COMPUTED_VALUE"""),805.0)</f>
        <v>805</v>
      </c>
      <c r="I749" s="1" t="str">
        <f>IFERROR(__xludf.DUMMYFUNCTION("""COMPUTED_VALUE"""),"นาง")</f>
        <v>นาง</v>
      </c>
      <c r="J749" s="1" t="str">
        <f>IFERROR(__xludf.DUMMYFUNCTION("""COMPUTED_VALUE"""),"กาญจน์สุดา")</f>
        <v>กาญจน์สุดา</v>
      </c>
      <c r="K749" s="1" t="str">
        <f>IFERROR(__xludf.DUMMYFUNCTION("""COMPUTED_VALUE"""),"มาช่วย")</f>
        <v>มาช่วย</v>
      </c>
      <c r="L749" s="1" t="str">
        <f>IFERROR(__xludf.DUMMYFUNCTION("""COMPUTED_VALUE"""),"ม.4")</f>
        <v>ม.4</v>
      </c>
      <c r="M749" s="1" t="str">
        <f>IFERROR(__xludf.DUMMYFUNCTION("""COMPUTED_VALUE"""),"ภาษาต่างประเทศ")</f>
        <v>ภาษาต่างประเทศ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>
        <f>IFERROR(__xludf.DUMMYFUNCTION("""COMPUTED_VALUE"""),5.0)</f>
        <v>5</v>
      </c>
      <c r="B750" s="1">
        <f>IFERROR(__xludf.DUMMYFUNCTION("""COMPUTED_VALUE"""),1.0)</f>
        <v>1</v>
      </c>
      <c r="C750" s="1" t="str">
        <f>IFERROR(__xludf.DUMMYFUNCTION("""COMPUTED_VALUE"""),"อ30223")</f>
        <v>อ30223</v>
      </c>
      <c r="D750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750" s="1">
        <f>IFERROR(__xludf.DUMMYFUNCTION("""COMPUTED_VALUE"""),1.0)</f>
        <v>1</v>
      </c>
      <c r="F750" s="1">
        <f>IFERROR(__xludf.DUMMYFUNCTION("""COMPUTED_VALUE"""),2569.0)</f>
        <v>2569</v>
      </c>
      <c r="G750" s="1">
        <f>IFERROR(__xludf.DUMMYFUNCTION("""COMPUTED_VALUE"""),1.0)</f>
        <v>1</v>
      </c>
      <c r="H750" s="1">
        <f>IFERROR(__xludf.DUMMYFUNCTION("""COMPUTED_VALUE"""),805.0)</f>
        <v>805</v>
      </c>
      <c r="I750" s="1" t="str">
        <f>IFERROR(__xludf.DUMMYFUNCTION("""COMPUTED_VALUE"""),"นาง")</f>
        <v>นาง</v>
      </c>
      <c r="J750" s="1" t="str">
        <f>IFERROR(__xludf.DUMMYFUNCTION("""COMPUTED_VALUE"""),"กาญจน์สุดา")</f>
        <v>กาญจน์สุดา</v>
      </c>
      <c r="K750" s="1" t="str">
        <f>IFERROR(__xludf.DUMMYFUNCTION("""COMPUTED_VALUE"""),"มาช่วย")</f>
        <v>มาช่วย</v>
      </c>
      <c r="L750" s="1" t="str">
        <f>IFERROR(__xludf.DUMMYFUNCTION("""COMPUTED_VALUE"""),"ม.4")</f>
        <v>ม.4</v>
      </c>
      <c r="M750" s="1" t="str">
        <f>IFERROR(__xludf.DUMMYFUNCTION("""COMPUTED_VALUE"""),"ภาษาต่างประเทศ")</f>
        <v>ภาษาต่างประเทศ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>
        <f>IFERROR(__xludf.DUMMYFUNCTION("""COMPUTED_VALUE"""),7.0)</f>
        <v>7</v>
      </c>
      <c r="B751" s="1">
        <f>IFERROR(__xludf.DUMMYFUNCTION("""COMPUTED_VALUE"""),1.0)</f>
        <v>1</v>
      </c>
      <c r="C751" s="1" t="str">
        <f>IFERROR(__xludf.DUMMYFUNCTION("""COMPUTED_VALUE"""),"อ30223")</f>
        <v>อ30223</v>
      </c>
      <c r="D751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751" s="1">
        <f>IFERROR(__xludf.DUMMYFUNCTION("""COMPUTED_VALUE"""),1.0)</f>
        <v>1</v>
      </c>
      <c r="F751" s="1">
        <f>IFERROR(__xludf.DUMMYFUNCTION("""COMPUTED_VALUE"""),2569.0)</f>
        <v>2569</v>
      </c>
      <c r="G751" s="1">
        <f>IFERROR(__xludf.DUMMYFUNCTION("""COMPUTED_VALUE"""),1.0)</f>
        <v>1</v>
      </c>
      <c r="H751" s="1">
        <f>IFERROR(__xludf.DUMMYFUNCTION("""COMPUTED_VALUE"""),805.0)</f>
        <v>805</v>
      </c>
      <c r="I751" s="1" t="str">
        <f>IFERROR(__xludf.DUMMYFUNCTION("""COMPUTED_VALUE"""),"นาง")</f>
        <v>นาง</v>
      </c>
      <c r="J751" s="1" t="str">
        <f>IFERROR(__xludf.DUMMYFUNCTION("""COMPUTED_VALUE"""),"กาญจน์สุดา")</f>
        <v>กาญจน์สุดา</v>
      </c>
      <c r="K751" s="1" t="str">
        <f>IFERROR(__xludf.DUMMYFUNCTION("""COMPUTED_VALUE"""),"มาช่วย")</f>
        <v>มาช่วย</v>
      </c>
      <c r="L751" s="1" t="str">
        <f>IFERROR(__xludf.DUMMYFUNCTION("""COMPUTED_VALUE"""),"ม.4")</f>
        <v>ม.4</v>
      </c>
      <c r="M751" s="1" t="str">
        <f>IFERROR(__xludf.DUMMYFUNCTION("""COMPUTED_VALUE"""),"ภาษาต่างประเทศ")</f>
        <v>ภาษาต่างประเทศ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>
        <f>IFERROR(__xludf.DUMMYFUNCTION("""COMPUTED_VALUE"""),9.0)</f>
        <v>9</v>
      </c>
      <c r="B752" s="1">
        <f>IFERROR(__xludf.DUMMYFUNCTION("""COMPUTED_VALUE"""),1.0)</f>
        <v>1</v>
      </c>
      <c r="C752" s="1" t="str">
        <f>IFERROR(__xludf.DUMMYFUNCTION("""COMPUTED_VALUE"""),"อ30223")</f>
        <v>อ30223</v>
      </c>
      <c r="D752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752" s="1">
        <f>IFERROR(__xludf.DUMMYFUNCTION("""COMPUTED_VALUE"""),1.0)</f>
        <v>1</v>
      </c>
      <c r="F752" s="1">
        <f>IFERROR(__xludf.DUMMYFUNCTION("""COMPUTED_VALUE"""),2569.0)</f>
        <v>2569</v>
      </c>
      <c r="G752" s="1">
        <f>IFERROR(__xludf.DUMMYFUNCTION("""COMPUTED_VALUE"""),1.0)</f>
        <v>1</v>
      </c>
      <c r="H752" s="1">
        <f>IFERROR(__xludf.DUMMYFUNCTION("""COMPUTED_VALUE"""),805.0)</f>
        <v>805</v>
      </c>
      <c r="I752" s="1" t="str">
        <f>IFERROR(__xludf.DUMMYFUNCTION("""COMPUTED_VALUE"""),"นาง")</f>
        <v>นาง</v>
      </c>
      <c r="J752" s="1" t="str">
        <f>IFERROR(__xludf.DUMMYFUNCTION("""COMPUTED_VALUE"""),"กาญจน์สุดา")</f>
        <v>กาญจน์สุดา</v>
      </c>
      <c r="K752" s="1" t="str">
        <f>IFERROR(__xludf.DUMMYFUNCTION("""COMPUTED_VALUE"""),"มาช่วย")</f>
        <v>มาช่วย</v>
      </c>
      <c r="L752" s="1" t="str">
        <f>IFERROR(__xludf.DUMMYFUNCTION("""COMPUTED_VALUE"""),"ม.4")</f>
        <v>ม.4</v>
      </c>
      <c r="M752" s="1" t="str">
        <f>IFERROR(__xludf.DUMMYFUNCTION("""COMPUTED_VALUE"""),"ภาษาต่างประเทศ")</f>
        <v>ภาษาต่างประเทศ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>
        <f>IFERROR(__xludf.DUMMYFUNCTION("""COMPUTED_VALUE"""),10.0)</f>
        <v>10</v>
      </c>
      <c r="B753" s="1">
        <f>IFERROR(__xludf.DUMMYFUNCTION("""COMPUTED_VALUE"""),1.0)</f>
        <v>1</v>
      </c>
      <c r="C753" s="1" t="str">
        <f>IFERROR(__xludf.DUMMYFUNCTION("""COMPUTED_VALUE"""),"อ30223")</f>
        <v>อ30223</v>
      </c>
      <c r="D753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753" s="1">
        <f>IFERROR(__xludf.DUMMYFUNCTION("""COMPUTED_VALUE"""),1.0)</f>
        <v>1</v>
      </c>
      <c r="F753" s="1">
        <f>IFERROR(__xludf.DUMMYFUNCTION("""COMPUTED_VALUE"""),2569.0)</f>
        <v>2569</v>
      </c>
      <c r="G753" s="1">
        <f>IFERROR(__xludf.DUMMYFUNCTION("""COMPUTED_VALUE"""),1.0)</f>
        <v>1</v>
      </c>
      <c r="H753" s="1">
        <f>IFERROR(__xludf.DUMMYFUNCTION("""COMPUTED_VALUE"""),805.0)</f>
        <v>805</v>
      </c>
      <c r="I753" s="1" t="str">
        <f>IFERROR(__xludf.DUMMYFUNCTION("""COMPUTED_VALUE"""),"นาง")</f>
        <v>นาง</v>
      </c>
      <c r="J753" s="1" t="str">
        <f>IFERROR(__xludf.DUMMYFUNCTION("""COMPUTED_VALUE"""),"กาญจน์สุดา")</f>
        <v>กาญจน์สุดา</v>
      </c>
      <c r="K753" s="1" t="str">
        <f>IFERROR(__xludf.DUMMYFUNCTION("""COMPUTED_VALUE"""),"มาช่วย")</f>
        <v>มาช่วย</v>
      </c>
      <c r="L753" s="1" t="str">
        <f>IFERROR(__xludf.DUMMYFUNCTION("""COMPUTED_VALUE"""),"ม.4")</f>
        <v>ม.4</v>
      </c>
      <c r="M753" s="1" t="str">
        <f>IFERROR(__xludf.DUMMYFUNCTION("""COMPUTED_VALUE"""),"ภาษาต่างประเทศ")</f>
        <v>ภาษาต่างประเทศ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>
        <f>IFERROR(__xludf.DUMMYFUNCTION("""COMPUTED_VALUE"""),11.0)</f>
        <v>11</v>
      </c>
      <c r="B754" s="1">
        <f>IFERROR(__xludf.DUMMYFUNCTION("""COMPUTED_VALUE"""),1.0)</f>
        <v>1</v>
      </c>
      <c r="C754" s="1" t="str">
        <f>IFERROR(__xludf.DUMMYFUNCTION("""COMPUTED_VALUE"""),"อ30223")</f>
        <v>อ30223</v>
      </c>
      <c r="D754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754" s="1">
        <f>IFERROR(__xludf.DUMMYFUNCTION("""COMPUTED_VALUE"""),1.0)</f>
        <v>1</v>
      </c>
      <c r="F754" s="1">
        <f>IFERROR(__xludf.DUMMYFUNCTION("""COMPUTED_VALUE"""),2569.0)</f>
        <v>2569</v>
      </c>
      <c r="G754" s="1">
        <f>IFERROR(__xludf.DUMMYFUNCTION("""COMPUTED_VALUE"""),1.0)</f>
        <v>1</v>
      </c>
      <c r="H754" s="1">
        <f>IFERROR(__xludf.DUMMYFUNCTION("""COMPUTED_VALUE"""),805.0)</f>
        <v>805</v>
      </c>
      <c r="I754" s="1" t="str">
        <f>IFERROR(__xludf.DUMMYFUNCTION("""COMPUTED_VALUE"""),"นาง")</f>
        <v>นาง</v>
      </c>
      <c r="J754" s="1" t="str">
        <f>IFERROR(__xludf.DUMMYFUNCTION("""COMPUTED_VALUE"""),"กาญจน์สุดา")</f>
        <v>กาญจน์สุดา</v>
      </c>
      <c r="K754" s="1" t="str">
        <f>IFERROR(__xludf.DUMMYFUNCTION("""COMPUTED_VALUE"""),"มาช่วย")</f>
        <v>มาช่วย</v>
      </c>
      <c r="L754" s="1" t="str">
        <f>IFERROR(__xludf.DUMMYFUNCTION("""COMPUTED_VALUE"""),"ม.4")</f>
        <v>ม.4</v>
      </c>
      <c r="M754" s="1" t="str">
        <f>IFERROR(__xludf.DUMMYFUNCTION("""COMPUTED_VALUE"""),"ภาษาต่างประเทศ")</f>
        <v>ภาษาต่างประเทศ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>
        <f>IFERROR(__xludf.DUMMYFUNCTION("""COMPUTED_VALUE"""),4.0)</f>
        <v>4</v>
      </c>
      <c r="B755" s="1">
        <f>IFERROR(__xludf.DUMMYFUNCTION("""COMPUTED_VALUE"""),1.0)</f>
        <v>1</v>
      </c>
      <c r="C755" s="1" t="str">
        <f>IFERROR(__xludf.DUMMYFUNCTION("""COMPUTED_VALUE"""),"อ31101")</f>
        <v>อ31101</v>
      </c>
      <c r="D755" s="1" t="str">
        <f>IFERROR(__xludf.DUMMYFUNCTION("""COMPUTED_VALUE"""),"ภาษาอังกฤษ 1")</f>
        <v>ภาษาอังกฤษ 1</v>
      </c>
      <c r="E755" s="1">
        <f>IFERROR(__xludf.DUMMYFUNCTION("""COMPUTED_VALUE"""),1.0)</f>
        <v>1</v>
      </c>
      <c r="F755" s="1">
        <f>IFERROR(__xludf.DUMMYFUNCTION("""COMPUTED_VALUE"""),2569.0)</f>
        <v>2569</v>
      </c>
      <c r="G755" s="1">
        <f>IFERROR(__xludf.DUMMYFUNCTION("""COMPUTED_VALUE"""),1.0)</f>
        <v>1</v>
      </c>
      <c r="H755" s="1">
        <f>IFERROR(__xludf.DUMMYFUNCTION("""COMPUTED_VALUE"""),805.0)</f>
        <v>805</v>
      </c>
      <c r="I755" s="1" t="str">
        <f>IFERROR(__xludf.DUMMYFUNCTION("""COMPUTED_VALUE"""),"นาง")</f>
        <v>นาง</v>
      </c>
      <c r="J755" s="1" t="str">
        <f>IFERROR(__xludf.DUMMYFUNCTION("""COMPUTED_VALUE"""),"กาญจน์สุดา")</f>
        <v>กาญจน์สุดา</v>
      </c>
      <c r="K755" s="1" t="str">
        <f>IFERROR(__xludf.DUMMYFUNCTION("""COMPUTED_VALUE"""),"มาช่วย")</f>
        <v>มาช่วย</v>
      </c>
      <c r="L755" s="1" t="str">
        <f>IFERROR(__xludf.DUMMYFUNCTION("""COMPUTED_VALUE"""),"ม.4")</f>
        <v>ม.4</v>
      </c>
      <c r="M755" s="1" t="str">
        <f>IFERROR(__xludf.DUMMYFUNCTION("""COMPUTED_VALUE"""),"ภาษาต่างประเทศ")</f>
        <v>ภาษาต่างประเทศ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>
        <f>IFERROR(__xludf.DUMMYFUNCTION("""COMPUTED_VALUE"""),5.0)</f>
        <v>5</v>
      </c>
      <c r="B756" s="1">
        <f>IFERROR(__xludf.DUMMYFUNCTION("""COMPUTED_VALUE"""),1.0)</f>
        <v>1</v>
      </c>
      <c r="C756" s="1" t="str">
        <f>IFERROR(__xludf.DUMMYFUNCTION("""COMPUTED_VALUE"""),"อ31101")</f>
        <v>อ31101</v>
      </c>
      <c r="D756" s="1" t="str">
        <f>IFERROR(__xludf.DUMMYFUNCTION("""COMPUTED_VALUE"""),"ภาษาอังกฤษ 1")</f>
        <v>ภาษาอังกฤษ 1</v>
      </c>
      <c r="E756" s="1">
        <f>IFERROR(__xludf.DUMMYFUNCTION("""COMPUTED_VALUE"""),1.0)</f>
        <v>1</v>
      </c>
      <c r="F756" s="1">
        <f>IFERROR(__xludf.DUMMYFUNCTION("""COMPUTED_VALUE"""),2569.0)</f>
        <v>2569</v>
      </c>
      <c r="G756" s="1">
        <f>IFERROR(__xludf.DUMMYFUNCTION("""COMPUTED_VALUE"""),1.0)</f>
        <v>1</v>
      </c>
      <c r="H756" s="1">
        <f>IFERROR(__xludf.DUMMYFUNCTION("""COMPUTED_VALUE"""),805.0)</f>
        <v>805</v>
      </c>
      <c r="I756" s="1" t="str">
        <f>IFERROR(__xludf.DUMMYFUNCTION("""COMPUTED_VALUE"""),"นาง")</f>
        <v>นาง</v>
      </c>
      <c r="J756" s="1" t="str">
        <f>IFERROR(__xludf.DUMMYFUNCTION("""COMPUTED_VALUE"""),"กาญจน์สุดา")</f>
        <v>กาญจน์สุดา</v>
      </c>
      <c r="K756" s="1" t="str">
        <f>IFERROR(__xludf.DUMMYFUNCTION("""COMPUTED_VALUE"""),"มาช่วย")</f>
        <v>มาช่วย</v>
      </c>
      <c r="L756" s="1" t="str">
        <f>IFERROR(__xludf.DUMMYFUNCTION("""COMPUTED_VALUE"""),"ม.4")</f>
        <v>ม.4</v>
      </c>
      <c r="M756" s="1" t="str">
        <f>IFERROR(__xludf.DUMMYFUNCTION("""COMPUTED_VALUE"""),"ภาษาต่างประเทศ")</f>
        <v>ภาษาต่างประเทศ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>
        <f>IFERROR(__xludf.DUMMYFUNCTION("""COMPUTED_VALUE"""),6.0)</f>
        <v>6</v>
      </c>
      <c r="B757" s="1">
        <f>IFERROR(__xludf.DUMMYFUNCTION("""COMPUTED_VALUE"""),1.0)</f>
        <v>1</v>
      </c>
      <c r="C757" s="1" t="str">
        <f>IFERROR(__xludf.DUMMYFUNCTION("""COMPUTED_VALUE"""),"อ31101")</f>
        <v>อ31101</v>
      </c>
      <c r="D757" s="1" t="str">
        <f>IFERROR(__xludf.DUMMYFUNCTION("""COMPUTED_VALUE"""),"ภาษาอังกฤษ 1")</f>
        <v>ภาษาอังกฤษ 1</v>
      </c>
      <c r="E757" s="1">
        <f>IFERROR(__xludf.DUMMYFUNCTION("""COMPUTED_VALUE"""),1.0)</f>
        <v>1</v>
      </c>
      <c r="F757" s="1">
        <f>IFERROR(__xludf.DUMMYFUNCTION("""COMPUTED_VALUE"""),2569.0)</f>
        <v>2569</v>
      </c>
      <c r="G757" s="1">
        <f>IFERROR(__xludf.DUMMYFUNCTION("""COMPUTED_VALUE"""),1.0)</f>
        <v>1</v>
      </c>
      <c r="H757" s="1">
        <f>IFERROR(__xludf.DUMMYFUNCTION("""COMPUTED_VALUE"""),805.0)</f>
        <v>805</v>
      </c>
      <c r="I757" s="1" t="str">
        <f>IFERROR(__xludf.DUMMYFUNCTION("""COMPUTED_VALUE"""),"นาง")</f>
        <v>นาง</v>
      </c>
      <c r="J757" s="1" t="str">
        <f>IFERROR(__xludf.DUMMYFUNCTION("""COMPUTED_VALUE"""),"กาญจน์สุดา")</f>
        <v>กาญจน์สุดา</v>
      </c>
      <c r="K757" s="1" t="str">
        <f>IFERROR(__xludf.DUMMYFUNCTION("""COMPUTED_VALUE"""),"มาช่วย")</f>
        <v>มาช่วย</v>
      </c>
      <c r="L757" s="1" t="str">
        <f>IFERROR(__xludf.DUMMYFUNCTION("""COMPUTED_VALUE"""),"ม.4")</f>
        <v>ม.4</v>
      </c>
      <c r="M757" s="1" t="str">
        <f>IFERROR(__xludf.DUMMYFUNCTION("""COMPUTED_VALUE"""),"ภาษาต่างประเทศ")</f>
        <v>ภาษาต่างประเทศ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>
        <f>IFERROR(__xludf.DUMMYFUNCTION("""COMPUTED_VALUE"""),8.0)</f>
        <v>8</v>
      </c>
      <c r="B758" s="1">
        <f>IFERROR(__xludf.DUMMYFUNCTION("""COMPUTED_VALUE"""),1.0)</f>
        <v>1</v>
      </c>
      <c r="C758" s="1" t="str">
        <f>IFERROR(__xludf.DUMMYFUNCTION("""COMPUTED_VALUE"""),"อ31101")</f>
        <v>อ31101</v>
      </c>
      <c r="D758" s="1" t="str">
        <f>IFERROR(__xludf.DUMMYFUNCTION("""COMPUTED_VALUE"""),"ภาษาอังกฤษ 1")</f>
        <v>ภาษาอังกฤษ 1</v>
      </c>
      <c r="E758" s="1">
        <f>IFERROR(__xludf.DUMMYFUNCTION("""COMPUTED_VALUE"""),1.0)</f>
        <v>1</v>
      </c>
      <c r="F758" s="1">
        <f>IFERROR(__xludf.DUMMYFUNCTION("""COMPUTED_VALUE"""),2569.0)</f>
        <v>2569</v>
      </c>
      <c r="G758" s="1">
        <f>IFERROR(__xludf.DUMMYFUNCTION("""COMPUTED_VALUE"""),1.0)</f>
        <v>1</v>
      </c>
      <c r="H758" s="1">
        <f>IFERROR(__xludf.DUMMYFUNCTION("""COMPUTED_VALUE"""),805.0)</f>
        <v>805</v>
      </c>
      <c r="I758" s="1" t="str">
        <f>IFERROR(__xludf.DUMMYFUNCTION("""COMPUTED_VALUE"""),"นาง")</f>
        <v>นาง</v>
      </c>
      <c r="J758" s="1" t="str">
        <f>IFERROR(__xludf.DUMMYFUNCTION("""COMPUTED_VALUE"""),"กาญจน์สุดา")</f>
        <v>กาญจน์สุดา</v>
      </c>
      <c r="K758" s="1" t="str">
        <f>IFERROR(__xludf.DUMMYFUNCTION("""COMPUTED_VALUE"""),"มาช่วย")</f>
        <v>มาช่วย</v>
      </c>
      <c r="L758" s="1" t="str">
        <f>IFERROR(__xludf.DUMMYFUNCTION("""COMPUTED_VALUE"""),"ม.4")</f>
        <v>ม.4</v>
      </c>
      <c r="M758" s="1" t="str">
        <f>IFERROR(__xludf.DUMMYFUNCTION("""COMPUTED_VALUE"""),"ภาษาต่างประเทศ")</f>
        <v>ภาษาต่างประเทศ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>
        <f>IFERROR(__xludf.DUMMYFUNCTION("""COMPUTED_VALUE"""),10.0)</f>
        <v>10</v>
      </c>
      <c r="B759" s="1">
        <f>IFERROR(__xludf.DUMMYFUNCTION("""COMPUTED_VALUE"""),1.0)</f>
        <v>1</v>
      </c>
      <c r="C759" s="1" t="str">
        <f>IFERROR(__xludf.DUMMYFUNCTION("""COMPUTED_VALUE"""),"อ31101")</f>
        <v>อ31101</v>
      </c>
      <c r="D759" s="1" t="str">
        <f>IFERROR(__xludf.DUMMYFUNCTION("""COMPUTED_VALUE"""),"ภาษาอังกฤษ 1")</f>
        <v>ภาษาอังกฤษ 1</v>
      </c>
      <c r="E759" s="1">
        <f>IFERROR(__xludf.DUMMYFUNCTION("""COMPUTED_VALUE"""),1.0)</f>
        <v>1</v>
      </c>
      <c r="F759" s="1">
        <f>IFERROR(__xludf.DUMMYFUNCTION("""COMPUTED_VALUE"""),2569.0)</f>
        <v>2569</v>
      </c>
      <c r="G759" s="1">
        <f>IFERROR(__xludf.DUMMYFUNCTION("""COMPUTED_VALUE"""),1.0)</f>
        <v>1</v>
      </c>
      <c r="H759" s="1">
        <f>IFERROR(__xludf.DUMMYFUNCTION("""COMPUTED_VALUE"""),805.0)</f>
        <v>805</v>
      </c>
      <c r="I759" s="1" t="str">
        <f>IFERROR(__xludf.DUMMYFUNCTION("""COMPUTED_VALUE"""),"นาง")</f>
        <v>นาง</v>
      </c>
      <c r="J759" s="1" t="str">
        <f>IFERROR(__xludf.DUMMYFUNCTION("""COMPUTED_VALUE"""),"กาญจน์สุดา")</f>
        <v>กาญจน์สุดา</v>
      </c>
      <c r="K759" s="1" t="str">
        <f>IFERROR(__xludf.DUMMYFUNCTION("""COMPUTED_VALUE"""),"มาช่วย")</f>
        <v>มาช่วย</v>
      </c>
      <c r="L759" s="1" t="str">
        <f>IFERROR(__xludf.DUMMYFUNCTION("""COMPUTED_VALUE"""),"ม.4")</f>
        <v>ม.4</v>
      </c>
      <c r="M759" s="1" t="str">
        <f>IFERROR(__xludf.DUMMYFUNCTION("""COMPUTED_VALUE"""),"ภาษาต่างประเทศ")</f>
        <v>ภาษาต่างประเทศ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>
        <f>IFERROR(__xludf.DUMMYFUNCTION("""COMPUTED_VALUE"""),2.0)</f>
        <v>2</v>
      </c>
      <c r="B760" s="1">
        <f>IFERROR(__xludf.DUMMYFUNCTION("""COMPUTED_VALUE"""),1.0)</f>
        <v>1</v>
      </c>
      <c r="C760" s="1" t="str">
        <f>IFERROR(__xludf.DUMMYFUNCTION("""COMPUTED_VALUE"""),"อ20203")</f>
        <v>อ20203</v>
      </c>
      <c r="D760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60" s="1">
        <f>IFERROR(__xludf.DUMMYFUNCTION("""COMPUTED_VALUE"""),0.5)</f>
        <v>0.5</v>
      </c>
      <c r="F760" s="1">
        <f>IFERROR(__xludf.DUMMYFUNCTION("""COMPUTED_VALUE"""),2569.0)</f>
        <v>2569</v>
      </c>
      <c r="G760" s="1">
        <f>IFERROR(__xludf.DUMMYFUNCTION("""COMPUTED_VALUE"""),1.0)</f>
        <v>1</v>
      </c>
      <c r="H760" s="1">
        <f>IFERROR(__xludf.DUMMYFUNCTION("""COMPUTED_VALUE"""),816.0)</f>
        <v>816</v>
      </c>
      <c r="I760" s="1" t="str">
        <f>IFERROR(__xludf.DUMMYFUNCTION("""COMPUTED_VALUE"""),"นางสาว")</f>
        <v>นางสาว</v>
      </c>
      <c r="J760" s="1" t="str">
        <f>IFERROR(__xludf.DUMMYFUNCTION("""COMPUTED_VALUE"""),"จุฑาทิพ")</f>
        <v>จุฑาทิพ</v>
      </c>
      <c r="K760" s="1" t="str">
        <f>IFERROR(__xludf.DUMMYFUNCTION("""COMPUTED_VALUE"""),"ห้องกระจก")</f>
        <v>ห้องกระจก</v>
      </c>
      <c r="L760" s="1" t="str">
        <f>IFERROR(__xludf.DUMMYFUNCTION("""COMPUTED_VALUE"""),"ม.2")</f>
        <v>ม.2</v>
      </c>
      <c r="M760" s="1" t="str">
        <f>IFERROR(__xludf.DUMMYFUNCTION("""COMPUTED_VALUE"""),"ภาษาต่างประเทศ")</f>
        <v>ภาษาต่างประเทศ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>
        <f>IFERROR(__xludf.DUMMYFUNCTION("""COMPUTED_VALUE"""),3.0)</f>
        <v>3</v>
      </c>
      <c r="B761" s="1">
        <f>IFERROR(__xludf.DUMMYFUNCTION("""COMPUTED_VALUE"""),1.0)</f>
        <v>1</v>
      </c>
      <c r="C761" s="1" t="str">
        <f>IFERROR(__xludf.DUMMYFUNCTION("""COMPUTED_VALUE"""),"อ20203")</f>
        <v>อ20203</v>
      </c>
      <c r="D761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61" s="1">
        <f>IFERROR(__xludf.DUMMYFUNCTION("""COMPUTED_VALUE"""),0.5)</f>
        <v>0.5</v>
      </c>
      <c r="F761" s="1">
        <f>IFERROR(__xludf.DUMMYFUNCTION("""COMPUTED_VALUE"""),2569.0)</f>
        <v>2569</v>
      </c>
      <c r="G761" s="1">
        <f>IFERROR(__xludf.DUMMYFUNCTION("""COMPUTED_VALUE"""),1.0)</f>
        <v>1</v>
      </c>
      <c r="H761" s="1">
        <f>IFERROR(__xludf.DUMMYFUNCTION("""COMPUTED_VALUE"""),816.0)</f>
        <v>816</v>
      </c>
      <c r="I761" s="1" t="str">
        <f>IFERROR(__xludf.DUMMYFUNCTION("""COMPUTED_VALUE"""),"นางสาว")</f>
        <v>นางสาว</v>
      </c>
      <c r="J761" s="1" t="str">
        <f>IFERROR(__xludf.DUMMYFUNCTION("""COMPUTED_VALUE"""),"จุฑาทิพ")</f>
        <v>จุฑาทิพ</v>
      </c>
      <c r="K761" s="1" t="str">
        <f>IFERROR(__xludf.DUMMYFUNCTION("""COMPUTED_VALUE"""),"ห้องกระจก")</f>
        <v>ห้องกระจก</v>
      </c>
      <c r="L761" s="1" t="str">
        <f>IFERROR(__xludf.DUMMYFUNCTION("""COMPUTED_VALUE"""),"ม.2")</f>
        <v>ม.2</v>
      </c>
      <c r="M761" s="1" t="str">
        <f>IFERROR(__xludf.DUMMYFUNCTION("""COMPUTED_VALUE"""),"ภาษาต่างประเทศ")</f>
        <v>ภาษาต่างประเทศ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>
        <f>IFERROR(__xludf.DUMMYFUNCTION("""COMPUTED_VALUE"""),4.0)</f>
        <v>4</v>
      </c>
      <c r="B762" s="1">
        <f>IFERROR(__xludf.DUMMYFUNCTION("""COMPUTED_VALUE"""),1.0)</f>
        <v>1</v>
      </c>
      <c r="C762" s="1" t="str">
        <f>IFERROR(__xludf.DUMMYFUNCTION("""COMPUTED_VALUE"""),"อ20203")</f>
        <v>อ20203</v>
      </c>
      <c r="D762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62" s="1">
        <f>IFERROR(__xludf.DUMMYFUNCTION("""COMPUTED_VALUE"""),0.5)</f>
        <v>0.5</v>
      </c>
      <c r="F762" s="1">
        <f>IFERROR(__xludf.DUMMYFUNCTION("""COMPUTED_VALUE"""),2569.0)</f>
        <v>2569</v>
      </c>
      <c r="G762" s="1">
        <f>IFERROR(__xludf.DUMMYFUNCTION("""COMPUTED_VALUE"""),1.0)</f>
        <v>1</v>
      </c>
      <c r="H762" s="1">
        <f>IFERROR(__xludf.DUMMYFUNCTION("""COMPUTED_VALUE"""),816.0)</f>
        <v>816</v>
      </c>
      <c r="I762" s="1" t="str">
        <f>IFERROR(__xludf.DUMMYFUNCTION("""COMPUTED_VALUE"""),"นางสาว")</f>
        <v>นางสาว</v>
      </c>
      <c r="J762" s="1" t="str">
        <f>IFERROR(__xludf.DUMMYFUNCTION("""COMPUTED_VALUE"""),"จุฑาทิพ")</f>
        <v>จุฑาทิพ</v>
      </c>
      <c r="K762" s="1" t="str">
        <f>IFERROR(__xludf.DUMMYFUNCTION("""COMPUTED_VALUE"""),"ห้องกระจก")</f>
        <v>ห้องกระจก</v>
      </c>
      <c r="L762" s="1" t="str">
        <f>IFERROR(__xludf.DUMMYFUNCTION("""COMPUTED_VALUE"""),"ม.2")</f>
        <v>ม.2</v>
      </c>
      <c r="M762" s="1" t="str">
        <f>IFERROR(__xludf.DUMMYFUNCTION("""COMPUTED_VALUE"""),"ภาษาต่างประเทศ")</f>
        <v>ภาษาต่างประเทศ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>
        <f>IFERROR(__xludf.DUMMYFUNCTION("""COMPUTED_VALUE"""),5.0)</f>
        <v>5</v>
      </c>
      <c r="B763" s="1">
        <f>IFERROR(__xludf.DUMMYFUNCTION("""COMPUTED_VALUE"""),1.0)</f>
        <v>1</v>
      </c>
      <c r="C763" s="1" t="str">
        <f>IFERROR(__xludf.DUMMYFUNCTION("""COMPUTED_VALUE"""),"อ20203")</f>
        <v>อ20203</v>
      </c>
      <c r="D763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63" s="1">
        <f>IFERROR(__xludf.DUMMYFUNCTION("""COMPUTED_VALUE"""),0.5)</f>
        <v>0.5</v>
      </c>
      <c r="F763" s="1">
        <f>IFERROR(__xludf.DUMMYFUNCTION("""COMPUTED_VALUE"""),2569.0)</f>
        <v>2569</v>
      </c>
      <c r="G763" s="1">
        <f>IFERROR(__xludf.DUMMYFUNCTION("""COMPUTED_VALUE"""),1.0)</f>
        <v>1</v>
      </c>
      <c r="H763" s="1">
        <f>IFERROR(__xludf.DUMMYFUNCTION("""COMPUTED_VALUE"""),816.0)</f>
        <v>816</v>
      </c>
      <c r="I763" s="1" t="str">
        <f>IFERROR(__xludf.DUMMYFUNCTION("""COMPUTED_VALUE"""),"นางสาว")</f>
        <v>นางสาว</v>
      </c>
      <c r="J763" s="1" t="str">
        <f>IFERROR(__xludf.DUMMYFUNCTION("""COMPUTED_VALUE"""),"จุฑาทิพ")</f>
        <v>จุฑาทิพ</v>
      </c>
      <c r="K763" s="1" t="str">
        <f>IFERROR(__xludf.DUMMYFUNCTION("""COMPUTED_VALUE"""),"ห้องกระจก")</f>
        <v>ห้องกระจก</v>
      </c>
      <c r="L763" s="1" t="str">
        <f>IFERROR(__xludf.DUMMYFUNCTION("""COMPUTED_VALUE"""),"ม.2")</f>
        <v>ม.2</v>
      </c>
      <c r="M763" s="1" t="str">
        <f>IFERROR(__xludf.DUMMYFUNCTION("""COMPUTED_VALUE"""),"ภาษาต่างประเทศ")</f>
        <v>ภาษาต่างประเทศ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>
        <f>IFERROR(__xludf.DUMMYFUNCTION("""COMPUTED_VALUE"""),6.0)</f>
        <v>6</v>
      </c>
      <c r="B764" s="1">
        <f>IFERROR(__xludf.DUMMYFUNCTION("""COMPUTED_VALUE"""),1.0)</f>
        <v>1</v>
      </c>
      <c r="C764" s="1" t="str">
        <f>IFERROR(__xludf.DUMMYFUNCTION("""COMPUTED_VALUE"""),"อ20203")</f>
        <v>อ20203</v>
      </c>
      <c r="D764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64" s="1">
        <f>IFERROR(__xludf.DUMMYFUNCTION("""COMPUTED_VALUE"""),0.5)</f>
        <v>0.5</v>
      </c>
      <c r="F764" s="1">
        <f>IFERROR(__xludf.DUMMYFUNCTION("""COMPUTED_VALUE"""),2569.0)</f>
        <v>2569</v>
      </c>
      <c r="G764" s="1">
        <f>IFERROR(__xludf.DUMMYFUNCTION("""COMPUTED_VALUE"""),1.0)</f>
        <v>1</v>
      </c>
      <c r="H764" s="1">
        <f>IFERROR(__xludf.DUMMYFUNCTION("""COMPUTED_VALUE"""),816.0)</f>
        <v>816</v>
      </c>
      <c r="I764" s="1" t="str">
        <f>IFERROR(__xludf.DUMMYFUNCTION("""COMPUTED_VALUE"""),"นางสาว")</f>
        <v>นางสาว</v>
      </c>
      <c r="J764" s="1" t="str">
        <f>IFERROR(__xludf.DUMMYFUNCTION("""COMPUTED_VALUE"""),"จุฑาทิพ")</f>
        <v>จุฑาทิพ</v>
      </c>
      <c r="K764" s="1" t="str">
        <f>IFERROR(__xludf.DUMMYFUNCTION("""COMPUTED_VALUE"""),"ห้องกระจก")</f>
        <v>ห้องกระจก</v>
      </c>
      <c r="L764" s="1" t="str">
        <f>IFERROR(__xludf.DUMMYFUNCTION("""COMPUTED_VALUE"""),"ม.2")</f>
        <v>ม.2</v>
      </c>
      <c r="M764" s="1" t="str">
        <f>IFERROR(__xludf.DUMMYFUNCTION("""COMPUTED_VALUE"""),"ภาษาต่างประเทศ")</f>
        <v>ภาษาต่างประเทศ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>
        <f>IFERROR(__xludf.DUMMYFUNCTION("""COMPUTED_VALUE"""),7.0)</f>
        <v>7</v>
      </c>
      <c r="B765" s="1">
        <f>IFERROR(__xludf.DUMMYFUNCTION("""COMPUTED_VALUE"""),1.0)</f>
        <v>1</v>
      </c>
      <c r="C765" s="1" t="str">
        <f>IFERROR(__xludf.DUMMYFUNCTION("""COMPUTED_VALUE"""),"อ20203")</f>
        <v>อ20203</v>
      </c>
      <c r="D765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65" s="1">
        <f>IFERROR(__xludf.DUMMYFUNCTION("""COMPUTED_VALUE"""),0.5)</f>
        <v>0.5</v>
      </c>
      <c r="F765" s="1">
        <f>IFERROR(__xludf.DUMMYFUNCTION("""COMPUTED_VALUE"""),2569.0)</f>
        <v>2569</v>
      </c>
      <c r="G765" s="1">
        <f>IFERROR(__xludf.DUMMYFUNCTION("""COMPUTED_VALUE"""),1.0)</f>
        <v>1</v>
      </c>
      <c r="H765" s="1">
        <f>IFERROR(__xludf.DUMMYFUNCTION("""COMPUTED_VALUE"""),816.0)</f>
        <v>816</v>
      </c>
      <c r="I765" s="1" t="str">
        <f>IFERROR(__xludf.DUMMYFUNCTION("""COMPUTED_VALUE"""),"นางสาว")</f>
        <v>นางสาว</v>
      </c>
      <c r="J765" s="1" t="str">
        <f>IFERROR(__xludf.DUMMYFUNCTION("""COMPUTED_VALUE"""),"จุฑาทิพ")</f>
        <v>จุฑาทิพ</v>
      </c>
      <c r="K765" s="1" t="str">
        <f>IFERROR(__xludf.DUMMYFUNCTION("""COMPUTED_VALUE"""),"ห้องกระจก")</f>
        <v>ห้องกระจก</v>
      </c>
      <c r="L765" s="1" t="str">
        <f>IFERROR(__xludf.DUMMYFUNCTION("""COMPUTED_VALUE"""),"ม.2")</f>
        <v>ม.2</v>
      </c>
      <c r="M765" s="1" t="str">
        <f>IFERROR(__xludf.DUMMYFUNCTION("""COMPUTED_VALUE"""),"ภาษาต่างประเทศ")</f>
        <v>ภาษาต่างประเทศ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>
        <f>IFERROR(__xludf.DUMMYFUNCTION("""COMPUTED_VALUE"""),2.0)</f>
        <v>2</v>
      </c>
      <c r="B766" s="1">
        <f>IFERROR(__xludf.DUMMYFUNCTION("""COMPUTED_VALUE"""),1.0)</f>
        <v>1</v>
      </c>
      <c r="C766" s="1" t="str">
        <f>IFERROR(__xludf.DUMMYFUNCTION("""COMPUTED_VALUE"""),"อ21101")</f>
        <v>อ21101</v>
      </c>
      <c r="D766" s="1" t="str">
        <f>IFERROR(__xludf.DUMMYFUNCTION("""COMPUTED_VALUE"""),"ภาษาอังกฤษ 1")</f>
        <v>ภาษาอังกฤษ 1</v>
      </c>
      <c r="E766" s="1">
        <f>IFERROR(__xludf.DUMMYFUNCTION("""COMPUTED_VALUE"""),1.5)</f>
        <v>1.5</v>
      </c>
      <c r="F766" s="1">
        <f>IFERROR(__xludf.DUMMYFUNCTION("""COMPUTED_VALUE"""),2569.0)</f>
        <v>2569</v>
      </c>
      <c r="G766" s="1">
        <f>IFERROR(__xludf.DUMMYFUNCTION("""COMPUTED_VALUE"""),1.0)</f>
        <v>1</v>
      </c>
      <c r="H766" s="1">
        <f>IFERROR(__xludf.DUMMYFUNCTION("""COMPUTED_VALUE"""),816.0)</f>
        <v>816</v>
      </c>
      <c r="I766" s="1" t="str">
        <f>IFERROR(__xludf.DUMMYFUNCTION("""COMPUTED_VALUE"""),"นางสาว")</f>
        <v>นางสาว</v>
      </c>
      <c r="J766" s="1" t="str">
        <f>IFERROR(__xludf.DUMMYFUNCTION("""COMPUTED_VALUE"""),"จุฑาทิพ")</f>
        <v>จุฑาทิพ</v>
      </c>
      <c r="K766" s="1" t="str">
        <f>IFERROR(__xludf.DUMMYFUNCTION("""COMPUTED_VALUE"""),"ห้องกระจก")</f>
        <v>ห้องกระจก</v>
      </c>
      <c r="L766" s="1" t="str">
        <f>IFERROR(__xludf.DUMMYFUNCTION("""COMPUTED_VALUE"""),"ม.1")</f>
        <v>ม.1</v>
      </c>
      <c r="M766" s="1" t="str">
        <f>IFERROR(__xludf.DUMMYFUNCTION("""COMPUTED_VALUE"""),"ภาษาต่างประเทศ")</f>
        <v>ภาษาต่างประเทศ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>
        <f>IFERROR(__xludf.DUMMYFUNCTION("""COMPUTED_VALUE"""),4.0)</f>
        <v>4</v>
      </c>
      <c r="B767" s="1">
        <f>IFERROR(__xludf.DUMMYFUNCTION("""COMPUTED_VALUE"""),1.0)</f>
        <v>1</v>
      </c>
      <c r="C767" s="1" t="str">
        <f>IFERROR(__xludf.DUMMYFUNCTION("""COMPUTED_VALUE"""),"อ21101")</f>
        <v>อ21101</v>
      </c>
      <c r="D767" s="1" t="str">
        <f>IFERROR(__xludf.DUMMYFUNCTION("""COMPUTED_VALUE"""),"ภาษาอังกฤษ 1")</f>
        <v>ภาษาอังกฤษ 1</v>
      </c>
      <c r="E767" s="1">
        <f>IFERROR(__xludf.DUMMYFUNCTION("""COMPUTED_VALUE"""),1.5)</f>
        <v>1.5</v>
      </c>
      <c r="F767" s="1">
        <f>IFERROR(__xludf.DUMMYFUNCTION("""COMPUTED_VALUE"""),2569.0)</f>
        <v>2569</v>
      </c>
      <c r="G767" s="1">
        <f>IFERROR(__xludf.DUMMYFUNCTION("""COMPUTED_VALUE"""),1.0)</f>
        <v>1</v>
      </c>
      <c r="H767" s="1">
        <f>IFERROR(__xludf.DUMMYFUNCTION("""COMPUTED_VALUE"""),816.0)</f>
        <v>816</v>
      </c>
      <c r="I767" s="1" t="str">
        <f>IFERROR(__xludf.DUMMYFUNCTION("""COMPUTED_VALUE"""),"นางสาว")</f>
        <v>นางสาว</v>
      </c>
      <c r="J767" s="1" t="str">
        <f>IFERROR(__xludf.DUMMYFUNCTION("""COMPUTED_VALUE"""),"จุฑาทิพ")</f>
        <v>จุฑาทิพ</v>
      </c>
      <c r="K767" s="1" t="str">
        <f>IFERROR(__xludf.DUMMYFUNCTION("""COMPUTED_VALUE"""),"ห้องกระจก")</f>
        <v>ห้องกระจก</v>
      </c>
      <c r="L767" s="1" t="str">
        <f>IFERROR(__xludf.DUMMYFUNCTION("""COMPUTED_VALUE"""),"ม.1")</f>
        <v>ม.1</v>
      </c>
      <c r="M767" s="1" t="str">
        <f>IFERROR(__xludf.DUMMYFUNCTION("""COMPUTED_VALUE"""),"ภาษาต่างประเทศ")</f>
        <v>ภาษาต่างประเทศ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>
        <f>IFERROR(__xludf.DUMMYFUNCTION("""COMPUTED_VALUE"""),6.0)</f>
        <v>6</v>
      </c>
      <c r="B768" s="1">
        <f>IFERROR(__xludf.DUMMYFUNCTION("""COMPUTED_VALUE"""),1.0)</f>
        <v>1</v>
      </c>
      <c r="C768" s="1" t="str">
        <f>IFERROR(__xludf.DUMMYFUNCTION("""COMPUTED_VALUE"""),"อ21101")</f>
        <v>อ21101</v>
      </c>
      <c r="D768" s="1" t="str">
        <f>IFERROR(__xludf.DUMMYFUNCTION("""COMPUTED_VALUE"""),"ภาษาอังกฤษ 1")</f>
        <v>ภาษาอังกฤษ 1</v>
      </c>
      <c r="E768" s="1">
        <f>IFERROR(__xludf.DUMMYFUNCTION("""COMPUTED_VALUE"""),1.5)</f>
        <v>1.5</v>
      </c>
      <c r="F768" s="1">
        <f>IFERROR(__xludf.DUMMYFUNCTION("""COMPUTED_VALUE"""),2569.0)</f>
        <v>2569</v>
      </c>
      <c r="G768" s="1">
        <f>IFERROR(__xludf.DUMMYFUNCTION("""COMPUTED_VALUE"""),1.0)</f>
        <v>1</v>
      </c>
      <c r="H768" s="1">
        <f>IFERROR(__xludf.DUMMYFUNCTION("""COMPUTED_VALUE"""),816.0)</f>
        <v>816</v>
      </c>
      <c r="I768" s="1" t="str">
        <f>IFERROR(__xludf.DUMMYFUNCTION("""COMPUTED_VALUE"""),"นางสาว")</f>
        <v>นางสาว</v>
      </c>
      <c r="J768" s="1" t="str">
        <f>IFERROR(__xludf.DUMMYFUNCTION("""COMPUTED_VALUE"""),"จุฑาทิพ")</f>
        <v>จุฑาทิพ</v>
      </c>
      <c r="K768" s="1" t="str">
        <f>IFERROR(__xludf.DUMMYFUNCTION("""COMPUTED_VALUE"""),"ห้องกระจก")</f>
        <v>ห้องกระจก</v>
      </c>
      <c r="L768" s="1" t="str">
        <f>IFERROR(__xludf.DUMMYFUNCTION("""COMPUTED_VALUE"""),"ม.1")</f>
        <v>ม.1</v>
      </c>
      <c r="M768" s="1" t="str">
        <f>IFERROR(__xludf.DUMMYFUNCTION("""COMPUTED_VALUE"""),"ภาษาต่างประเทศ")</f>
        <v>ภาษาต่างประเทศ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>
        <f>IFERROR(__xludf.DUMMYFUNCTION("""COMPUTED_VALUE"""),7.0)</f>
        <v>7</v>
      </c>
      <c r="B769" s="1">
        <f>IFERROR(__xludf.DUMMYFUNCTION("""COMPUTED_VALUE"""),1.0)</f>
        <v>1</v>
      </c>
      <c r="C769" s="1" t="str">
        <f>IFERROR(__xludf.DUMMYFUNCTION("""COMPUTED_VALUE"""),"อ21101")</f>
        <v>อ21101</v>
      </c>
      <c r="D769" s="1" t="str">
        <f>IFERROR(__xludf.DUMMYFUNCTION("""COMPUTED_VALUE"""),"ภาษาอังกฤษ 1")</f>
        <v>ภาษาอังกฤษ 1</v>
      </c>
      <c r="E769" s="1">
        <f>IFERROR(__xludf.DUMMYFUNCTION("""COMPUTED_VALUE"""),1.5)</f>
        <v>1.5</v>
      </c>
      <c r="F769" s="1">
        <f>IFERROR(__xludf.DUMMYFUNCTION("""COMPUTED_VALUE"""),2569.0)</f>
        <v>2569</v>
      </c>
      <c r="G769" s="1">
        <f>IFERROR(__xludf.DUMMYFUNCTION("""COMPUTED_VALUE"""),1.0)</f>
        <v>1</v>
      </c>
      <c r="H769" s="1">
        <f>IFERROR(__xludf.DUMMYFUNCTION("""COMPUTED_VALUE"""),816.0)</f>
        <v>816</v>
      </c>
      <c r="I769" s="1" t="str">
        <f>IFERROR(__xludf.DUMMYFUNCTION("""COMPUTED_VALUE"""),"นางสาว")</f>
        <v>นางสาว</v>
      </c>
      <c r="J769" s="1" t="str">
        <f>IFERROR(__xludf.DUMMYFUNCTION("""COMPUTED_VALUE"""),"จุฑาทิพ")</f>
        <v>จุฑาทิพ</v>
      </c>
      <c r="K769" s="1" t="str">
        <f>IFERROR(__xludf.DUMMYFUNCTION("""COMPUTED_VALUE"""),"ห้องกระจก")</f>
        <v>ห้องกระจก</v>
      </c>
      <c r="L769" s="1" t="str">
        <f>IFERROR(__xludf.DUMMYFUNCTION("""COMPUTED_VALUE"""),"ม.1")</f>
        <v>ม.1</v>
      </c>
      <c r="M769" s="1" t="str">
        <f>IFERROR(__xludf.DUMMYFUNCTION("""COMPUTED_VALUE"""),"ภาษาต่างประเทศ")</f>
        <v>ภาษาต่างประเทศ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>
        <f>IFERROR(__xludf.DUMMYFUNCTION("""COMPUTED_VALUE"""),5.0)</f>
        <v>5</v>
      </c>
      <c r="B770" s="1">
        <f>IFERROR(__xludf.DUMMYFUNCTION("""COMPUTED_VALUE"""),1.0)</f>
        <v>1</v>
      </c>
      <c r="C770" s="1" t="str">
        <f>IFERROR(__xludf.DUMMYFUNCTION("""COMPUTED_VALUE"""),"ส30249")</f>
        <v>ส30249</v>
      </c>
      <c r="D770" s="1" t="str">
        <f>IFERROR(__xludf.DUMMYFUNCTION("""COMPUTED_VALUE"""),"การป้องกันการทุจริต 3")</f>
        <v>การป้องกันการทุจริต 3</v>
      </c>
      <c r="E770" s="1">
        <f>IFERROR(__xludf.DUMMYFUNCTION("""COMPUTED_VALUE"""),0.5)</f>
        <v>0.5</v>
      </c>
      <c r="F770" s="1">
        <f>IFERROR(__xludf.DUMMYFUNCTION("""COMPUTED_VALUE"""),2569.0)</f>
        <v>2569</v>
      </c>
      <c r="G770" s="1">
        <f>IFERROR(__xludf.DUMMYFUNCTION("""COMPUTED_VALUE"""),1.0)</f>
        <v>1</v>
      </c>
      <c r="H770" s="1">
        <f>IFERROR(__xludf.DUMMYFUNCTION("""COMPUTED_VALUE"""),824.0)</f>
        <v>824</v>
      </c>
      <c r="I770" s="1" t="str">
        <f>IFERROR(__xludf.DUMMYFUNCTION("""COMPUTED_VALUE"""),"นางสาว")</f>
        <v>นางสาว</v>
      </c>
      <c r="J770" s="1" t="str">
        <f>IFERROR(__xludf.DUMMYFUNCTION("""COMPUTED_VALUE"""),"พรสุดา")</f>
        <v>พรสุดา</v>
      </c>
      <c r="K770" s="1" t="str">
        <f>IFERROR(__xludf.DUMMYFUNCTION("""COMPUTED_VALUE"""),"นามกุณี")</f>
        <v>นามกุณี</v>
      </c>
      <c r="L770" s="1" t="str">
        <f>IFERROR(__xludf.DUMMYFUNCTION("""COMPUTED_VALUE"""),"ม.5")</f>
        <v>ม.5</v>
      </c>
      <c r="M770" s="1" t="str">
        <f>IFERROR(__xludf.DUMMYFUNCTION("""COMPUTED_VALUE"""),"ภาษาต่างประเทศ")</f>
        <v>ภาษาต่างประเทศ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>
        <f>IFERROR(__xludf.DUMMYFUNCTION("""COMPUTED_VALUE"""),2.0)</f>
        <v>2</v>
      </c>
      <c r="B771" s="1">
        <f>IFERROR(__xludf.DUMMYFUNCTION("""COMPUTED_VALUE"""),1.0)</f>
        <v>1</v>
      </c>
      <c r="C771" s="1" t="str">
        <f>IFERROR(__xludf.DUMMYFUNCTION("""COMPUTED_VALUE"""),"อ30225")</f>
        <v>อ30225</v>
      </c>
      <c r="D771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71" s="1">
        <f>IFERROR(__xludf.DUMMYFUNCTION("""COMPUTED_VALUE"""),1.0)</f>
        <v>1</v>
      </c>
      <c r="F771" s="1">
        <f>IFERROR(__xludf.DUMMYFUNCTION("""COMPUTED_VALUE"""),2569.0)</f>
        <v>2569</v>
      </c>
      <c r="G771" s="1">
        <f>IFERROR(__xludf.DUMMYFUNCTION("""COMPUTED_VALUE"""),1.0)</f>
        <v>1</v>
      </c>
      <c r="H771" s="1">
        <f>IFERROR(__xludf.DUMMYFUNCTION("""COMPUTED_VALUE"""),824.0)</f>
        <v>824</v>
      </c>
      <c r="I771" s="1" t="str">
        <f>IFERROR(__xludf.DUMMYFUNCTION("""COMPUTED_VALUE"""),"นางสาว")</f>
        <v>นางสาว</v>
      </c>
      <c r="J771" s="1" t="str">
        <f>IFERROR(__xludf.DUMMYFUNCTION("""COMPUTED_VALUE"""),"พรสุดา")</f>
        <v>พรสุดา</v>
      </c>
      <c r="K771" s="1" t="str">
        <f>IFERROR(__xludf.DUMMYFUNCTION("""COMPUTED_VALUE"""),"นามกุณี")</f>
        <v>นามกุณี</v>
      </c>
      <c r="L771" s="1" t="str">
        <f>IFERROR(__xludf.DUMMYFUNCTION("""COMPUTED_VALUE"""),"ม.5")</f>
        <v>ม.5</v>
      </c>
      <c r="M771" s="1" t="str">
        <f>IFERROR(__xludf.DUMMYFUNCTION("""COMPUTED_VALUE"""),"ภาษาต่างประเทศ")</f>
        <v>ภาษาต่างประเทศ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>
        <f>IFERROR(__xludf.DUMMYFUNCTION("""COMPUTED_VALUE"""),8.0)</f>
        <v>8</v>
      </c>
      <c r="B772" s="1">
        <f>IFERROR(__xludf.DUMMYFUNCTION("""COMPUTED_VALUE"""),1.0)</f>
        <v>1</v>
      </c>
      <c r="C772" s="1" t="str">
        <f>IFERROR(__xludf.DUMMYFUNCTION("""COMPUTED_VALUE"""),"อ30225")</f>
        <v>อ30225</v>
      </c>
      <c r="D772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72" s="1">
        <f>IFERROR(__xludf.DUMMYFUNCTION("""COMPUTED_VALUE"""),1.0)</f>
        <v>1</v>
      </c>
      <c r="F772" s="1">
        <f>IFERROR(__xludf.DUMMYFUNCTION("""COMPUTED_VALUE"""),2569.0)</f>
        <v>2569</v>
      </c>
      <c r="G772" s="1">
        <f>IFERROR(__xludf.DUMMYFUNCTION("""COMPUTED_VALUE"""),1.0)</f>
        <v>1</v>
      </c>
      <c r="H772" s="1">
        <f>IFERROR(__xludf.DUMMYFUNCTION("""COMPUTED_VALUE"""),824.0)</f>
        <v>824</v>
      </c>
      <c r="I772" s="1" t="str">
        <f>IFERROR(__xludf.DUMMYFUNCTION("""COMPUTED_VALUE"""),"นางสาว")</f>
        <v>นางสาว</v>
      </c>
      <c r="J772" s="1" t="str">
        <f>IFERROR(__xludf.DUMMYFUNCTION("""COMPUTED_VALUE"""),"พรสุดา")</f>
        <v>พรสุดา</v>
      </c>
      <c r="K772" s="1" t="str">
        <f>IFERROR(__xludf.DUMMYFUNCTION("""COMPUTED_VALUE"""),"นามกุณี")</f>
        <v>นามกุณี</v>
      </c>
      <c r="L772" s="1" t="str">
        <f>IFERROR(__xludf.DUMMYFUNCTION("""COMPUTED_VALUE"""),"ม.5")</f>
        <v>ม.5</v>
      </c>
      <c r="M772" s="1" t="str">
        <f>IFERROR(__xludf.DUMMYFUNCTION("""COMPUTED_VALUE"""),"ภาษาต่างประเทศ")</f>
        <v>ภาษาต่างประเทศ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>
        <f>IFERROR(__xludf.DUMMYFUNCTION("""COMPUTED_VALUE"""),9.0)</f>
        <v>9</v>
      </c>
      <c r="B773" s="1">
        <f>IFERROR(__xludf.DUMMYFUNCTION("""COMPUTED_VALUE"""),1.0)</f>
        <v>1</v>
      </c>
      <c r="C773" s="1" t="str">
        <f>IFERROR(__xludf.DUMMYFUNCTION("""COMPUTED_VALUE"""),"อ30225")</f>
        <v>อ30225</v>
      </c>
      <c r="D773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773" s="1">
        <f>IFERROR(__xludf.DUMMYFUNCTION("""COMPUTED_VALUE"""),1.0)</f>
        <v>1</v>
      </c>
      <c r="F773" s="1">
        <f>IFERROR(__xludf.DUMMYFUNCTION("""COMPUTED_VALUE"""),2569.0)</f>
        <v>2569</v>
      </c>
      <c r="G773" s="1">
        <f>IFERROR(__xludf.DUMMYFUNCTION("""COMPUTED_VALUE"""),1.0)</f>
        <v>1</v>
      </c>
      <c r="H773" s="1">
        <f>IFERROR(__xludf.DUMMYFUNCTION("""COMPUTED_VALUE"""),824.0)</f>
        <v>824</v>
      </c>
      <c r="I773" s="1" t="str">
        <f>IFERROR(__xludf.DUMMYFUNCTION("""COMPUTED_VALUE"""),"นางสาว")</f>
        <v>นางสาว</v>
      </c>
      <c r="J773" s="1" t="str">
        <f>IFERROR(__xludf.DUMMYFUNCTION("""COMPUTED_VALUE"""),"พรสุดา")</f>
        <v>พรสุดา</v>
      </c>
      <c r="K773" s="1" t="str">
        <f>IFERROR(__xludf.DUMMYFUNCTION("""COMPUTED_VALUE"""),"นามกุณี")</f>
        <v>นามกุณี</v>
      </c>
      <c r="L773" s="1" t="str">
        <f>IFERROR(__xludf.DUMMYFUNCTION("""COMPUTED_VALUE"""),"ม.5")</f>
        <v>ม.5</v>
      </c>
      <c r="M773" s="1" t="str">
        <f>IFERROR(__xludf.DUMMYFUNCTION("""COMPUTED_VALUE"""),"ภาษาต่างประเทศ")</f>
        <v>ภาษาต่างประเทศ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>
        <f>IFERROR(__xludf.DUMMYFUNCTION("""COMPUTED_VALUE"""),4.0)</f>
        <v>4</v>
      </c>
      <c r="B774" s="1">
        <f>IFERROR(__xludf.DUMMYFUNCTION("""COMPUTED_VALUE"""),1.0)</f>
        <v>1</v>
      </c>
      <c r="C774" s="1" t="str">
        <f>IFERROR(__xludf.DUMMYFUNCTION("""COMPUTED_VALUE"""),"อ32101")</f>
        <v>อ32101</v>
      </c>
      <c r="D774" s="1" t="str">
        <f>IFERROR(__xludf.DUMMYFUNCTION("""COMPUTED_VALUE"""),"ภาษาอังกฤษ 3")</f>
        <v>ภาษาอังกฤษ 3</v>
      </c>
      <c r="E774" s="1">
        <f>IFERROR(__xludf.DUMMYFUNCTION("""COMPUTED_VALUE"""),1.0)</f>
        <v>1</v>
      </c>
      <c r="F774" s="1">
        <f>IFERROR(__xludf.DUMMYFUNCTION("""COMPUTED_VALUE"""),2569.0)</f>
        <v>2569</v>
      </c>
      <c r="G774" s="1">
        <f>IFERROR(__xludf.DUMMYFUNCTION("""COMPUTED_VALUE"""),1.0)</f>
        <v>1</v>
      </c>
      <c r="H774" s="1">
        <f>IFERROR(__xludf.DUMMYFUNCTION("""COMPUTED_VALUE"""),824.0)</f>
        <v>824</v>
      </c>
      <c r="I774" s="1" t="str">
        <f>IFERROR(__xludf.DUMMYFUNCTION("""COMPUTED_VALUE"""),"นางสาว")</f>
        <v>นางสาว</v>
      </c>
      <c r="J774" s="1" t="str">
        <f>IFERROR(__xludf.DUMMYFUNCTION("""COMPUTED_VALUE"""),"พรสุดา")</f>
        <v>พรสุดา</v>
      </c>
      <c r="K774" s="1" t="str">
        <f>IFERROR(__xludf.DUMMYFUNCTION("""COMPUTED_VALUE"""),"นามกุณี")</f>
        <v>นามกุณี</v>
      </c>
      <c r="L774" s="1" t="str">
        <f>IFERROR(__xludf.DUMMYFUNCTION("""COMPUTED_VALUE"""),"ม.5")</f>
        <v>ม.5</v>
      </c>
      <c r="M774" s="1" t="str">
        <f>IFERROR(__xludf.DUMMYFUNCTION("""COMPUTED_VALUE"""),"ภาษาต่างประเทศ")</f>
        <v>ภาษาต่างประเทศ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>
        <f>IFERROR(__xludf.DUMMYFUNCTION("""COMPUTED_VALUE"""),5.0)</f>
        <v>5</v>
      </c>
      <c r="B775" s="1">
        <f>IFERROR(__xludf.DUMMYFUNCTION("""COMPUTED_VALUE"""),1.0)</f>
        <v>1</v>
      </c>
      <c r="C775" s="1" t="str">
        <f>IFERROR(__xludf.DUMMYFUNCTION("""COMPUTED_VALUE"""),"อ32101")</f>
        <v>อ32101</v>
      </c>
      <c r="D775" s="1" t="str">
        <f>IFERROR(__xludf.DUMMYFUNCTION("""COMPUTED_VALUE"""),"ภาษาอังกฤษ 3")</f>
        <v>ภาษาอังกฤษ 3</v>
      </c>
      <c r="E775" s="1">
        <f>IFERROR(__xludf.DUMMYFUNCTION("""COMPUTED_VALUE"""),1.0)</f>
        <v>1</v>
      </c>
      <c r="F775" s="1">
        <f>IFERROR(__xludf.DUMMYFUNCTION("""COMPUTED_VALUE"""),2569.0)</f>
        <v>2569</v>
      </c>
      <c r="G775" s="1">
        <f>IFERROR(__xludf.DUMMYFUNCTION("""COMPUTED_VALUE"""),1.0)</f>
        <v>1</v>
      </c>
      <c r="H775" s="1">
        <f>IFERROR(__xludf.DUMMYFUNCTION("""COMPUTED_VALUE"""),824.0)</f>
        <v>824</v>
      </c>
      <c r="I775" s="1" t="str">
        <f>IFERROR(__xludf.DUMMYFUNCTION("""COMPUTED_VALUE"""),"นางสาว")</f>
        <v>นางสาว</v>
      </c>
      <c r="J775" s="1" t="str">
        <f>IFERROR(__xludf.DUMMYFUNCTION("""COMPUTED_VALUE"""),"พรสุดา")</f>
        <v>พรสุดา</v>
      </c>
      <c r="K775" s="1" t="str">
        <f>IFERROR(__xludf.DUMMYFUNCTION("""COMPUTED_VALUE"""),"นามกุณี")</f>
        <v>นามกุณี</v>
      </c>
      <c r="L775" s="1" t="str">
        <f>IFERROR(__xludf.DUMMYFUNCTION("""COMPUTED_VALUE"""),"ม.5")</f>
        <v>ม.5</v>
      </c>
      <c r="M775" s="1" t="str">
        <f>IFERROR(__xludf.DUMMYFUNCTION("""COMPUTED_VALUE"""),"ภาษาต่างประเทศ")</f>
        <v>ภาษาต่างประเทศ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>
        <f>IFERROR(__xludf.DUMMYFUNCTION("""COMPUTED_VALUE"""),6.0)</f>
        <v>6</v>
      </c>
      <c r="B776" s="1">
        <f>IFERROR(__xludf.DUMMYFUNCTION("""COMPUTED_VALUE"""),1.0)</f>
        <v>1</v>
      </c>
      <c r="C776" s="1" t="str">
        <f>IFERROR(__xludf.DUMMYFUNCTION("""COMPUTED_VALUE"""),"อ32101")</f>
        <v>อ32101</v>
      </c>
      <c r="D776" s="1" t="str">
        <f>IFERROR(__xludf.DUMMYFUNCTION("""COMPUTED_VALUE"""),"ภาษาอังกฤษ 3")</f>
        <v>ภาษาอังกฤษ 3</v>
      </c>
      <c r="E776" s="1">
        <f>IFERROR(__xludf.DUMMYFUNCTION("""COMPUTED_VALUE"""),1.0)</f>
        <v>1</v>
      </c>
      <c r="F776" s="1">
        <f>IFERROR(__xludf.DUMMYFUNCTION("""COMPUTED_VALUE"""),2569.0)</f>
        <v>2569</v>
      </c>
      <c r="G776" s="1">
        <f>IFERROR(__xludf.DUMMYFUNCTION("""COMPUTED_VALUE"""),1.0)</f>
        <v>1</v>
      </c>
      <c r="H776" s="1">
        <f>IFERROR(__xludf.DUMMYFUNCTION("""COMPUTED_VALUE"""),824.0)</f>
        <v>824</v>
      </c>
      <c r="I776" s="1" t="str">
        <f>IFERROR(__xludf.DUMMYFUNCTION("""COMPUTED_VALUE"""),"นางสาว")</f>
        <v>นางสาว</v>
      </c>
      <c r="J776" s="1" t="str">
        <f>IFERROR(__xludf.DUMMYFUNCTION("""COMPUTED_VALUE"""),"พรสุดา")</f>
        <v>พรสุดา</v>
      </c>
      <c r="K776" s="1" t="str">
        <f>IFERROR(__xludf.DUMMYFUNCTION("""COMPUTED_VALUE"""),"นามกุณี")</f>
        <v>นามกุณี</v>
      </c>
      <c r="L776" s="1" t="str">
        <f>IFERROR(__xludf.DUMMYFUNCTION("""COMPUTED_VALUE"""),"ม.5")</f>
        <v>ม.5</v>
      </c>
      <c r="M776" s="1" t="str">
        <f>IFERROR(__xludf.DUMMYFUNCTION("""COMPUTED_VALUE"""),"ภาษาต่างประเทศ")</f>
        <v>ภาษาต่างประเทศ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>
        <f>IFERROR(__xludf.DUMMYFUNCTION("""COMPUTED_VALUE"""),10.0)</f>
        <v>10</v>
      </c>
      <c r="B777" s="1">
        <f>IFERROR(__xludf.DUMMYFUNCTION("""COMPUTED_VALUE"""),1.0)</f>
        <v>1</v>
      </c>
      <c r="C777" s="1" t="str">
        <f>IFERROR(__xludf.DUMMYFUNCTION("""COMPUTED_VALUE"""),"อ32101")</f>
        <v>อ32101</v>
      </c>
      <c r="D777" s="1" t="str">
        <f>IFERROR(__xludf.DUMMYFUNCTION("""COMPUTED_VALUE"""),"ภาษาอังกฤษ 3")</f>
        <v>ภาษาอังกฤษ 3</v>
      </c>
      <c r="E777" s="1">
        <f>IFERROR(__xludf.DUMMYFUNCTION("""COMPUTED_VALUE"""),1.0)</f>
        <v>1</v>
      </c>
      <c r="F777" s="1">
        <f>IFERROR(__xludf.DUMMYFUNCTION("""COMPUTED_VALUE"""),2569.0)</f>
        <v>2569</v>
      </c>
      <c r="G777" s="1">
        <f>IFERROR(__xludf.DUMMYFUNCTION("""COMPUTED_VALUE"""),1.0)</f>
        <v>1</v>
      </c>
      <c r="H777" s="1">
        <f>IFERROR(__xludf.DUMMYFUNCTION("""COMPUTED_VALUE"""),824.0)</f>
        <v>824</v>
      </c>
      <c r="I777" s="1" t="str">
        <f>IFERROR(__xludf.DUMMYFUNCTION("""COMPUTED_VALUE"""),"นางสาว")</f>
        <v>นางสาว</v>
      </c>
      <c r="J777" s="1" t="str">
        <f>IFERROR(__xludf.DUMMYFUNCTION("""COMPUTED_VALUE"""),"พรสุดา")</f>
        <v>พรสุดา</v>
      </c>
      <c r="K777" s="1" t="str">
        <f>IFERROR(__xludf.DUMMYFUNCTION("""COMPUTED_VALUE"""),"นามกุณี")</f>
        <v>นามกุณี</v>
      </c>
      <c r="L777" s="1" t="str">
        <f>IFERROR(__xludf.DUMMYFUNCTION("""COMPUTED_VALUE"""),"ม.5")</f>
        <v>ม.5</v>
      </c>
      <c r="M777" s="1" t="str">
        <f>IFERROR(__xludf.DUMMYFUNCTION("""COMPUTED_VALUE"""),"ภาษาต่างประเทศ")</f>
        <v>ภาษาต่างประเทศ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>
        <f>IFERROR(__xludf.DUMMYFUNCTION("""COMPUTED_VALUE"""),11.0)</f>
        <v>11</v>
      </c>
      <c r="B778" s="1">
        <f>IFERROR(__xludf.DUMMYFUNCTION("""COMPUTED_VALUE"""),1.0)</f>
        <v>1</v>
      </c>
      <c r="C778" s="1" t="str">
        <f>IFERROR(__xludf.DUMMYFUNCTION("""COMPUTED_VALUE"""),"อ32101")</f>
        <v>อ32101</v>
      </c>
      <c r="D778" s="1" t="str">
        <f>IFERROR(__xludf.DUMMYFUNCTION("""COMPUTED_VALUE"""),"ภาษาอังกฤษ 3")</f>
        <v>ภาษาอังกฤษ 3</v>
      </c>
      <c r="E778" s="1">
        <f>IFERROR(__xludf.DUMMYFUNCTION("""COMPUTED_VALUE"""),1.0)</f>
        <v>1</v>
      </c>
      <c r="F778" s="1">
        <f>IFERROR(__xludf.DUMMYFUNCTION("""COMPUTED_VALUE"""),2569.0)</f>
        <v>2569</v>
      </c>
      <c r="G778" s="1">
        <f>IFERROR(__xludf.DUMMYFUNCTION("""COMPUTED_VALUE"""),1.0)</f>
        <v>1</v>
      </c>
      <c r="H778" s="1">
        <f>IFERROR(__xludf.DUMMYFUNCTION("""COMPUTED_VALUE"""),824.0)</f>
        <v>824</v>
      </c>
      <c r="I778" s="1" t="str">
        <f>IFERROR(__xludf.DUMMYFUNCTION("""COMPUTED_VALUE"""),"นางสาว")</f>
        <v>นางสาว</v>
      </c>
      <c r="J778" s="1" t="str">
        <f>IFERROR(__xludf.DUMMYFUNCTION("""COMPUTED_VALUE"""),"พรสุดา")</f>
        <v>พรสุดา</v>
      </c>
      <c r="K778" s="1" t="str">
        <f>IFERROR(__xludf.DUMMYFUNCTION("""COMPUTED_VALUE"""),"นามกุณี")</f>
        <v>นามกุณี</v>
      </c>
      <c r="L778" s="1" t="str">
        <f>IFERROR(__xludf.DUMMYFUNCTION("""COMPUTED_VALUE"""),"ม.5")</f>
        <v>ม.5</v>
      </c>
      <c r="M778" s="1" t="str">
        <f>IFERROR(__xludf.DUMMYFUNCTION("""COMPUTED_VALUE"""),"ภาษาต่างประเทศ")</f>
        <v>ภาษาต่างประเทศ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>
        <f>IFERROR(__xludf.DUMMYFUNCTION("""COMPUTED_VALUE"""),1.0)</f>
        <v>1</v>
      </c>
      <c r="B779" s="1">
        <f>IFERROR(__xludf.DUMMYFUNCTION("""COMPUTED_VALUE"""),1.0)</f>
        <v>1</v>
      </c>
      <c r="C779" s="1" t="str">
        <f>IFERROR(__xludf.DUMMYFUNCTION("""COMPUTED_VALUE"""),"จ20205")</f>
        <v>จ20205</v>
      </c>
      <c r="D779" s="1" t="str">
        <f>IFERROR(__xludf.DUMMYFUNCTION("""COMPUTED_VALUE"""),"ภาษาจีน5")</f>
        <v>ภาษาจีน5</v>
      </c>
      <c r="E779" s="1">
        <f>IFERROR(__xludf.DUMMYFUNCTION("""COMPUTED_VALUE"""),0.5)</f>
        <v>0.5</v>
      </c>
      <c r="F779" s="1">
        <f>IFERROR(__xludf.DUMMYFUNCTION("""COMPUTED_VALUE"""),2569.0)</f>
        <v>2569</v>
      </c>
      <c r="G779" s="1">
        <f>IFERROR(__xludf.DUMMYFUNCTION("""COMPUTED_VALUE"""),1.0)</f>
        <v>1</v>
      </c>
      <c r="H779" s="1">
        <f>IFERROR(__xludf.DUMMYFUNCTION("""COMPUTED_VALUE"""),828.0)</f>
        <v>828</v>
      </c>
      <c r="I779" s="1" t="str">
        <f>IFERROR(__xludf.DUMMYFUNCTION("""COMPUTED_VALUE"""),"นางสาว")</f>
        <v>นางสาว</v>
      </c>
      <c r="J779" s="1" t="str">
        <f>IFERROR(__xludf.DUMMYFUNCTION("""COMPUTED_VALUE"""),"ศิรดา")</f>
        <v>ศิรดา</v>
      </c>
      <c r="K779" s="1" t="str">
        <f>IFERROR(__xludf.DUMMYFUNCTION("""COMPUTED_VALUE"""),"ศรีวิลักษณ์")</f>
        <v>ศรีวิลักษณ์</v>
      </c>
      <c r="L779" s="1" t="str">
        <f>IFERROR(__xludf.DUMMYFUNCTION("""COMPUTED_VALUE"""),"ม.3")</f>
        <v>ม.3</v>
      </c>
      <c r="M779" s="1" t="str">
        <f>IFERROR(__xludf.DUMMYFUNCTION("""COMPUTED_VALUE"""),"ภาษาต่างประเทศ")</f>
        <v>ภาษาต่างประเทศ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>
        <f>IFERROR(__xludf.DUMMYFUNCTION("""COMPUTED_VALUE"""),2.0)</f>
        <v>2</v>
      </c>
      <c r="B780" s="1">
        <f>IFERROR(__xludf.DUMMYFUNCTION("""COMPUTED_VALUE"""),1.0)</f>
        <v>1</v>
      </c>
      <c r="C780" s="1" t="str">
        <f>IFERROR(__xludf.DUMMYFUNCTION("""COMPUTED_VALUE"""),"จ20205")</f>
        <v>จ20205</v>
      </c>
      <c r="D780" s="1" t="str">
        <f>IFERROR(__xludf.DUMMYFUNCTION("""COMPUTED_VALUE"""),"ภาษาจีน5")</f>
        <v>ภาษาจีน5</v>
      </c>
      <c r="E780" s="1">
        <f>IFERROR(__xludf.DUMMYFUNCTION("""COMPUTED_VALUE"""),0.5)</f>
        <v>0.5</v>
      </c>
      <c r="F780" s="1">
        <f>IFERROR(__xludf.DUMMYFUNCTION("""COMPUTED_VALUE"""),2569.0)</f>
        <v>2569</v>
      </c>
      <c r="G780" s="1">
        <f>IFERROR(__xludf.DUMMYFUNCTION("""COMPUTED_VALUE"""),1.0)</f>
        <v>1</v>
      </c>
      <c r="H780" s="1">
        <f>IFERROR(__xludf.DUMMYFUNCTION("""COMPUTED_VALUE"""),828.0)</f>
        <v>828</v>
      </c>
      <c r="I780" s="1" t="str">
        <f>IFERROR(__xludf.DUMMYFUNCTION("""COMPUTED_VALUE"""),"นางสาว")</f>
        <v>นางสาว</v>
      </c>
      <c r="J780" s="1" t="str">
        <f>IFERROR(__xludf.DUMMYFUNCTION("""COMPUTED_VALUE"""),"ศิรดา")</f>
        <v>ศิรดา</v>
      </c>
      <c r="K780" s="1" t="str">
        <f>IFERROR(__xludf.DUMMYFUNCTION("""COMPUTED_VALUE"""),"ศรีวิลักษณ์")</f>
        <v>ศรีวิลักษณ์</v>
      </c>
      <c r="L780" s="1" t="str">
        <f>IFERROR(__xludf.DUMMYFUNCTION("""COMPUTED_VALUE"""),"ม.3")</f>
        <v>ม.3</v>
      </c>
      <c r="M780" s="1" t="str">
        <f>IFERROR(__xludf.DUMMYFUNCTION("""COMPUTED_VALUE"""),"ภาษาต่างประเทศ")</f>
        <v>ภาษาต่างประเทศ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>
        <f>IFERROR(__xludf.DUMMYFUNCTION("""COMPUTED_VALUE"""),3.0)</f>
        <v>3</v>
      </c>
      <c r="B781" s="1">
        <f>IFERROR(__xludf.DUMMYFUNCTION("""COMPUTED_VALUE"""),1.0)</f>
        <v>1</v>
      </c>
      <c r="C781" s="1" t="str">
        <f>IFERROR(__xludf.DUMMYFUNCTION("""COMPUTED_VALUE"""),"จ20205")</f>
        <v>จ20205</v>
      </c>
      <c r="D781" s="1" t="str">
        <f>IFERROR(__xludf.DUMMYFUNCTION("""COMPUTED_VALUE"""),"ภาษาจีน5")</f>
        <v>ภาษาจีน5</v>
      </c>
      <c r="E781" s="1">
        <f>IFERROR(__xludf.DUMMYFUNCTION("""COMPUTED_VALUE"""),0.5)</f>
        <v>0.5</v>
      </c>
      <c r="F781" s="1">
        <f>IFERROR(__xludf.DUMMYFUNCTION("""COMPUTED_VALUE"""),2569.0)</f>
        <v>2569</v>
      </c>
      <c r="G781" s="1">
        <f>IFERROR(__xludf.DUMMYFUNCTION("""COMPUTED_VALUE"""),1.0)</f>
        <v>1</v>
      </c>
      <c r="H781" s="1">
        <f>IFERROR(__xludf.DUMMYFUNCTION("""COMPUTED_VALUE"""),828.0)</f>
        <v>828</v>
      </c>
      <c r="I781" s="1" t="str">
        <f>IFERROR(__xludf.DUMMYFUNCTION("""COMPUTED_VALUE"""),"นางสาว")</f>
        <v>นางสาว</v>
      </c>
      <c r="J781" s="1" t="str">
        <f>IFERROR(__xludf.DUMMYFUNCTION("""COMPUTED_VALUE"""),"ศิรดา")</f>
        <v>ศิรดา</v>
      </c>
      <c r="K781" s="1" t="str">
        <f>IFERROR(__xludf.DUMMYFUNCTION("""COMPUTED_VALUE"""),"ศรีวิลักษณ์")</f>
        <v>ศรีวิลักษณ์</v>
      </c>
      <c r="L781" s="1" t="str">
        <f>IFERROR(__xludf.DUMMYFUNCTION("""COMPUTED_VALUE"""),"ม.3")</f>
        <v>ม.3</v>
      </c>
      <c r="M781" s="1" t="str">
        <f>IFERROR(__xludf.DUMMYFUNCTION("""COMPUTED_VALUE"""),"ภาษาต่างประเทศ")</f>
        <v>ภาษาต่างประเทศ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>
        <f>IFERROR(__xludf.DUMMYFUNCTION("""COMPUTED_VALUE"""),4.0)</f>
        <v>4</v>
      </c>
      <c r="B782" s="1">
        <f>IFERROR(__xludf.DUMMYFUNCTION("""COMPUTED_VALUE"""),1.0)</f>
        <v>1</v>
      </c>
      <c r="C782" s="1" t="str">
        <f>IFERROR(__xludf.DUMMYFUNCTION("""COMPUTED_VALUE"""),"จ20205")</f>
        <v>จ20205</v>
      </c>
      <c r="D782" s="1" t="str">
        <f>IFERROR(__xludf.DUMMYFUNCTION("""COMPUTED_VALUE"""),"ภาษาจีน5")</f>
        <v>ภาษาจีน5</v>
      </c>
      <c r="E782" s="1">
        <f>IFERROR(__xludf.DUMMYFUNCTION("""COMPUTED_VALUE"""),0.5)</f>
        <v>0.5</v>
      </c>
      <c r="F782" s="1">
        <f>IFERROR(__xludf.DUMMYFUNCTION("""COMPUTED_VALUE"""),2569.0)</f>
        <v>2569</v>
      </c>
      <c r="G782" s="1">
        <f>IFERROR(__xludf.DUMMYFUNCTION("""COMPUTED_VALUE"""),1.0)</f>
        <v>1</v>
      </c>
      <c r="H782" s="1">
        <f>IFERROR(__xludf.DUMMYFUNCTION("""COMPUTED_VALUE"""),828.0)</f>
        <v>828</v>
      </c>
      <c r="I782" s="1" t="str">
        <f>IFERROR(__xludf.DUMMYFUNCTION("""COMPUTED_VALUE"""),"นางสาว")</f>
        <v>นางสาว</v>
      </c>
      <c r="J782" s="1" t="str">
        <f>IFERROR(__xludf.DUMMYFUNCTION("""COMPUTED_VALUE"""),"ศิรดา")</f>
        <v>ศิรดา</v>
      </c>
      <c r="K782" s="1" t="str">
        <f>IFERROR(__xludf.DUMMYFUNCTION("""COMPUTED_VALUE"""),"ศรีวิลักษณ์")</f>
        <v>ศรีวิลักษณ์</v>
      </c>
      <c r="L782" s="1" t="str">
        <f>IFERROR(__xludf.DUMMYFUNCTION("""COMPUTED_VALUE"""),"ม.3")</f>
        <v>ม.3</v>
      </c>
      <c r="M782" s="1" t="str">
        <f>IFERROR(__xludf.DUMMYFUNCTION("""COMPUTED_VALUE"""),"ภาษาต่างประเทศ")</f>
        <v>ภาษาต่างประเทศ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>
        <f>IFERROR(__xludf.DUMMYFUNCTION("""COMPUTED_VALUE"""),5.0)</f>
        <v>5</v>
      </c>
      <c r="B783" s="1">
        <f>IFERROR(__xludf.DUMMYFUNCTION("""COMPUTED_VALUE"""),1.0)</f>
        <v>1</v>
      </c>
      <c r="C783" s="1" t="str">
        <f>IFERROR(__xludf.DUMMYFUNCTION("""COMPUTED_VALUE"""),"จ20205")</f>
        <v>จ20205</v>
      </c>
      <c r="D783" s="1" t="str">
        <f>IFERROR(__xludf.DUMMYFUNCTION("""COMPUTED_VALUE"""),"ภาษาจีน5")</f>
        <v>ภาษาจีน5</v>
      </c>
      <c r="E783" s="1">
        <f>IFERROR(__xludf.DUMMYFUNCTION("""COMPUTED_VALUE"""),0.5)</f>
        <v>0.5</v>
      </c>
      <c r="F783" s="1">
        <f>IFERROR(__xludf.DUMMYFUNCTION("""COMPUTED_VALUE"""),2569.0)</f>
        <v>2569</v>
      </c>
      <c r="G783" s="1">
        <f>IFERROR(__xludf.DUMMYFUNCTION("""COMPUTED_VALUE"""),1.0)</f>
        <v>1</v>
      </c>
      <c r="H783" s="1">
        <f>IFERROR(__xludf.DUMMYFUNCTION("""COMPUTED_VALUE"""),828.0)</f>
        <v>828</v>
      </c>
      <c r="I783" s="1" t="str">
        <f>IFERROR(__xludf.DUMMYFUNCTION("""COMPUTED_VALUE"""),"นางสาว")</f>
        <v>นางสาว</v>
      </c>
      <c r="J783" s="1" t="str">
        <f>IFERROR(__xludf.DUMMYFUNCTION("""COMPUTED_VALUE"""),"ศิรดา")</f>
        <v>ศิรดา</v>
      </c>
      <c r="K783" s="1" t="str">
        <f>IFERROR(__xludf.DUMMYFUNCTION("""COMPUTED_VALUE"""),"ศรีวิลักษณ์")</f>
        <v>ศรีวิลักษณ์</v>
      </c>
      <c r="L783" s="1" t="str">
        <f>IFERROR(__xludf.DUMMYFUNCTION("""COMPUTED_VALUE"""),"ม.3")</f>
        <v>ม.3</v>
      </c>
      <c r="M783" s="1" t="str">
        <f>IFERROR(__xludf.DUMMYFUNCTION("""COMPUTED_VALUE"""),"ภาษาต่างประเทศ")</f>
        <v>ภาษาต่างประเทศ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>
        <f>IFERROR(__xludf.DUMMYFUNCTION("""COMPUTED_VALUE"""),6.0)</f>
        <v>6</v>
      </c>
      <c r="B784" s="1">
        <f>IFERROR(__xludf.DUMMYFUNCTION("""COMPUTED_VALUE"""),1.0)</f>
        <v>1</v>
      </c>
      <c r="C784" s="1" t="str">
        <f>IFERROR(__xludf.DUMMYFUNCTION("""COMPUTED_VALUE"""),"จ20205")</f>
        <v>จ20205</v>
      </c>
      <c r="D784" s="1" t="str">
        <f>IFERROR(__xludf.DUMMYFUNCTION("""COMPUTED_VALUE"""),"ภาษาจีน5")</f>
        <v>ภาษาจีน5</v>
      </c>
      <c r="E784" s="1">
        <f>IFERROR(__xludf.DUMMYFUNCTION("""COMPUTED_VALUE"""),0.5)</f>
        <v>0.5</v>
      </c>
      <c r="F784" s="1">
        <f>IFERROR(__xludf.DUMMYFUNCTION("""COMPUTED_VALUE"""),2569.0)</f>
        <v>2569</v>
      </c>
      <c r="G784" s="1">
        <f>IFERROR(__xludf.DUMMYFUNCTION("""COMPUTED_VALUE"""),1.0)</f>
        <v>1</v>
      </c>
      <c r="H784" s="1">
        <f>IFERROR(__xludf.DUMMYFUNCTION("""COMPUTED_VALUE"""),828.0)</f>
        <v>828</v>
      </c>
      <c r="I784" s="1" t="str">
        <f>IFERROR(__xludf.DUMMYFUNCTION("""COMPUTED_VALUE"""),"นางสาว")</f>
        <v>นางสาว</v>
      </c>
      <c r="J784" s="1" t="str">
        <f>IFERROR(__xludf.DUMMYFUNCTION("""COMPUTED_VALUE"""),"ศิรดา")</f>
        <v>ศิรดา</v>
      </c>
      <c r="K784" s="1" t="str">
        <f>IFERROR(__xludf.DUMMYFUNCTION("""COMPUTED_VALUE"""),"ศรีวิลักษณ์")</f>
        <v>ศรีวิลักษณ์</v>
      </c>
      <c r="L784" s="1" t="str">
        <f>IFERROR(__xludf.DUMMYFUNCTION("""COMPUTED_VALUE"""),"ม.3")</f>
        <v>ม.3</v>
      </c>
      <c r="M784" s="1" t="str">
        <f>IFERROR(__xludf.DUMMYFUNCTION("""COMPUTED_VALUE"""),"ภาษาต่างประเทศ")</f>
        <v>ภาษาต่างประเทศ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>
        <f>IFERROR(__xludf.DUMMYFUNCTION("""COMPUTED_VALUE"""),7.0)</f>
        <v>7</v>
      </c>
      <c r="B785" s="1">
        <f>IFERROR(__xludf.DUMMYFUNCTION("""COMPUTED_VALUE"""),1.0)</f>
        <v>1</v>
      </c>
      <c r="C785" s="1" t="str">
        <f>IFERROR(__xludf.DUMMYFUNCTION("""COMPUTED_VALUE"""),"จ20205")</f>
        <v>จ20205</v>
      </c>
      <c r="D785" s="1" t="str">
        <f>IFERROR(__xludf.DUMMYFUNCTION("""COMPUTED_VALUE"""),"ภาษาจีน5")</f>
        <v>ภาษาจีน5</v>
      </c>
      <c r="E785" s="1">
        <f>IFERROR(__xludf.DUMMYFUNCTION("""COMPUTED_VALUE"""),0.5)</f>
        <v>0.5</v>
      </c>
      <c r="F785" s="1">
        <f>IFERROR(__xludf.DUMMYFUNCTION("""COMPUTED_VALUE"""),2569.0)</f>
        <v>2569</v>
      </c>
      <c r="G785" s="1">
        <f>IFERROR(__xludf.DUMMYFUNCTION("""COMPUTED_VALUE"""),1.0)</f>
        <v>1</v>
      </c>
      <c r="H785" s="1">
        <f>IFERROR(__xludf.DUMMYFUNCTION("""COMPUTED_VALUE"""),828.0)</f>
        <v>828</v>
      </c>
      <c r="I785" s="1" t="str">
        <f>IFERROR(__xludf.DUMMYFUNCTION("""COMPUTED_VALUE"""),"นางสาว")</f>
        <v>นางสาว</v>
      </c>
      <c r="J785" s="1" t="str">
        <f>IFERROR(__xludf.DUMMYFUNCTION("""COMPUTED_VALUE"""),"ศิรดา")</f>
        <v>ศิรดา</v>
      </c>
      <c r="K785" s="1" t="str">
        <f>IFERROR(__xludf.DUMMYFUNCTION("""COMPUTED_VALUE"""),"ศรีวิลักษณ์")</f>
        <v>ศรีวิลักษณ์</v>
      </c>
      <c r="L785" s="1" t="str">
        <f>IFERROR(__xludf.DUMMYFUNCTION("""COMPUTED_VALUE"""),"ม.3")</f>
        <v>ม.3</v>
      </c>
      <c r="M785" s="1" t="str">
        <f>IFERROR(__xludf.DUMMYFUNCTION("""COMPUTED_VALUE"""),"ภาษาต่างประเทศ")</f>
        <v>ภาษาต่างประเทศ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>
        <f>IFERROR(__xludf.DUMMYFUNCTION("""COMPUTED_VALUE"""),8.0)</f>
        <v>8</v>
      </c>
      <c r="B786" s="1">
        <f>IFERROR(__xludf.DUMMYFUNCTION("""COMPUTED_VALUE"""),1.0)</f>
        <v>1</v>
      </c>
      <c r="C786" s="1" t="str">
        <f>IFERROR(__xludf.DUMMYFUNCTION("""COMPUTED_VALUE"""),"จ20205")</f>
        <v>จ20205</v>
      </c>
      <c r="D786" s="1" t="str">
        <f>IFERROR(__xludf.DUMMYFUNCTION("""COMPUTED_VALUE"""),"ภาษาจีน5")</f>
        <v>ภาษาจีน5</v>
      </c>
      <c r="E786" s="1">
        <f>IFERROR(__xludf.DUMMYFUNCTION("""COMPUTED_VALUE"""),0.5)</f>
        <v>0.5</v>
      </c>
      <c r="F786" s="1">
        <f>IFERROR(__xludf.DUMMYFUNCTION("""COMPUTED_VALUE"""),2569.0)</f>
        <v>2569</v>
      </c>
      <c r="G786" s="1">
        <f>IFERROR(__xludf.DUMMYFUNCTION("""COMPUTED_VALUE"""),1.0)</f>
        <v>1</v>
      </c>
      <c r="H786" s="1">
        <f>IFERROR(__xludf.DUMMYFUNCTION("""COMPUTED_VALUE"""),828.0)</f>
        <v>828</v>
      </c>
      <c r="I786" s="1" t="str">
        <f>IFERROR(__xludf.DUMMYFUNCTION("""COMPUTED_VALUE"""),"นางสาว")</f>
        <v>นางสาว</v>
      </c>
      <c r="J786" s="1" t="str">
        <f>IFERROR(__xludf.DUMMYFUNCTION("""COMPUTED_VALUE"""),"ศิรดา")</f>
        <v>ศิรดา</v>
      </c>
      <c r="K786" s="1" t="str">
        <f>IFERROR(__xludf.DUMMYFUNCTION("""COMPUTED_VALUE"""),"ศรีวิลักษณ์")</f>
        <v>ศรีวิลักษณ์</v>
      </c>
      <c r="L786" s="1" t="str">
        <f>IFERROR(__xludf.DUMMYFUNCTION("""COMPUTED_VALUE"""),"ม.3")</f>
        <v>ม.3</v>
      </c>
      <c r="M786" s="1" t="str">
        <f>IFERROR(__xludf.DUMMYFUNCTION("""COMPUTED_VALUE"""),"ภาษาต่างประเทศ")</f>
        <v>ภาษาต่างประเทศ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>
        <f>IFERROR(__xludf.DUMMYFUNCTION("""COMPUTED_VALUE"""),4.0)</f>
        <v>4</v>
      </c>
      <c r="B787" s="1">
        <f>IFERROR(__xludf.DUMMYFUNCTION("""COMPUTED_VALUE"""),1.0)</f>
        <v>1</v>
      </c>
      <c r="C787" s="1" t="str">
        <f>IFERROR(__xludf.DUMMYFUNCTION("""COMPUTED_VALUE"""),"จ20209")</f>
        <v>จ20209</v>
      </c>
      <c r="D787" s="1" t="str">
        <f>IFERROR(__xludf.DUMMYFUNCTION("""COMPUTED_VALUE"""),"ภาษาจีนพาเพลิน")</f>
        <v>ภาษาจีนพาเพลิน</v>
      </c>
      <c r="E787" s="1">
        <f>IFERROR(__xludf.DUMMYFUNCTION("""COMPUTED_VALUE"""),1.0)</f>
        <v>1</v>
      </c>
      <c r="F787" s="1">
        <f>IFERROR(__xludf.DUMMYFUNCTION("""COMPUTED_VALUE"""),2569.0)</f>
        <v>2569</v>
      </c>
      <c r="G787" s="1">
        <f>IFERROR(__xludf.DUMMYFUNCTION("""COMPUTED_VALUE"""),1.0)</f>
        <v>1</v>
      </c>
      <c r="H787" s="1">
        <f>IFERROR(__xludf.DUMMYFUNCTION("""COMPUTED_VALUE"""),828.0)</f>
        <v>828</v>
      </c>
      <c r="I787" s="1" t="str">
        <f>IFERROR(__xludf.DUMMYFUNCTION("""COMPUTED_VALUE"""),"นางสาว")</f>
        <v>นางสาว</v>
      </c>
      <c r="J787" s="1" t="str">
        <f>IFERROR(__xludf.DUMMYFUNCTION("""COMPUTED_VALUE"""),"ศิรดา")</f>
        <v>ศิรดา</v>
      </c>
      <c r="K787" s="1" t="str">
        <f>IFERROR(__xludf.DUMMYFUNCTION("""COMPUTED_VALUE"""),"ศรีวิลักษณ์")</f>
        <v>ศรีวิลักษณ์</v>
      </c>
      <c r="L787" s="1" t="str">
        <f>IFERROR(__xludf.DUMMYFUNCTION("""COMPUTED_VALUE"""),"ม.2")</f>
        <v>ม.2</v>
      </c>
      <c r="M787" s="1" t="str">
        <f>IFERROR(__xludf.DUMMYFUNCTION("""COMPUTED_VALUE"""),"ภาษาต่างประเทศ")</f>
        <v>ภาษาต่างประเทศ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>
        <f>IFERROR(__xludf.DUMMYFUNCTION("""COMPUTED_VALUE"""),4.0)</f>
        <v>4</v>
      </c>
      <c r="B788" s="1">
        <f>IFERROR(__xludf.DUMMYFUNCTION("""COMPUTED_VALUE"""),1.0)</f>
        <v>1</v>
      </c>
      <c r="C788" s="1" t="str">
        <f>IFERROR(__xludf.DUMMYFUNCTION("""COMPUTED_VALUE"""),"จ20213")</f>
        <v>จ20213</v>
      </c>
      <c r="D788" s="1" t="str">
        <f>IFERROR(__xludf.DUMMYFUNCTION("""COMPUTED_VALUE"""),"เปิดประตูสู่จีน")</f>
        <v>เปิดประตูสู่จีน</v>
      </c>
      <c r="E788" s="1">
        <f>IFERROR(__xludf.DUMMYFUNCTION("""COMPUTED_VALUE"""),1.0)</f>
        <v>1</v>
      </c>
      <c r="F788" s="1">
        <f>IFERROR(__xludf.DUMMYFUNCTION("""COMPUTED_VALUE"""),2569.0)</f>
        <v>2569</v>
      </c>
      <c r="G788" s="1">
        <f>IFERROR(__xludf.DUMMYFUNCTION("""COMPUTED_VALUE"""),1.0)</f>
        <v>1</v>
      </c>
      <c r="H788" s="1">
        <f>IFERROR(__xludf.DUMMYFUNCTION("""COMPUTED_VALUE"""),828.0)</f>
        <v>828</v>
      </c>
      <c r="I788" s="1" t="str">
        <f>IFERROR(__xludf.DUMMYFUNCTION("""COMPUTED_VALUE"""),"นางสาว")</f>
        <v>นางสาว</v>
      </c>
      <c r="J788" s="1" t="str">
        <f>IFERROR(__xludf.DUMMYFUNCTION("""COMPUTED_VALUE"""),"ศิรดา")</f>
        <v>ศิรดา</v>
      </c>
      <c r="K788" s="1" t="str">
        <f>IFERROR(__xludf.DUMMYFUNCTION("""COMPUTED_VALUE"""),"ศรีวิลักษณ์")</f>
        <v>ศรีวิลักษณ์</v>
      </c>
      <c r="L788" s="1" t="str">
        <f>IFERROR(__xludf.DUMMYFUNCTION("""COMPUTED_VALUE"""),"ม.1")</f>
        <v>ม.1</v>
      </c>
      <c r="M788" s="1" t="str">
        <f>IFERROR(__xludf.DUMMYFUNCTION("""COMPUTED_VALUE"""),"ภาษาต่างประเทศ")</f>
        <v>ภาษาต่างประเทศ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>
        <f>IFERROR(__xludf.DUMMYFUNCTION("""COMPUTED_VALUE"""),7.0)</f>
        <v>7</v>
      </c>
      <c r="B789" s="1">
        <f>IFERROR(__xludf.DUMMYFUNCTION("""COMPUTED_VALUE"""),1.0)</f>
        <v>1</v>
      </c>
      <c r="C789" s="1" t="str">
        <f>IFERROR(__xludf.DUMMYFUNCTION("""COMPUTED_VALUE"""),"จ30211")</f>
        <v>จ30211</v>
      </c>
      <c r="D789" s="1" t="str">
        <f>IFERROR(__xludf.DUMMYFUNCTION("""COMPUTED_VALUE"""),"ภาษาจีนเบื้องต้น 5")</f>
        <v>ภาษาจีนเบื้องต้น 5</v>
      </c>
      <c r="E789" s="1">
        <f>IFERROR(__xludf.DUMMYFUNCTION("""COMPUTED_VALUE"""),2.0)</f>
        <v>2</v>
      </c>
      <c r="F789" s="1">
        <f>IFERROR(__xludf.DUMMYFUNCTION("""COMPUTED_VALUE"""),2569.0)</f>
        <v>2569</v>
      </c>
      <c r="G789" s="1">
        <f>IFERROR(__xludf.DUMMYFUNCTION("""COMPUTED_VALUE"""),1.0)</f>
        <v>1</v>
      </c>
      <c r="H789" s="1">
        <f>IFERROR(__xludf.DUMMYFUNCTION("""COMPUTED_VALUE"""),828.0)</f>
        <v>828</v>
      </c>
      <c r="I789" s="1" t="str">
        <f>IFERROR(__xludf.DUMMYFUNCTION("""COMPUTED_VALUE"""),"นางสาว")</f>
        <v>นางสาว</v>
      </c>
      <c r="J789" s="1" t="str">
        <f>IFERROR(__xludf.DUMMYFUNCTION("""COMPUTED_VALUE"""),"ศิรดา")</f>
        <v>ศิรดา</v>
      </c>
      <c r="K789" s="1" t="str">
        <f>IFERROR(__xludf.DUMMYFUNCTION("""COMPUTED_VALUE"""),"ศรีวิลักษณ์")</f>
        <v>ศรีวิลักษณ์</v>
      </c>
      <c r="L789" s="1" t="str">
        <f>IFERROR(__xludf.DUMMYFUNCTION("""COMPUTED_VALUE"""),"ม.6")</f>
        <v>ม.6</v>
      </c>
      <c r="M789" s="1" t="str">
        <f>IFERROR(__xludf.DUMMYFUNCTION("""COMPUTED_VALUE"""),"ภาษาต่างประเทศ")</f>
        <v>ภาษาต่างประเทศ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>
        <f>IFERROR(__xludf.DUMMYFUNCTION("""COMPUTED_VALUE"""),6.0)</f>
        <v>6</v>
      </c>
      <c r="B790" s="1">
        <f>IFERROR(__xludf.DUMMYFUNCTION("""COMPUTED_VALUE"""),1.0)</f>
        <v>1</v>
      </c>
      <c r="C790" s="1" t="str">
        <f>IFERROR(__xludf.DUMMYFUNCTION("""COMPUTED_VALUE"""),"จ30215")</f>
        <v>จ30215</v>
      </c>
      <c r="D790" s="1" t="str">
        <f>IFERROR(__xludf.DUMMYFUNCTION("""COMPUTED_VALUE"""),"ภาษาจีนฟัง-พูด 2")</f>
        <v>ภาษาจีนฟัง-พูด 2</v>
      </c>
      <c r="E790" s="1">
        <f>IFERROR(__xludf.DUMMYFUNCTION("""COMPUTED_VALUE"""),1.0)</f>
        <v>1</v>
      </c>
      <c r="F790" s="1">
        <f>IFERROR(__xludf.DUMMYFUNCTION("""COMPUTED_VALUE"""),2569.0)</f>
        <v>2569</v>
      </c>
      <c r="G790" s="1">
        <f>IFERROR(__xludf.DUMMYFUNCTION("""COMPUTED_VALUE"""),1.0)</f>
        <v>1</v>
      </c>
      <c r="H790" s="1">
        <f>IFERROR(__xludf.DUMMYFUNCTION("""COMPUTED_VALUE"""),828.0)</f>
        <v>828</v>
      </c>
      <c r="I790" s="1" t="str">
        <f>IFERROR(__xludf.DUMMYFUNCTION("""COMPUTED_VALUE"""),"นางสาว")</f>
        <v>นางสาว</v>
      </c>
      <c r="J790" s="1" t="str">
        <f>IFERROR(__xludf.DUMMYFUNCTION("""COMPUTED_VALUE"""),"ศิรดา")</f>
        <v>ศิรดา</v>
      </c>
      <c r="K790" s="1" t="str">
        <f>IFERROR(__xludf.DUMMYFUNCTION("""COMPUTED_VALUE"""),"ศรีวิลักษณ์")</f>
        <v>ศรีวิลักษณ์</v>
      </c>
      <c r="L790" s="1" t="str">
        <f>IFERROR(__xludf.DUMMYFUNCTION("""COMPUTED_VALUE"""),"ม.5")</f>
        <v>ม.5</v>
      </c>
      <c r="M790" s="1" t="str">
        <f>IFERROR(__xludf.DUMMYFUNCTION("""COMPUTED_VALUE"""),"ภาษาต่างประเทศ")</f>
        <v>ภาษาต่างประเทศ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>
        <f>IFERROR(__xludf.DUMMYFUNCTION("""COMPUTED_VALUE"""),7.0)</f>
        <v>7</v>
      </c>
      <c r="B791" s="1">
        <f>IFERROR(__xludf.DUMMYFUNCTION("""COMPUTED_VALUE"""),1.0)</f>
        <v>1</v>
      </c>
      <c r="C791" s="1" t="str">
        <f>IFERROR(__xludf.DUMMYFUNCTION("""COMPUTED_VALUE"""),"จ30215")</f>
        <v>จ30215</v>
      </c>
      <c r="D791" s="1" t="str">
        <f>IFERROR(__xludf.DUMMYFUNCTION("""COMPUTED_VALUE"""),"ภาษาจีนฟัง-พูด 2")</f>
        <v>ภาษาจีนฟัง-พูด 2</v>
      </c>
      <c r="E791" s="1">
        <f>IFERROR(__xludf.DUMMYFUNCTION("""COMPUTED_VALUE"""),1.0)</f>
        <v>1</v>
      </c>
      <c r="F791" s="1">
        <f>IFERROR(__xludf.DUMMYFUNCTION("""COMPUTED_VALUE"""),2569.0)</f>
        <v>2569</v>
      </c>
      <c r="G791" s="1">
        <f>IFERROR(__xludf.DUMMYFUNCTION("""COMPUTED_VALUE"""),1.0)</f>
        <v>1</v>
      </c>
      <c r="H791" s="1">
        <f>IFERROR(__xludf.DUMMYFUNCTION("""COMPUTED_VALUE"""),828.0)</f>
        <v>828</v>
      </c>
      <c r="I791" s="1" t="str">
        <f>IFERROR(__xludf.DUMMYFUNCTION("""COMPUTED_VALUE"""),"นางสาว")</f>
        <v>นางสาว</v>
      </c>
      <c r="J791" s="1" t="str">
        <f>IFERROR(__xludf.DUMMYFUNCTION("""COMPUTED_VALUE"""),"ศิรดา")</f>
        <v>ศิรดา</v>
      </c>
      <c r="K791" s="1" t="str">
        <f>IFERROR(__xludf.DUMMYFUNCTION("""COMPUTED_VALUE"""),"ศรีวิลักษณ์")</f>
        <v>ศรีวิลักษณ์</v>
      </c>
      <c r="L791" s="1" t="str">
        <f>IFERROR(__xludf.DUMMYFUNCTION("""COMPUTED_VALUE"""),"ม.5")</f>
        <v>ม.5</v>
      </c>
      <c r="M791" s="1" t="str">
        <f>IFERROR(__xludf.DUMMYFUNCTION("""COMPUTED_VALUE"""),"ภาษาต่างประเทศ")</f>
        <v>ภาษาต่างประเทศ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>
        <f>IFERROR(__xludf.DUMMYFUNCTION("""COMPUTED_VALUE"""),6.0)</f>
        <v>6</v>
      </c>
      <c r="B792" s="1">
        <f>IFERROR(__xludf.DUMMYFUNCTION("""COMPUTED_VALUE"""),2.0)</f>
        <v>2</v>
      </c>
      <c r="C792" s="1" t="str">
        <f>IFERROR(__xludf.DUMMYFUNCTION("""COMPUTED_VALUE"""),"ส30247")</f>
        <v>ส30247</v>
      </c>
      <c r="D792" s="1" t="str">
        <f>IFERROR(__xludf.DUMMYFUNCTION("""COMPUTED_VALUE"""),"การป้องกันการทุจริต 1")</f>
        <v>การป้องกันการทุจริต 1</v>
      </c>
      <c r="E792" s="1">
        <f>IFERROR(__xludf.DUMMYFUNCTION("""COMPUTED_VALUE"""),0.5)</f>
        <v>0.5</v>
      </c>
      <c r="F792" s="1">
        <f>IFERROR(__xludf.DUMMYFUNCTION("""COMPUTED_VALUE"""),2569.0)</f>
        <v>2569</v>
      </c>
      <c r="G792" s="1">
        <f>IFERROR(__xludf.DUMMYFUNCTION("""COMPUTED_VALUE"""),1.0)</f>
        <v>1</v>
      </c>
      <c r="H792" s="1">
        <f>IFERROR(__xludf.DUMMYFUNCTION("""COMPUTED_VALUE"""),828.0)</f>
        <v>828</v>
      </c>
      <c r="I792" s="1" t="str">
        <f>IFERROR(__xludf.DUMMYFUNCTION("""COMPUTED_VALUE"""),"นางสาว")</f>
        <v>นางสาว</v>
      </c>
      <c r="J792" s="1" t="str">
        <f>IFERROR(__xludf.DUMMYFUNCTION("""COMPUTED_VALUE"""),"ศิรดา")</f>
        <v>ศิรดา</v>
      </c>
      <c r="K792" s="1" t="str">
        <f>IFERROR(__xludf.DUMMYFUNCTION("""COMPUTED_VALUE"""),"ศรีวิลักษณ์")</f>
        <v>ศรีวิลักษณ์</v>
      </c>
      <c r="L792" s="1" t="str">
        <f>IFERROR(__xludf.DUMMYFUNCTION("""COMPUTED_VALUE"""),"ม.4")</f>
        <v>ม.4</v>
      </c>
      <c r="M792" s="1" t="str">
        <f>IFERROR(__xludf.DUMMYFUNCTION("""COMPUTED_VALUE"""),"ภาษาต่างประเทศ")</f>
        <v>ภาษาต่างประเทศ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>
        <f>IFERROR(__xludf.DUMMYFUNCTION("""COMPUTED_VALUE"""),5.0)</f>
        <v>5</v>
      </c>
      <c r="B793" s="1">
        <f>IFERROR(__xludf.DUMMYFUNCTION("""COMPUTED_VALUE"""),1.0)</f>
        <v>1</v>
      </c>
      <c r="C793" s="1" t="str">
        <f>IFERROR(__xludf.DUMMYFUNCTION("""COMPUTED_VALUE"""),"ส20227")</f>
        <v>ส20227</v>
      </c>
      <c r="D793" s="1" t="str">
        <f>IFERROR(__xludf.DUMMYFUNCTION("""COMPUTED_VALUE"""),"การป้องกันการทุจริต 5")</f>
        <v>การป้องกันการทุจริต 5</v>
      </c>
      <c r="E793" s="1">
        <f>IFERROR(__xludf.DUMMYFUNCTION("""COMPUTED_VALUE"""),0.5)</f>
        <v>0.5</v>
      </c>
      <c r="F793" s="1">
        <f>IFERROR(__xludf.DUMMYFUNCTION("""COMPUTED_VALUE"""),2569.0)</f>
        <v>2569</v>
      </c>
      <c r="G793" s="1">
        <f>IFERROR(__xludf.DUMMYFUNCTION("""COMPUTED_VALUE"""),1.0)</f>
        <v>1</v>
      </c>
      <c r="H793" s="1">
        <f>IFERROR(__xludf.DUMMYFUNCTION("""COMPUTED_VALUE"""),831.0)</f>
        <v>831</v>
      </c>
      <c r="I793" s="1" t="str">
        <f>IFERROR(__xludf.DUMMYFUNCTION("""COMPUTED_VALUE"""),"นางสาว")</f>
        <v>นางสาว</v>
      </c>
      <c r="J793" s="1" t="str">
        <f>IFERROR(__xludf.DUMMYFUNCTION("""COMPUTED_VALUE"""),"สุภาภรณ์")</f>
        <v>สุภาภรณ์</v>
      </c>
      <c r="K793" s="1" t="str">
        <f>IFERROR(__xludf.DUMMYFUNCTION("""COMPUTED_VALUE"""),"แก่นรอด")</f>
        <v>แก่นรอด</v>
      </c>
      <c r="L793" s="1" t="str">
        <f>IFERROR(__xludf.DUMMYFUNCTION("""COMPUTED_VALUE"""),"ม.3")</f>
        <v>ม.3</v>
      </c>
      <c r="M793" s="1" t="str">
        <f>IFERROR(__xludf.DUMMYFUNCTION("""COMPUTED_VALUE"""),"ภาษาต่างประเทศ")</f>
        <v>ภาษาต่างประเทศ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>
        <f>IFERROR(__xludf.DUMMYFUNCTION("""COMPUTED_VALUE"""),1.0)</f>
        <v>1</v>
      </c>
      <c r="B794" s="1">
        <f>IFERROR(__xludf.DUMMYFUNCTION("""COMPUTED_VALUE"""),1.0)</f>
        <v>1</v>
      </c>
      <c r="C794" s="1" t="str">
        <f>IFERROR(__xludf.DUMMYFUNCTION("""COMPUTED_VALUE"""),"อ20220")</f>
        <v>อ20220</v>
      </c>
      <c r="D794" s="1" t="str">
        <f>IFERROR(__xludf.DUMMYFUNCTION("""COMPUTED_VALUE"""),"สนทนาภาษาอังกฤษ 1")</f>
        <v>สนทนาภาษาอังกฤษ 1</v>
      </c>
      <c r="E794" s="1">
        <f>IFERROR(__xludf.DUMMYFUNCTION("""COMPUTED_VALUE"""),0.5)</f>
        <v>0.5</v>
      </c>
      <c r="F794" s="1">
        <f>IFERROR(__xludf.DUMMYFUNCTION("""COMPUTED_VALUE"""),2569.0)</f>
        <v>2569</v>
      </c>
      <c r="G794" s="1">
        <f>IFERROR(__xludf.DUMMYFUNCTION("""COMPUTED_VALUE"""),1.0)</f>
        <v>1</v>
      </c>
      <c r="H794" s="1">
        <f>IFERROR(__xludf.DUMMYFUNCTION("""COMPUTED_VALUE"""),831.0)</f>
        <v>831</v>
      </c>
      <c r="I794" s="1" t="str">
        <f>IFERROR(__xludf.DUMMYFUNCTION("""COMPUTED_VALUE"""),"นางสาว")</f>
        <v>นางสาว</v>
      </c>
      <c r="J794" s="1" t="str">
        <f>IFERROR(__xludf.DUMMYFUNCTION("""COMPUTED_VALUE"""),"สุภาภรณ์")</f>
        <v>สุภาภรณ์</v>
      </c>
      <c r="K794" s="1" t="str">
        <f>IFERROR(__xludf.DUMMYFUNCTION("""COMPUTED_VALUE"""),"แก่นรอด")</f>
        <v>แก่นรอด</v>
      </c>
      <c r="L794" s="1" t="str">
        <f>IFERROR(__xludf.DUMMYFUNCTION("""COMPUTED_VALUE"""),"ม.1")</f>
        <v>ม.1</v>
      </c>
      <c r="M794" s="1" t="str">
        <f>IFERROR(__xludf.DUMMYFUNCTION("""COMPUTED_VALUE"""),"ภาษาต่างประเทศ")</f>
        <v>ภาษาต่างประเทศ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>
        <f>IFERROR(__xludf.DUMMYFUNCTION("""COMPUTED_VALUE"""),5.0)</f>
        <v>5</v>
      </c>
      <c r="B795" s="1">
        <f>IFERROR(__xludf.DUMMYFUNCTION("""COMPUTED_VALUE"""),1.0)</f>
        <v>1</v>
      </c>
      <c r="C795" s="1" t="str">
        <f>IFERROR(__xludf.DUMMYFUNCTION("""COMPUTED_VALUE"""),"อ30209")</f>
        <v>อ30209</v>
      </c>
      <c r="D795" s="1" t="str">
        <f>IFERROR(__xludf.DUMMYFUNCTION("""COMPUTED_VALUE"""),"ภาษาอังกฤษอ่าน-เขียน 3")</f>
        <v>ภาษาอังกฤษอ่าน-เขียน 3</v>
      </c>
      <c r="E795" s="1">
        <f>IFERROR(__xludf.DUMMYFUNCTION("""COMPUTED_VALUE"""),1.0)</f>
        <v>1</v>
      </c>
      <c r="F795" s="1">
        <f>IFERROR(__xludf.DUMMYFUNCTION("""COMPUTED_VALUE"""),2569.0)</f>
        <v>2569</v>
      </c>
      <c r="G795" s="1">
        <f>IFERROR(__xludf.DUMMYFUNCTION("""COMPUTED_VALUE"""),1.0)</f>
        <v>1</v>
      </c>
      <c r="H795" s="1">
        <f>IFERROR(__xludf.DUMMYFUNCTION("""COMPUTED_VALUE"""),831.0)</f>
        <v>831</v>
      </c>
      <c r="I795" s="1" t="str">
        <f>IFERROR(__xludf.DUMMYFUNCTION("""COMPUTED_VALUE"""),"นางสาว")</f>
        <v>นางสาว</v>
      </c>
      <c r="J795" s="1" t="str">
        <f>IFERROR(__xludf.DUMMYFUNCTION("""COMPUTED_VALUE"""),"สุภาภรณ์")</f>
        <v>สุภาภรณ์</v>
      </c>
      <c r="K795" s="1" t="str">
        <f>IFERROR(__xludf.DUMMYFUNCTION("""COMPUTED_VALUE"""),"แก่นรอด")</f>
        <v>แก่นรอด</v>
      </c>
      <c r="L795" s="1" t="str">
        <f>IFERROR(__xludf.DUMMYFUNCTION("""COMPUTED_VALUE"""),"ม.5")</f>
        <v>ม.5</v>
      </c>
      <c r="M795" s="1" t="str">
        <f>IFERROR(__xludf.DUMMYFUNCTION("""COMPUTED_VALUE"""),"ภาษาต่างประเทศ")</f>
        <v>ภาษาต่างประเทศ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>
        <f>IFERROR(__xludf.DUMMYFUNCTION("""COMPUTED_VALUE"""),6.0)</f>
        <v>6</v>
      </c>
      <c r="B796" s="1">
        <f>IFERROR(__xludf.DUMMYFUNCTION("""COMPUTED_VALUE"""),1.0)</f>
        <v>1</v>
      </c>
      <c r="C796" s="1" t="str">
        <f>IFERROR(__xludf.DUMMYFUNCTION("""COMPUTED_VALUE"""),"อ30209")</f>
        <v>อ30209</v>
      </c>
      <c r="D796" s="1" t="str">
        <f>IFERROR(__xludf.DUMMYFUNCTION("""COMPUTED_VALUE"""),"ภาษาอังกฤษอ่าน-เขียน 3")</f>
        <v>ภาษาอังกฤษอ่าน-เขียน 3</v>
      </c>
      <c r="E796" s="1">
        <f>IFERROR(__xludf.DUMMYFUNCTION("""COMPUTED_VALUE"""),1.0)</f>
        <v>1</v>
      </c>
      <c r="F796" s="1">
        <f>IFERROR(__xludf.DUMMYFUNCTION("""COMPUTED_VALUE"""),2569.0)</f>
        <v>2569</v>
      </c>
      <c r="G796" s="1">
        <f>IFERROR(__xludf.DUMMYFUNCTION("""COMPUTED_VALUE"""),1.0)</f>
        <v>1</v>
      </c>
      <c r="H796" s="1">
        <f>IFERROR(__xludf.DUMMYFUNCTION("""COMPUTED_VALUE"""),831.0)</f>
        <v>831</v>
      </c>
      <c r="I796" s="1" t="str">
        <f>IFERROR(__xludf.DUMMYFUNCTION("""COMPUTED_VALUE"""),"นางสาว")</f>
        <v>นางสาว</v>
      </c>
      <c r="J796" s="1" t="str">
        <f>IFERROR(__xludf.DUMMYFUNCTION("""COMPUTED_VALUE"""),"สุภาภรณ์")</f>
        <v>สุภาภรณ์</v>
      </c>
      <c r="K796" s="1" t="str">
        <f>IFERROR(__xludf.DUMMYFUNCTION("""COMPUTED_VALUE"""),"แก่นรอด")</f>
        <v>แก่นรอด</v>
      </c>
      <c r="L796" s="1" t="str">
        <f>IFERROR(__xludf.DUMMYFUNCTION("""COMPUTED_VALUE"""),"ม.5")</f>
        <v>ม.5</v>
      </c>
      <c r="M796" s="1" t="str">
        <f>IFERROR(__xludf.DUMMYFUNCTION("""COMPUTED_VALUE"""),"ภาษาต่างประเทศ")</f>
        <v>ภาษาต่างประเทศ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>
        <f>IFERROR(__xludf.DUMMYFUNCTION("""COMPUTED_VALUE"""),7.0)</f>
        <v>7</v>
      </c>
      <c r="B797" s="1">
        <f>IFERROR(__xludf.DUMMYFUNCTION("""COMPUTED_VALUE"""),1.0)</f>
        <v>1</v>
      </c>
      <c r="C797" s="1" t="str">
        <f>IFERROR(__xludf.DUMMYFUNCTION("""COMPUTED_VALUE"""),"อ30209")</f>
        <v>อ30209</v>
      </c>
      <c r="D797" s="1" t="str">
        <f>IFERROR(__xludf.DUMMYFUNCTION("""COMPUTED_VALUE"""),"ภาษาอังกฤษอ่าน-เขียน 3")</f>
        <v>ภาษาอังกฤษอ่าน-เขียน 3</v>
      </c>
      <c r="E797" s="1">
        <f>IFERROR(__xludf.DUMMYFUNCTION("""COMPUTED_VALUE"""),1.0)</f>
        <v>1</v>
      </c>
      <c r="F797" s="1">
        <f>IFERROR(__xludf.DUMMYFUNCTION("""COMPUTED_VALUE"""),2569.0)</f>
        <v>2569</v>
      </c>
      <c r="G797" s="1">
        <f>IFERROR(__xludf.DUMMYFUNCTION("""COMPUTED_VALUE"""),1.0)</f>
        <v>1</v>
      </c>
      <c r="H797" s="1">
        <f>IFERROR(__xludf.DUMMYFUNCTION("""COMPUTED_VALUE"""),831.0)</f>
        <v>831</v>
      </c>
      <c r="I797" s="1" t="str">
        <f>IFERROR(__xludf.DUMMYFUNCTION("""COMPUTED_VALUE"""),"นางสาว")</f>
        <v>นางสาว</v>
      </c>
      <c r="J797" s="1" t="str">
        <f>IFERROR(__xludf.DUMMYFUNCTION("""COMPUTED_VALUE"""),"สุภาภรณ์")</f>
        <v>สุภาภรณ์</v>
      </c>
      <c r="K797" s="1" t="str">
        <f>IFERROR(__xludf.DUMMYFUNCTION("""COMPUTED_VALUE"""),"แก่นรอด")</f>
        <v>แก่นรอด</v>
      </c>
      <c r="L797" s="1" t="str">
        <f>IFERROR(__xludf.DUMMYFUNCTION("""COMPUTED_VALUE"""),"ม.5")</f>
        <v>ม.5</v>
      </c>
      <c r="M797" s="1" t="str">
        <f>IFERROR(__xludf.DUMMYFUNCTION("""COMPUTED_VALUE"""),"ภาษาต่างประเทศ")</f>
        <v>ภาษาต่างประเทศ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>
        <f>IFERROR(__xludf.DUMMYFUNCTION("""COMPUTED_VALUE"""),1.0)</f>
        <v>1</v>
      </c>
      <c r="B798" s="1">
        <f>IFERROR(__xludf.DUMMYFUNCTION("""COMPUTED_VALUE"""),1.0)</f>
        <v>1</v>
      </c>
      <c r="C798" s="1" t="str">
        <f>IFERROR(__xludf.DUMMYFUNCTION("""COMPUTED_VALUE"""),"อ31101")</f>
        <v>อ31101</v>
      </c>
      <c r="D798" s="1" t="str">
        <f>IFERROR(__xludf.DUMMYFUNCTION("""COMPUTED_VALUE"""),"ภาษาอังกฤษ 1")</f>
        <v>ภาษาอังกฤษ 1</v>
      </c>
      <c r="E798" s="1">
        <f>IFERROR(__xludf.DUMMYFUNCTION("""COMPUTED_VALUE"""),1.0)</f>
        <v>1</v>
      </c>
      <c r="F798" s="1">
        <f>IFERROR(__xludf.DUMMYFUNCTION("""COMPUTED_VALUE"""),2569.0)</f>
        <v>2569</v>
      </c>
      <c r="G798" s="1">
        <f>IFERROR(__xludf.DUMMYFUNCTION("""COMPUTED_VALUE"""),1.0)</f>
        <v>1</v>
      </c>
      <c r="H798" s="1">
        <f>IFERROR(__xludf.DUMMYFUNCTION("""COMPUTED_VALUE"""),831.0)</f>
        <v>831</v>
      </c>
      <c r="I798" s="1" t="str">
        <f>IFERROR(__xludf.DUMMYFUNCTION("""COMPUTED_VALUE"""),"นางสาว")</f>
        <v>นางสาว</v>
      </c>
      <c r="J798" s="1" t="str">
        <f>IFERROR(__xludf.DUMMYFUNCTION("""COMPUTED_VALUE"""),"สุภาภรณ์")</f>
        <v>สุภาภรณ์</v>
      </c>
      <c r="K798" s="1" t="str">
        <f>IFERROR(__xludf.DUMMYFUNCTION("""COMPUTED_VALUE"""),"แก่นรอด")</f>
        <v>แก่นรอด</v>
      </c>
      <c r="L798" s="1" t="str">
        <f>IFERROR(__xludf.DUMMYFUNCTION("""COMPUTED_VALUE"""),"ม.4")</f>
        <v>ม.4</v>
      </c>
      <c r="M798" s="1" t="str">
        <f>IFERROR(__xludf.DUMMYFUNCTION("""COMPUTED_VALUE"""),"ภาษาต่างประเทศ")</f>
        <v>ภาษาต่างประเทศ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>
        <f>IFERROR(__xludf.DUMMYFUNCTION("""COMPUTED_VALUE"""),2.0)</f>
        <v>2</v>
      </c>
      <c r="B799" s="1">
        <f>IFERROR(__xludf.DUMMYFUNCTION("""COMPUTED_VALUE"""),1.0)</f>
        <v>1</v>
      </c>
      <c r="C799" s="1" t="str">
        <f>IFERROR(__xludf.DUMMYFUNCTION("""COMPUTED_VALUE"""),"อ31101")</f>
        <v>อ31101</v>
      </c>
      <c r="D799" s="1" t="str">
        <f>IFERROR(__xludf.DUMMYFUNCTION("""COMPUTED_VALUE"""),"ภาษาอังกฤษ 1")</f>
        <v>ภาษาอังกฤษ 1</v>
      </c>
      <c r="E799" s="1">
        <f>IFERROR(__xludf.DUMMYFUNCTION("""COMPUTED_VALUE"""),1.0)</f>
        <v>1</v>
      </c>
      <c r="F799" s="1">
        <f>IFERROR(__xludf.DUMMYFUNCTION("""COMPUTED_VALUE"""),2569.0)</f>
        <v>2569</v>
      </c>
      <c r="G799" s="1">
        <f>IFERROR(__xludf.DUMMYFUNCTION("""COMPUTED_VALUE"""),1.0)</f>
        <v>1</v>
      </c>
      <c r="H799" s="1">
        <f>IFERROR(__xludf.DUMMYFUNCTION("""COMPUTED_VALUE"""),831.0)</f>
        <v>831</v>
      </c>
      <c r="I799" s="1" t="str">
        <f>IFERROR(__xludf.DUMMYFUNCTION("""COMPUTED_VALUE"""),"นางสาว")</f>
        <v>นางสาว</v>
      </c>
      <c r="J799" s="1" t="str">
        <f>IFERROR(__xludf.DUMMYFUNCTION("""COMPUTED_VALUE"""),"สุภาภรณ์")</f>
        <v>สุภาภรณ์</v>
      </c>
      <c r="K799" s="1" t="str">
        <f>IFERROR(__xludf.DUMMYFUNCTION("""COMPUTED_VALUE"""),"แก่นรอด")</f>
        <v>แก่นรอด</v>
      </c>
      <c r="L799" s="1" t="str">
        <f>IFERROR(__xludf.DUMMYFUNCTION("""COMPUTED_VALUE"""),"ม.4")</f>
        <v>ม.4</v>
      </c>
      <c r="M799" s="1" t="str">
        <f>IFERROR(__xludf.DUMMYFUNCTION("""COMPUTED_VALUE"""),"ภาษาต่างประเทศ")</f>
        <v>ภาษาต่างประเทศ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>
        <f>IFERROR(__xludf.DUMMYFUNCTION("""COMPUTED_VALUE"""),3.0)</f>
        <v>3</v>
      </c>
      <c r="B800" s="1">
        <f>IFERROR(__xludf.DUMMYFUNCTION("""COMPUTED_VALUE"""),1.0)</f>
        <v>1</v>
      </c>
      <c r="C800" s="1" t="str">
        <f>IFERROR(__xludf.DUMMYFUNCTION("""COMPUTED_VALUE"""),"อ31101")</f>
        <v>อ31101</v>
      </c>
      <c r="D800" s="1" t="str">
        <f>IFERROR(__xludf.DUMMYFUNCTION("""COMPUTED_VALUE"""),"ภาษาอังกฤษ 1")</f>
        <v>ภาษาอังกฤษ 1</v>
      </c>
      <c r="E800" s="1">
        <f>IFERROR(__xludf.DUMMYFUNCTION("""COMPUTED_VALUE"""),1.0)</f>
        <v>1</v>
      </c>
      <c r="F800" s="1">
        <f>IFERROR(__xludf.DUMMYFUNCTION("""COMPUTED_VALUE"""),2569.0)</f>
        <v>2569</v>
      </c>
      <c r="G800" s="1">
        <f>IFERROR(__xludf.DUMMYFUNCTION("""COMPUTED_VALUE"""),1.0)</f>
        <v>1</v>
      </c>
      <c r="H800" s="1">
        <f>IFERROR(__xludf.DUMMYFUNCTION("""COMPUTED_VALUE"""),831.0)</f>
        <v>831</v>
      </c>
      <c r="I800" s="1" t="str">
        <f>IFERROR(__xludf.DUMMYFUNCTION("""COMPUTED_VALUE"""),"นางสาว")</f>
        <v>นางสาว</v>
      </c>
      <c r="J800" s="1" t="str">
        <f>IFERROR(__xludf.DUMMYFUNCTION("""COMPUTED_VALUE"""),"สุภาภรณ์")</f>
        <v>สุภาภรณ์</v>
      </c>
      <c r="K800" s="1" t="str">
        <f>IFERROR(__xludf.DUMMYFUNCTION("""COMPUTED_VALUE"""),"แก่นรอด")</f>
        <v>แก่นรอด</v>
      </c>
      <c r="L800" s="1" t="str">
        <f>IFERROR(__xludf.DUMMYFUNCTION("""COMPUTED_VALUE"""),"ม.4")</f>
        <v>ม.4</v>
      </c>
      <c r="M800" s="1" t="str">
        <f>IFERROR(__xludf.DUMMYFUNCTION("""COMPUTED_VALUE"""),"ภาษาต่างประเทศ")</f>
        <v>ภาษาต่างประเทศ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>
        <f>IFERROR(__xludf.DUMMYFUNCTION("""COMPUTED_VALUE"""),7.0)</f>
        <v>7</v>
      </c>
      <c r="B801" s="1">
        <f>IFERROR(__xludf.DUMMYFUNCTION("""COMPUTED_VALUE"""),1.0)</f>
        <v>1</v>
      </c>
      <c r="C801" s="1" t="str">
        <f>IFERROR(__xludf.DUMMYFUNCTION("""COMPUTED_VALUE"""),"อ31101")</f>
        <v>อ31101</v>
      </c>
      <c r="D801" s="1" t="str">
        <f>IFERROR(__xludf.DUMMYFUNCTION("""COMPUTED_VALUE"""),"ภาษาอังกฤษ 1")</f>
        <v>ภาษาอังกฤษ 1</v>
      </c>
      <c r="E801" s="1">
        <f>IFERROR(__xludf.DUMMYFUNCTION("""COMPUTED_VALUE"""),1.0)</f>
        <v>1</v>
      </c>
      <c r="F801" s="1">
        <f>IFERROR(__xludf.DUMMYFUNCTION("""COMPUTED_VALUE"""),2569.0)</f>
        <v>2569</v>
      </c>
      <c r="G801" s="1">
        <f>IFERROR(__xludf.DUMMYFUNCTION("""COMPUTED_VALUE"""),1.0)</f>
        <v>1</v>
      </c>
      <c r="H801" s="1">
        <f>IFERROR(__xludf.DUMMYFUNCTION("""COMPUTED_VALUE"""),831.0)</f>
        <v>831</v>
      </c>
      <c r="I801" s="1" t="str">
        <f>IFERROR(__xludf.DUMMYFUNCTION("""COMPUTED_VALUE"""),"นางสาว")</f>
        <v>นางสาว</v>
      </c>
      <c r="J801" s="1" t="str">
        <f>IFERROR(__xludf.DUMMYFUNCTION("""COMPUTED_VALUE"""),"สุภาภรณ์")</f>
        <v>สุภาภรณ์</v>
      </c>
      <c r="K801" s="1" t="str">
        <f>IFERROR(__xludf.DUMMYFUNCTION("""COMPUTED_VALUE"""),"แก่นรอด")</f>
        <v>แก่นรอด</v>
      </c>
      <c r="L801" s="1" t="str">
        <f>IFERROR(__xludf.DUMMYFUNCTION("""COMPUTED_VALUE"""),"ม.4")</f>
        <v>ม.4</v>
      </c>
      <c r="M801" s="1" t="str">
        <f>IFERROR(__xludf.DUMMYFUNCTION("""COMPUTED_VALUE"""),"ภาษาต่างประเทศ")</f>
        <v>ภาษาต่างประเทศ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>
        <f>IFERROR(__xludf.DUMMYFUNCTION("""COMPUTED_VALUE"""),9.0)</f>
        <v>9</v>
      </c>
      <c r="B802" s="1">
        <f>IFERROR(__xludf.DUMMYFUNCTION("""COMPUTED_VALUE"""),1.0)</f>
        <v>1</v>
      </c>
      <c r="C802" s="1" t="str">
        <f>IFERROR(__xludf.DUMMYFUNCTION("""COMPUTED_VALUE"""),"อ31101")</f>
        <v>อ31101</v>
      </c>
      <c r="D802" s="1" t="str">
        <f>IFERROR(__xludf.DUMMYFUNCTION("""COMPUTED_VALUE"""),"ภาษาอังกฤษ 1")</f>
        <v>ภาษาอังกฤษ 1</v>
      </c>
      <c r="E802" s="1">
        <f>IFERROR(__xludf.DUMMYFUNCTION("""COMPUTED_VALUE"""),1.0)</f>
        <v>1</v>
      </c>
      <c r="F802" s="1">
        <f>IFERROR(__xludf.DUMMYFUNCTION("""COMPUTED_VALUE"""),2569.0)</f>
        <v>2569</v>
      </c>
      <c r="G802" s="1">
        <f>IFERROR(__xludf.DUMMYFUNCTION("""COMPUTED_VALUE"""),1.0)</f>
        <v>1</v>
      </c>
      <c r="H802" s="1">
        <f>IFERROR(__xludf.DUMMYFUNCTION("""COMPUTED_VALUE"""),831.0)</f>
        <v>831</v>
      </c>
      <c r="I802" s="1" t="str">
        <f>IFERROR(__xludf.DUMMYFUNCTION("""COMPUTED_VALUE"""),"นางสาว")</f>
        <v>นางสาว</v>
      </c>
      <c r="J802" s="1" t="str">
        <f>IFERROR(__xludf.DUMMYFUNCTION("""COMPUTED_VALUE"""),"สุภาภรณ์")</f>
        <v>สุภาภรณ์</v>
      </c>
      <c r="K802" s="1" t="str">
        <f>IFERROR(__xludf.DUMMYFUNCTION("""COMPUTED_VALUE"""),"แก่นรอด")</f>
        <v>แก่นรอด</v>
      </c>
      <c r="L802" s="1" t="str">
        <f>IFERROR(__xludf.DUMMYFUNCTION("""COMPUTED_VALUE"""),"ม.4")</f>
        <v>ม.4</v>
      </c>
      <c r="M802" s="1" t="str">
        <f>IFERROR(__xludf.DUMMYFUNCTION("""COMPUTED_VALUE"""),"ภาษาต่างประเทศ")</f>
        <v>ภาษาต่างประเทศ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>
        <f>IFERROR(__xludf.DUMMYFUNCTION("""COMPUTED_VALUE"""),11.0)</f>
        <v>11</v>
      </c>
      <c r="B803" s="1">
        <f>IFERROR(__xludf.DUMMYFUNCTION("""COMPUTED_VALUE"""),1.0)</f>
        <v>1</v>
      </c>
      <c r="C803" s="1" t="str">
        <f>IFERROR(__xludf.DUMMYFUNCTION("""COMPUTED_VALUE"""),"อ31101")</f>
        <v>อ31101</v>
      </c>
      <c r="D803" s="1" t="str">
        <f>IFERROR(__xludf.DUMMYFUNCTION("""COMPUTED_VALUE"""),"ภาษาอังกฤษ 1")</f>
        <v>ภาษาอังกฤษ 1</v>
      </c>
      <c r="E803" s="1">
        <f>IFERROR(__xludf.DUMMYFUNCTION("""COMPUTED_VALUE"""),1.0)</f>
        <v>1</v>
      </c>
      <c r="F803" s="1">
        <f>IFERROR(__xludf.DUMMYFUNCTION("""COMPUTED_VALUE"""),2569.0)</f>
        <v>2569</v>
      </c>
      <c r="G803" s="1">
        <f>IFERROR(__xludf.DUMMYFUNCTION("""COMPUTED_VALUE"""),1.0)</f>
        <v>1</v>
      </c>
      <c r="H803" s="1">
        <f>IFERROR(__xludf.DUMMYFUNCTION("""COMPUTED_VALUE"""),831.0)</f>
        <v>831</v>
      </c>
      <c r="I803" s="1" t="str">
        <f>IFERROR(__xludf.DUMMYFUNCTION("""COMPUTED_VALUE"""),"นางสาว")</f>
        <v>นางสาว</v>
      </c>
      <c r="J803" s="1" t="str">
        <f>IFERROR(__xludf.DUMMYFUNCTION("""COMPUTED_VALUE"""),"สุภาภรณ์")</f>
        <v>สุภาภรณ์</v>
      </c>
      <c r="K803" s="1" t="str">
        <f>IFERROR(__xludf.DUMMYFUNCTION("""COMPUTED_VALUE"""),"แก่นรอด")</f>
        <v>แก่นรอด</v>
      </c>
      <c r="L803" s="1" t="str">
        <f>IFERROR(__xludf.DUMMYFUNCTION("""COMPUTED_VALUE"""),"ม.4")</f>
        <v>ม.4</v>
      </c>
      <c r="M803" s="1" t="str">
        <f>IFERROR(__xludf.DUMMYFUNCTION("""COMPUTED_VALUE"""),"ภาษาต่างประเทศ")</f>
        <v>ภาษาต่างประเทศ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>
        <f>IFERROR(__xludf.DUMMYFUNCTION("""COMPUTED_VALUE"""),5.0)</f>
        <v>5</v>
      </c>
      <c r="B804" s="1">
        <f>IFERROR(__xludf.DUMMYFUNCTION("""COMPUTED_VALUE"""),1.0)</f>
        <v>1</v>
      </c>
      <c r="C804" s="1" t="str">
        <f>IFERROR(__xludf.DUMMYFUNCTION("""COMPUTED_VALUE"""),"ส30251")</f>
        <v>ส30251</v>
      </c>
      <c r="D804" s="1" t="str">
        <f>IFERROR(__xludf.DUMMYFUNCTION("""COMPUTED_VALUE"""),"การป้องกันการทุจริต 5")</f>
        <v>การป้องกันการทุจริต 5</v>
      </c>
      <c r="E804" s="1">
        <f>IFERROR(__xludf.DUMMYFUNCTION("""COMPUTED_VALUE"""),0.5)</f>
        <v>0.5</v>
      </c>
      <c r="F804" s="1">
        <f>IFERROR(__xludf.DUMMYFUNCTION("""COMPUTED_VALUE"""),2569.0)</f>
        <v>2569</v>
      </c>
      <c r="G804" s="1">
        <f>IFERROR(__xludf.DUMMYFUNCTION("""COMPUTED_VALUE"""),1.0)</f>
        <v>1</v>
      </c>
      <c r="H804" s="1">
        <f>IFERROR(__xludf.DUMMYFUNCTION("""COMPUTED_VALUE"""),832.0)</f>
        <v>832</v>
      </c>
      <c r="I804" s="1" t="str">
        <f>IFERROR(__xludf.DUMMYFUNCTION("""COMPUTED_VALUE"""),"นางสาว")</f>
        <v>นางสาว</v>
      </c>
      <c r="J804" s="1" t="str">
        <f>IFERROR(__xludf.DUMMYFUNCTION("""COMPUTED_VALUE"""),"ณัฐนรี")</f>
        <v>ณัฐนรี</v>
      </c>
      <c r="K804" s="1" t="str">
        <f>IFERROR(__xludf.DUMMYFUNCTION("""COMPUTED_VALUE"""),"เคียงกลาง")</f>
        <v>เคียงกลาง</v>
      </c>
      <c r="L804" s="1" t="str">
        <f>IFERROR(__xludf.DUMMYFUNCTION("""COMPUTED_VALUE"""),"ม.6")</f>
        <v>ม.6</v>
      </c>
      <c r="M804" s="1" t="str">
        <f>IFERROR(__xludf.DUMMYFUNCTION("""COMPUTED_VALUE"""),"ภาษาต่างประเทศ")</f>
        <v>ภาษาต่างประเทศ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>
        <f>IFERROR(__xludf.DUMMYFUNCTION("""COMPUTED_VALUE"""),4.0)</f>
        <v>4</v>
      </c>
      <c r="B805" s="1">
        <f>IFERROR(__xludf.DUMMYFUNCTION("""COMPUTED_VALUE"""),1.0)</f>
        <v>1</v>
      </c>
      <c r="C805" s="1" t="str">
        <f>IFERROR(__xludf.DUMMYFUNCTION("""COMPUTED_VALUE"""),"อ20238")</f>
        <v>อ20238</v>
      </c>
      <c r="D805" s="1" t="str">
        <f>IFERROR(__xludf.DUMMYFUNCTION("""COMPUTED_VALUE"""),"การอ่านออกเสียงภาษาอังกฤษ (Phonics)")</f>
        <v>การอ่านออกเสียงภาษาอังกฤษ (Phonics)</v>
      </c>
      <c r="E805" s="1">
        <f>IFERROR(__xludf.DUMMYFUNCTION("""COMPUTED_VALUE"""),1.0)</f>
        <v>1</v>
      </c>
      <c r="F805" s="1">
        <f>IFERROR(__xludf.DUMMYFUNCTION("""COMPUTED_VALUE"""),2569.0)</f>
        <v>2569</v>
      </c>
      <c r="G805" s="1">
        <f>IFERROR(__xludf.DUMMYFUNCTION("""COMPUTED_VALUE"""),1.0)</f>
        <v>1</v>
      </c>
      <c r="H805" s="1">
        <f>IFERROR(__xludf.DUMMYFUNCTION("""COMPUTED_VALUE"""),832.0)</f>
        <v>832</v>
      </c>
      <c r="I805" s="1" t="str">
        <f>IFERROR(__xludf.DUMMYFUNCTION("""COMPUTED_VALUE"""),"นางสาว")</f>
        <v>นางสาว</v>
      </c>
      <c r="J805" s="1" t="str">
        <f>IFERROR(__xludf.DUMMYFUNCTION("""COMPUTED_VALUE"""),"ณัฐนรี")</f>
        <v>ณัฐนรี</v>
      </c>
      <c r="K805" s="1" t="str">
        <f>IFERROR(__xludf.DUMMYFUNCTION("""COMPUTED_VALUE"""),"เคียงกลาง")</f>
        <v>เคียงกลาง</v>
      </c>
      <c r="L805" s="1" t="str">
        <f>IFERROR(__xludf.DUMMYFUNCTION("""COMPUTED_VALUE"""),"ม.1")</f>
        <v>ม.1</v>
      </c>
      <c r="M805" s="1" t="str">
        <f>IFERROR(__xludf.DUMMYFUNCTION("""COMPUTED_VALUE"""),"ภาษาต่างประเทศ")</f>
        <v>ภาษาต่างประเทศ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>
        <f>IFERROR(__xludf.DUMMYFUNCTION("""COMPUTED_VALUE"""),10.0)</f>
        <v>10</v>
      </c>
      <c r="B806" s="1">
        <f>IFERROR(__xludf.DUMMYFUNCTION("""COMPUTED_VALUE"""),1.0)</f>
        <v>1</v>
      </c>
      <c r="C806" s="1" t="str">
        <f>IFERROR(__xludf.DUMMYFUNCTION("""COMPUTED_VALUE"""),"อ30225")</f>
        <v>อ30225</v>
      </c>
      <c r="D806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806" s="1">
        <f>IFERROR(__xludf.DUMMYFUNCTION("""COMPUTED_VALUE"""),1.0)</f>
        <v>1</v>
      </c>
      <c r="F806" s="1">
        <f>IFERROR(__xludf.DUMMYFUNCTION("""COMPUTED_VALUE"""),2569.0)</f>
        <v>2569</v>
      </c>
      <c r="G806" s="1">
        <f>IFERROR(__xludf.DUMMYFUNCTION("""COMPUTED_VALUE"""),1.0)</f>
        <v>1</v>
      </c>
      <c r="H806" s="1">
        <f>IFERROR(__xludf.DUMMYFUNCTION("""COMPUTED_VALUE"""),832.0)</f>
        <v>832</v>
      </c>
      <c r="I806" s="1" t="str">
        <f>IFERROR(__xludf.DUMMYFUNCTION("""COMPUTED_VALUE"""),"นางสาว")</f>
        <v>นางสาว</v>
      </c>
      <c r="J806" s="1" t="str">
        <f>IFERROR(__xludf.DUMMYFUNCTION("""COMPUTED_VALUE"""),"ณัฐนรี")</f>
        <v>ณัฐนรี</v>
      </c>
      <c r="K806" s="1" t="str">
        <f>IFERROR(__xludf.DUMMYFUNCTION("""COMPUTED_VALUE"""),"เคียงกลาง")</f>
        <v>เคียงกลาง</v>
      </c>
      <c r="L806" s="1" t="str">
        <f>IFERROR(__xludf.DUMMYFUNCTION("""COMPUTED_VALUE"""),"ม.5")</f>
        <v>ม.5</v>
      </c>
      <c r="M806" s="1" t="str">
        <f>IFERROR(__xludf.DUMMYFUNCTION("""COMPUTED_VALUE"""),"ภาษาต่างประเทศ")</f>
        <v>ภาษาต่างประเทศ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>
        <f>IFERROR(__xludf.DUMMYFUNCTION("""COMPUTED_VALUE"""),1.0)</f>
        <v>1</v>
      </c>
      <c r="B807" s="1">
        <f>IFERROR(__xludf.DUMMYFUNCTION("""COMPUTED_VALUE"""),1.0)</f>
        <v>1</v>
      </c>
      <c r="C807" s="1" t="str">
        <f>IFERROR(__xludf.DUMMYFUNCTION("""COMPUTED_VALUE"""),"อ33101")</f>
        <v>อ33101</v>
      </c>
      <c r="D807" s="1" t="str">
        <f>IFERROR(__xludf.DUMMYFUNCTION("""COMPUTED_VALUE"""),"ภาษาอังกฤษ 5")</f>
        <v>ภาษาอังกฤษ 5</v>
      </c>
      <c r="E807" s="1">
        <f>IFERROR(__xludf.DUMMYFUNCTION("""COMPUTED_VALUE"""),1.0)</f>
        <v>1</v>
      </c>
      <c r="F807" s="1">
        <f>IFERROR(__xludf.DUMMYFUNCTION("""COMPUTED_VALUE"""),2569.0)</f>
        <v>2569</v>
      </c>
      <c r="G807" s="1">
        <f>IFERROR(__xludf.DUMMYFUNCTION("""COMPUTED_VALUE"""),1.0)</f>
        <v>1</v>
      </c>
      <c r="H807" s="1">
        <f>IFERROR(__xludf.DUMMYFUNCTION("""COMPUTED_VALUE"""),832.0)</f>
        <v>832</v>
      </c>
      <c r="I807" s="1" t="str">
        <f>IFERROR(__xludf.DUMMYFUNCTION("""COMPUTED_VALUE"""),"นางสาว")</f>
        <v>นางสาว</v>
      </c>
      <c r="J807" s="1" t="str">
        <f>IFERROR(__xludf.DUMMYFUNCTION("""COMPUTED_VALUE"""),"ณัฐนรี")</f>
        <v>ณัฐนรี</v>
      </c>
      <c r="K807" s="1" t="str">
        <f>IFERROR(__xludf.DUMMYFUNCTION("""COMPUTED_VALUE"""),"เคียงกลาง")</f>
        <v>เคียงกลาง</v>
      </c>
      <c r="L807" s="1" t="str">
        <f>IFERROR(__xludf.DUMMYFUNCTION("""COMPUTED_VALUE"""),"ม.6")</f>
        <v>ม.6</v>
      </c>
      <c r="M807" s="1" t="str">
        <f>IFERROR(__xludf.DUMMYFUNCTION("""COMPUTED_VALUE"""),"ภาษาต่างประเทศ")</f>
        <v>ภาษาต่างประเทศ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>
        <f>IFERROR(__xludf.DUMMYFUNCTION("""COMPUTED_VALUE"""),3.0)</f>
        <v>3</v>
      </c>
      <c r="B808" s="1">
        <f>IFERROR(__xludf.DUMMYFUNCTION("""COMPUTED_VALUE"""),1.0)</f>
        <v>1</v>
      </c>
      <c r="C808" s="1" t="str">
        <f>IFERROR(__xludf.DUMMYFUNCTION("""COMPUTED_VALUE"""),"อ33101")</f>
        <v>อ33101</v>
      </c>
      <c r="D808" s="1" t="str">
        <f>IFERROR(__xludf.DUMMYFUNCTION("""COMPUTED_VALUE"""),"ภาษาอังกฤษ 5")</f>
        <v>ภาษาอังกฤษ 5</v>
      </c>
      <c r="E808" s="1">
        <f>IFERROR(__xludf.DUMMYFUNCTION("""COMPUTED_VALUE"""),1.0)</f>
        <v>1</v>
      </c>
      <c r="F808" s="1">
        <f>IFERROR(__xludf.DUMMYFUNCTION("""COMPUTED_VALUE"""),2569.0)</f>
        <v>2569</v>
      </c>
      <c r="G808" s="1">
        <f>IFERROR(__xludf.DUMMYFUNCTION("""COMPUTED_VALUE"""),1.0)</f>
        <v>1</v>
      </c>
      <c r="H808" s="1">
        <f>IFERROR(__xludf.DUMMYFUNCTION("""COMPUTED_VALUE"""),832.0)</f>
        <v>832</v>
      </c>
      <c r="I808" s="1" t="str">
        <f>IFERROR(__xludf.DUMMYFUNCTION("""COMPUTED_VALUE"""),"นางสาว")</f>
        <v>นางสาว</v>
      </c>
      <c r="J808" s="1" t="str">
        <f>IFERROR(__xludf.DUMMYFUNCTION("""COMPUTED_VALUE"""),"ณัฐนรี")</f>
        <v>ณัฐนรี</v>
      </c>
      <c r="K808" s="1" t="str">
        <f>IFERROR(__xludf.DUMMYFUNCTION("""COMPUTED_VALUE"""),"เคียงกลาง")</f>
        <v>เคียงกลาง</v>
      </c>
      <c r="L808" s="1" t="str">
        <f>IFERROR(__xludf.DUMMYFUNCTION("""COMPUTED_VALUE"""),"ม.6")</f>
        <v>ม.6</v>
      </c>
      <c r="M808" s="1" t="str">
        <f>IFERROR(__xludf.DUMMYFUNCTION("""COMPUTED_VALUE"""),"ภาษาต่างประเทศ")</f>
        <v>ภาษาต่างประเทศ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>
        <f>IFERROR(__xludf.DUMMYFUNCTION("""COMPUTED_VALUE"""),5.0)</f>
        <v>5</v>
      </c>
      <c r="B809" s="1">
        <f>IFERROR(__xludf.DUMMYFUNCTION("""COMPUTED_VALUE"""),1.0)</f>
        <v>1</v>
      </c>
      <c r="C809" s="1" t="str">
        <f>IFERROR(__xludf.DUMMYFUNCTION("""COMPUTED_VALUE"""),"อ33101")</f>
        <v>อ33101</v>
      </c>
      <c r="D809" s="1" t="str">
        <f>IFERROR(__xludf.DUMMYFUNCTION("""COMPUTED_VALUE"""),"ภาษาอังกฤษ 5")</f>
        <v>ภาษาอังกฤษ 5</v>
      </c>
      <c r="E809" s="1">
        <f>IFERROR(__xludf.DUMMYFUNCTION("""COMPUTED_VALUE"""),1.0)</f>
        <v>1</v>
      </c>
      <c r="F809" s="1">
        <f>IFERROR(__xludf.DUMMYFUNCTION("""COMPUTED_VALUE"""),2569.0)</f>
        <v>2569</v>
      </c>
      <c r="G809" s="1">
        <f>IFERROR(__xludf.DUMMYFUNCTION("""COMPUTED_VALUE"""),1.0)</f>
        <v>1</v>
      </c>
      <c r="H809" s="1">
        <f>IFERROR(__xludf.DUMMYFUNCTION("""COMPUTED_VALUE"""),832.0)</f>
        <v>832</v>
      </c>
      <c r="I809" s="1" t="str">
        <f>IFERROR(__xludf.DUMMYFUNCTION("""COMPUTED_VALUE"""),"นางสาว")</f>
        <v>นางสาว</v>
      </c>
      <c r="J809" s="1" t="str">
        <f>IFERROR(__xludf.DUMMYFUNCTION("""COMPUTED_VALUE"""),"ณัฐนรี")</f>
        <v>ณัฐนรี</v>
      </c>
      <c r="K809" s="1" t="str">
        <f>IFERROR(__xludf.DUMMYFUNCTION("""COMPUTED_VALUE"""),"เคียงกลาง")</f>
        <v>เคียงกลาง</v>
      </c>
      <c r="L809" s="1" t="str">
        <f>IFERROR(__xludf.DUMMYFUNCTION("""COMPUTED_VALUE"""),"ม.6")</f>
        <v>ม.6</v>
      </c>
      <c r="M809" s="1" t="str">
        <f>IFERROR(__xludf.DUMMYFUNCTION("""COMPUTED_VALUE"""),"ภาษาต่างประเทศ")</f>
        <v>ภาษาต่างประเทศ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>
        <f>IFERROR(__xludf.DUMMYFUNCTION("""COMPUTED_VALUE"""),8.0)</f>
        <v>8</v>
      </c>
      <c r="B810" s="1">
        <f>IFERROR(__xludf.DUMMYFUNCTION("""COMPUTED_VALUE"""),1.0)</f>
        <v>1</v>
      </c>
      <c r="C810" s="1" t="str">
        <f>IFERROR(__xludf.DUMMYFUNCTION("""COMPUTED_VALUE"""),"อ33101")</f>
        <v>อ33101</v>
      </c>
      <c r="D810" s="1" t="str">
        <f>IFERROR(__xludf.DUMMYFUNCTION("""COMPUTED_VALUE"""),"ภาษาอังกฤษ 5")</f>
        <v>ภาษาอังกฤษ 5</v>
      </c>
      <c r="E810" s="1">
        <f>IFERROR(__xludf.DUMMYFUNCTION("""COMPUTED_VALUE"""),1.0)</f>
        <v>1</v>
      </c>
      <c r="F810" s="1">
        <f>IFERROR(__xludf.DUMMYFUNCTION("""COMPUTED_VALUE"""),2569.0)</f>
        <v>2569</v>
      </c>
      <c r="G810" s="1">
        <f>IFERROR(__xludf.DUMMYFUNCTION("""COMPUTED_VALUE"""),1.0)</f>
        <v>1</v>
      </c>
      <c r="H810" s="1">
        <f>IFERROR(__xludf.DUMMYFUNCTION("""COMPUTED_VALUE"""),832.0)</f>
        <v>832</v>
      </c>
      <c r="I810" s="1" t="str">
        <f>IFERROR(__xludf.DUMMYFUNCTION("""COMPUTED_VALUE"""),"นางสาว")</f>
        <v>นางสาว</v>
      </c>
      <c r="J810" s="1" t="str">
        <f>IFERROR(__xludf.DUMMYFUNCTION("""COMPUTED_VALUE"""),"ณัฐนรี")</f>
        <v>ณัฐนรี</v>
      </c>
      <c r="K810" s="1" t="str">
        <f>IFERROR(__xludf.DUMMYFUNCTION("""COMPUTED_VALUE"""),"เคียงกลาง")</f>
        <v>เคียงกลาง</v>
      </c>
      <c r="L810" s="1" t="str">
        <f>IFERROR(__xludf.DUMMYFUNCTION("""COMPUTED_VALUE"""),"ม.6")</f>
        <v>ม.6</v>
      </c>
      <c r="M810" s="1" t="str">
        <f>IFERROR(__xludf.DUMMYFUNCTION("""COMPUTED_VALUE"""),"ภาษาต่างประเทศ")</f>
        <v>ภาษาต่างประเทศ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>
        <f>IFERROR(__xludf.DUMMYFUNCTION("""COMPUTED_VALUE"""),10.0)</f>
        <v>10</v>
      </c>
      <c r="B811" s="1">
        <f>IFERROR(__xludf.DUMMYFUNCTION("""COMPUTED_VALUE"""),1.0)</f>
        <v>1</v>
      </c>
      <c r="C811" s="1" t="str">
        <f>IFERROR(__xludf.DUMMYFUNCTION("""COMPUTED_VALUE"""),"อ33101")</f>
        <v>อ33101</v>
      </c>
      <c r="D811" s="1" t="str">
        <f>IFERROR(__xludf.DUMMYFUNCTION("""COMPUTED_VALUE"""),"ภาษาอังกฤษ 5")</f>
        <v>ภาษาอังกฤษ 5</v>
      </c>
      <c r="E811" s="1">
        <f>IFERROR(__xludf.DUMMYFUNCTION("""COMPUTED_VALUE"""),1.0)</f>
        <v>1</v>
      </c>
      <c r="F811" s="1">
        <f>IFERROR(__xludf.DUMMYFUNCTION("""COMPUTED_VALUE"""),2569.0)</f>
        <v>2569</v>
      </c>
      <c r="G811" s="1">
        <f>IFERROR(__xludf.DUMMYFUNCTION("""COMPUTED_VALUE"""),1.0)</f>
        <v>1</v>
      </c>
      <c r="H811" s="1">
        <f>IFERROR(__xludf.DUMMYFUNCTION("""COMPUTED_VALUE"""),832.0)</f>
        <v>832</v>
      </c>
      <c r="I811" s="1" t="str">
        <f>IFERROR(__xludf.DUMMYFUNCTION("""COMPUTED_VALUE"""),"นางสาว")</f>
        <v>นางสาว</v>
      </c>
      <c r="J811" s="1" t="str">
        <f>IFERROR(__xludf.DUMMYFUNCTION("""COMPUTED_VALUE"""),"ณัฐนรี")</f>
        <v>ณัฐนรี</v>
      </c>
      <c r="K811" s="1" t="str">
        <f>IFERROR(__xludf.DUMMYFUNCTION("""COMPUTED_VALUE"""),"เคียงกลาง")</f>
        <v>เคียงกลาง</v>
      </c>
      <c r="L811" s="1" t="str">
        <f>IFERROR(__xludf.DUMMYFUNCTION("""COMPUTED_VALUE"""),"ม.6")</f>
        <v>ม.6</v>
      </c>
      <c r="M811" s="1" t="str">
        <f>IFERROR(__xludf.DUMMYFUNCTION("""COMPUTED_VALUE"""),"ภาษาต่างประเทศ")</f>
        <v>ภาษาต่างประเทศ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>
        <f>IFERROR(__xludf.DUMMYFUNCTION("""COMPUTED_VALUE"""),11.0)</f>
        <v>11</v>
      </c>
      <c r="B812" s="1">
        <f>IFERROR(__xludf.DUMMYFUNCTION("""COMPUTED_VALUE"""),1.0)</f>
        <v>1</v>
      </c>
      <c r="C812" s="1" t="str">
        <f>IFERROR(__xludf.DUMMYFUNCTION("""COMPUTED_VALUE"""),"อ33101")</f>
        <v>อ33101</v>
      </c>
      <c r="D812" s="1" t="str">
        <f>IFERROR(__xludf.DUMMYFUNCTION("""COMPUTED_VALUE"""),"ภาษาอังกฤษ 5")</f>
        <v>ภาษาอังกฤษ 5</v>
      </c>
      <c r="E812" s="1">
        <f>IFERROR(__xludf.DUMMYFUNCTION("""COMPUTED_VALUE"""),1.0)</f>
        <v>1</v>
      </c>
      <c r="F812" s="1">
        <f>IFERROR(__xludf.DUMMYFUNCTION("""COMPUTED_VALUE"""),2569.0)</f>
        <v>2569</v>
      </c>
      <c r="G812" s="1">
        <f>IFERROR(__xludf.DUMMYFUNCTION("""COMPUTED_VALUE"""),1.0)</f>
        <v>1</v>
      </c>
      <c r="H812" s="1">
        <f>IFERROR(__xludf.DUMMYFUNCTION("""COMPUTED_VALUE"""),832.0)</f>
        <v>832</v>
      </c>
      <c r="I812" s="1" t="str">
        <f>IFERROR(__xludf.DUMMYFUNCTION("""COMPUTED_VALUE"""),"นางสาว")</f>
        <v>นางสาว</v>
      </c>
      <c r="J812" s="1" t="str">
        <f>IFERROR(__xludf.DUMMYFUNCTION("""COMPUTED_VALUE"""),"ณัฐนรี")</f>
        <v>ณัฐนรี</v>
      </c>
      <c r="K812" s="1" t="str">
        <f>IFERROR(__xludf.DUMMYFUNCTION("""COMPUTED_VALUE"""),"เคียงกลาง")</f>
        <v>เคียงกลาง</v>
      </c>
      <c r="L812" s="1" t="str">
        <f>IFERROR(__xludf.DUMMYFUNCTION("""COMPUTED_VALUE"""),"ม.6")</f>
        <v>ม.6</v>
      </c>
      <c r="M812" s="1" t="str">
        <f>IFERROR(__xludf.DUMMYFUNCTION("""COMPUTED_VALUE"""),"ภาษาต่างประเทศ")</f>
        <v>ภาษาต่างประเทศ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>
        <f>IFERROR(__xludf.DUMMYFUNCTION("""COMPUTED_VALUE"""),4.0)</f>
        <v>4</v>
      </c>
      <c r="B813" s="1">
        <f>IFERROR(__xludf.DUMMYFUNCTION("""COMPUTED_VALUE"""),2.0)</f>
        <v>2</v>
      </c>
      <c r="C813" s="1" t="str">
        <f>IFERROR(__xludf.DUMMYFUNCTION("""COMPUTED_VALUE"""),"ส20225")</f>
        <v>ส20225</v>
      </c>
      <c r="D813" s="1" t="str">
        <f>IFERROR(__xludf.DUMMYFUNCTION("""COMPUTED_VALUE"""),"การป้องกันการทุจริต 3")</f>
        <v>การป้องกันการทุจริต 3</v>
      </c>
      <c r="E813" s="1">
        <f>IFERROR(__xludf.DUMMYFUNCTION("""COMPUTED_VALUE"""),0.5)</f>
        <v>0.5</v>
      </c>
      <c r="F813" s="1">
        <f>IFERROR(__xludf.DUMMYFUNCTION("""COMPUTED_VALUE"""),2569.0)</f>
        <v>2569</v>
      </c>
      <c r="G813" s="1">
        <f>IFERROR(__xludf.DUMMYFUNCTION("""COMPUTED_VALUE"""),1.0)</f>
        <v>1</v>
      </c>
      <c r="H813" s="1">
        <f>IFERROR(__xludf.DUMMYFUNCTION("""COMPUTED_VALUE"""),834.0)</f>
        <v>834</v>
      </c>
      <c r="I813" s="1" t="str">
        <f>IFERROR(__xludf.DUMMYFUNCTION("""COMPUTED_VALUE"""),"นางสาว")</f>
        <v>นางสาว</v>
      </c>
      <c r="J813" s="1" t="str">
        <f>IFERROR(__xludf.DUMMYFUNCTION("""COMPUTED_VALUE"""),"กรรณิกา")</f>
        <v>กรรณิกา</v>
      </c>
      <c r="K813" s="1" t="str">
        <f>IFERROR(__xludf.DUMMYFUNCTION("""COMPUTED_VALUE"""),"เพียรพิจารณ์")</f>
        <v>เพียรพิจารณ์</v>
      </c>
      <c r="L813" s="1" t="str">
        <f>IFERROR(__xludf.DUMMYFUNCTION("""COMPUTED_VALUE"""),"ม.2")</f>
        <v>ม.2</v>
      </c>
      <c r="M813" s="1" t="str">
        <f>IFERROR(__xludf.DUMMYFUNCTION("""COMPUTED_VALUE"""),"ภาษาต่างประเทศ")</f>
        <v>ภาษาต่างประเทศ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>
        <f>IFERROR(__xludf.DUMMYFUNCTION("""COMPUTED_VALUE"""),2.0)</f>
        <v>2</v>
      </c>
      <c r="B814" s="1">
        <f>IFERROR(__xludf.DUMMYFUNCTION("""COMPUTED_VALUE"""),1.0)</f>
        <v>1</v>
      </c>
      <c r="C814" s="1" t="str">
        <f>IFERROR(__xludf.DUMMYFUNCTION("""COMPUTED_VALUE"""),"อ20205")</f>
        <v>อ20205</v>
      </c>
      <c r="D814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14" s="1">
        <f>IFERROR(__xludf.DUMMYFUNCTION("""COMPUTED_VALUE"""),0.5)</f>
        <v>0.5</v>
      </c>
      <c r="F814" s="1">
        <f>IFERROR(__xludf.DUMMYFUNCTION("""COMPUTED_VALUE"""),2569.0)</f>
        <v>2569</v>
      </c>
      <c r="G814" s="1">
        <f>IFERROR(__xludf.DUMMYFUNCTION("""COMPUTED_VALUE"""),1.0)</f>
        <v>1</v>
      </c>
      <c r="H814" s="1">
        <f>IFERROR(__xludf.DUMMYFUNCTION("""COMPUTED_VALUE"""),834.0)</f>
        <v>834</v>
      </c>
      <c r="I814" s="1" t="str">
        <f>IFERROR(__xludf.DUMMYFUNCTION("""COMPUTED_VALUE"""),"นางสาว")</f>
        <v>นางสาว</v>
      </c>
      <c r="J814" s="1" t="str">
        <f>IFERROR(__xludf.DUMMYFUNCTION("""COMPUTED_VALUE"""),"กรรณิกา")</f>
        <v>กรรณิกา</v>
      </c>
      <c r="K814" s="1" t="str">
        <f>IFERROR(__xludf.DUMMYFUNCTION("""COMPUTED_VALUE"""),"เพียรพิจารณ์")</f>
        <v>เพียรพิจารณ์</v>
      </c>
      <c r="L814" s="1" t="str">
        <f>IFERROR(__xludf.DUMMYFUNCTION("""COMPUTED_VALUE"""),"ม.3")</f>
        <v>ม.3</v>
      </c>
      <c r="M814" s="1" t="str">
        <f>IFERROR(__xludf.DUMMYFUNCTION("""COMPUTED_VALUE"""),"ภาษาต่างประเทศ")</f>
        <v>ภาษาต่างประเทศ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>
        <f>IFERROR(__xludf.DUMMYFUNCTION("""COMPUTED_VALUE"""),3.0)</f>
        <v>3</v>
      </c>
      <c r="B815" s="1">
        <f>IFERROR(__xludf.DUMMYFUNCTION("""COMPUTED_VALUE"""),1.0)</f>
        <v>1</v>
      </c>
      <c r="C815" s="1" t="str">
        <f>IFERROR(__xludf.DUMMYFUNCTION("""COMPUTED_VALUE"""),"อ20205")</f>
        <v>อ20205</v>
      </c>
      <c r="D815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15" s="1">
        <f>IFERROR(__xludf.DUMMYFUNCTION("""COMPUTED_VALUE"""),0.5)</f>
        <v>0.5</v>
      </c>
      <c r="F815" s="1">
        <f>IFERROR(__xludf.DUMMYFUNCTION("""COMPUTED_VALUE"""),2569.0)</f>
        <v>2569</v>
      </c>
      <c r="G815" s="1">
        <f>IFERROR(__xludf.DUMMYFUNCTION("""COMPUTED_VALUE"""),1.0)</f>
        <v>1</v>
      </c>
      <c r="H815" s="1">
        <f>IFERROR(__xludf.DUMMYFUNCTION("""COMPUTED_VALUE"""),834.0)</f>
        <v>834</v>
      </c>
      <c r="I815" s="1" t="str">
        <f>IFERROR(__xludf.DUMMYFUNCTION("""COMPUTED_VALUE"""),"นางสาว")</f>
        <v>นางสาว</v>
      </c>
      <c r="J815" s="1" t="str">
        <f>IFERROR(__xludf.DUMMYFUNCTION("""COMPUTED_VALUE"""),"กรรณิกา")</f>
        <v>กรรณิกา</v>
      </c>
      <c r="K815" s="1" t="str">
        <f>IFERROR(__xludf.DUMMYFUNCTION("""COMPUTED_VALUE"""),"เพียรพิจารณ์")</f>
        <v>เพียรพิจารณ์</v>
      </c>
      <c r="L815" s="1" t="str">
        <f>IFERROR(__xludf.DUMMYFUNCTION("""COMPUTED_VALUE"""),"ม.3")</f>
        <v>ม.3</v>
      </c>
      <c r="M815" s="1" t="str">
        <f>IFERROR(__xludf.DUMMYFUNCTION("""COMPUTED_VALUE"""),"ภาษาต่างประเทศ")</f>
        <v>ภาษาต่างประเทศ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>
        <f>IFERROR(__xludf.DUMMYFUNCTION("""COMPUTED_VALUE"""),4.0)</f>
        <v>4</v>
      </c>
      <c r="B816" s="1">
        <f>IFERROR(__xludf.DUMMYFUNCTION("""COMPUTED_VALUE"""),1.0)</f>
        <v>1</v>
      </c>
      <c r="C816" s="1" t="str">
        <f>IFERROR(__xludf.DUMMYFUNCTION("""COMPUTED_VALUE"""),"อ20205")</f>
        <v>อ20205</v>
      </c>
      <c r="D816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16" s="1">
        <f>IFERROR(__xludf.DUMMYFUNCTION("""COMPUTED_VALUE"""),0.5)</f>
        <v>0.5</v>
      </c>
      <c r="F816" s="1">
        <f>IFERROR(__xludf.DUMMYFUNCTION("""COMPUTED_VALUE"""),2569.0)</f>
        <v>2569</v>
      </c>
      <c r="G816" s="1">
        <f>IFERROR(__xludf.DUMMYFUNCTION("""COMPUTED_VALUE"""),1.0)</f>
        <v>1</v>
      </c>
      <c r="H816" s="1">
        <f>IFERROR(__xludf.DUMMYFUNCTION("""COMPUTED_VALUE"""),834.0)</f>
        <v>834</v>
      </c>
      <c r="I816" s="1" t="str">
        <f>IFERROR(__xludf.DUMMYFUNCTION("""COMPUTED_VALUE"""),"นางสาว")</f>
        <v>นางสาว</v>
      </c>
      <c r="J816" s="1" t="str">
        <f>IFERROR(__xludf.DUMMYFUNCTION("""COMPUTED_VALUE"""),"กรรณิกา")</f>
        <v>กรรณิกา</v>
      </c>
      <c r="K816" s="1" t="str">
        <f>IFERROR(__xludf.DUMMYFUNCTION("""COMPUTED_VALUE"""),"เพียรพิจารณ์")</f>
        <v>เพียรพิจารณ์</v>
      </c>
      <c r="L816" s="1" t="str">
        <f>IFERROR(__xludf.DUMMYFUNCTION("""COMPUTED_VALUE"""),"ม.3")</f>
        <v>ม.3</v>
      </c>
      <c r="M816" s="1" t="str">
        <f>IFERROR(__xludf.DUMMYFUNCTION("""COMPUTED_VALUE"""),"ภาษาต่างประเทศ")</f>
        <v>ภาษาต่างประเทศ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>
        <f>IFERROR(__xludf.DUMMYFUNCTION("""COMPUTED_VALUE"""),5.0)</f>
        <v>5</v>
      </c>
      <c r="B817" s="1">
        <f>IFERROR(__xludf.DUMMYFUNCTION("""COMPUTED_VALUE"""),1.0)</f>
        <v>1</v>
      </c>
      <c r="C817" s="1" t="str">
        <f>IFERROR(__xludf.DUMMYFUNCTION("""COMPUTED_VALUE"""),"อ20205")</f>
        <v>อ20205</v>
      </c>
      <c r="D817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17" s="1">
        <f>IFERROR(__xludf.DUMMYFUNCTION("""COMPUTED_VALUE"""),0.5)</f>
        <v>0.5</v>
      </c>
      <c r="F817" s="1">
        <f>IFERROR(__xludf.DUMMYFUNCTION("""COMPUTED_VALUE"""),2569.0)</f>
        <v>2569</v>
      </c>
      <c r="G817" s="1">
        <f>IFERROR(__xludf.DUMMYFUNCTION("""COMPUTED_VALUE"""),1.0)</f>
        <v>1</v>
      </c>
      <c r="H817" s="1">
        <f>IFERROR(__xludf.DUMMYFUNCTION("""COMPUTED_VALUE"""),834.0)</f>
        <v>834</v>
      </c>
      <c r="I817" s="1" t="str">
        <f>IFERROR(__xludf.DUMMYFUNCTION("""COMPUTED_VALUE"""),"นางสาว")</f>
        <v>นางสาว</v>
      </c>
      <c r="J817" s="1" t="str">
        <f>IFERROR(__xludf.DUMMYFUNCTION("""COMPUTED_VALUE"""),"กรรณิกา")</f>
        <v>กรรณิกา</v>
      </c>
      <c r="K817" s="1" t="str">
        <f>IFERROR(__xludf.DUMMYFUNCTION("""COMPUTED_VALUE"""),"เพียรพิจารณ์")</f>
        <v>เพียรพิจารณ์</v>
      </c>
      <c r="L817" s="1" t="str">
        <f>IFERROR(__xludf.DUMMYFUNCTION("""COMPUTED_VALUE"""),"ม.3")</f>
        <v>ม.3</v>
      </c>
      <c r="M817" s="1" t="str">
        <f>IFERROR(__xludf.DUMMYFUNCTION("""COMPUTED_VALUE"""),"ภาษาต่างประเทศ")</f>
        <v>ภาษาต่างประเทศ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>
        <f>IFERROR(__xludf.DUMMYFUNCTION("""COMPUTED_VALUE"""),6.0)</f>
        <v>6</v>
      </c>
      <c r="B818" s="1">
        <f>IFERROR(__xludf.DUMMYFUNCTION("""COMPUTED_VALUE"""),1.0)</f>
        <v>1</v>
      </c>
      <c r="C818" s="1" t="str">
        <f>IFERROR(__xludf.DUMMYFUNCTION("""COMPUTED_VALUE"""),"อ20205")</f>
        <v>อ20205</v>
      </c>
      <c r="D818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18" s="1">
        <f>IFERROR(__xludf.DUMMYFUNCTION("""COMPUTED_VALUE"""),0.5)</f>
        <v>0.5</v>
      </c>
      <c r="F818" s="1">
        <f>IFERROR(__xludf.DUMMYFUNCTION("""COMPUTED_VALUE"""),2569.0)</f>
        <v>2569</v>
      </c>
      <c r="G818" s="1">
        <f>IFERROR(__xludf.DUMMYFUNCTION("""COMPUTED_VALUE"""),1.0)</f>
        <v>1</v>
      </c>
      <c r="H818" s="1">
        <f>IFERROR(__xludf.DUMMYFUNCTION("""COMPUTED_VALUE"""),834.0)</f>
        <v>834</v>
      </c>
      <c r="I818" s="1" t="str">
        <f>IFERROR(__xludf.DUMMYFUNCTION("""COMPUTED_VALUE"""),"นางสาว")</f>
        <v>นางสาว</v>
      </c>
      <c r="J818" s="1" t="str">
        <f>IFERROR(__xludf.DUMMYFUNCTION("""COMPUTED_VALUE"""),"กรรณิกา")</f>
        <v>กรรณิกา</v>
      </c>
      <c r="K818" s="1" t="str">
        <f>IFERROR(__xludf.DUMMYFUNCTION("""COMPUTED_VALUE"""),"เพียรพิจารณ์")</f>
        <v>เพียรพิจารณ์</v>
      </c>
      <c r="L818" s="1" t="str">
        <f>IFERROR(__xludf.DUMMYFUNCTION("""COMPUTED_VALUE"""),"ม.3")</f>
        <v>ม.3</v>
      </c>
      <c r="M818" s="1" t="str">
        <f>IFERROR(__xludf.DUMMYFUNCTION("""COMPUTED_VALUE"""),"ภาษาต่างประเทศ")</f>
        <v>ภาษาต่างประเทศ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>
        <f>IFERROR(__xludf.DUMMYFUNCTION("""COMPUTED_VALUE"""),7.0)</f>
        <v>7</v>
      </c>
      <c r="B819" s="1">
        <f>IFERROR(__xludf.DUMMYFUNCTION("""COMPUTED_VALUE"""),1.0)</f>
        <v>1</v>
      </c>
      <c r="C819" s="1" t="str">
        <f>IFERROR(__xludf.DUMMYFUNCTION("""COMPUTED_VALUE"""),"อ20205")</f>
        <v>อ20205</v>
      </c>
      <c r="D819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19" s="1">
        <f>IFERROR(__xludf.DUMMYFUNCTION("""COMPUTED_VALUE"""),0.5)</f>
        <v>0.5</v>
      </c>
      <c r="F819" s="1">
        <f>IFERROR(__xludf.DUMMYFUNCTION("""COMPUTED_VALUE"""),2569.0)</f>
        <v>2569</v>
      </c>
      <c r="G819" s="1">
        <f>IFERROR(__xludf.DUMMYFUNCTION("""COMPUTED_VALUE"""),1.0)</f>
        <v>1</v>
      </c>
      <c r="H819" s="1">
        <f>IFERROR(__xludf.DUMMYFUNCTION("""COMPUTED_VALUE"""),834.0)</f>
        <v>834</v>
      </c>
      <c r="I819" s="1" t="str">
        <f>IFERROR(__xludf.DUMMYFUNCTION("""COMPUTED_VALUE"""),"นางสาว")</f>
        <v>นางสาว</v>
      </c>
      <c r="J819" s="1" t="str">
        <f>IFERROR(__xludf.DUMMYFUNCTION("""COMPUTED_VALUE"""),"กรรณิกา")</f>
        <v>กรรณิกา</v>
      </c>
      <c r="K819" s="1" t="str">
        <f>IFERROR(__xludf.DUMMYFUNCTION("""COMPUTED_VALUE"""),"เพียรพิจารณ์")</f>
        <v>เพียรพิจารณ์</v>
      </c>
      <c r="L819" s="1" t="str">
        <f>IFERROR(__xludf.DUMMYFUNCTION("""COMPUTED_VALUE"""),"ม.3")</f>
        <v>ม.3</v>
      </c>
      <c r="M819" s="1" t="str">
        <f>IFERROR(__xludf.DUMMYFUNCTION("""COMPUTED_VALUE"""),"ภาษาต่างประเทศ")</f>
        <v>ภาษาต่างประเทศ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>
        <f>IFERROR(__xludf.DUMMYFUNCTION("""COMPUTED_VALUE"""),1.0)</f>
        <v>1</v>
      </c>
      <c r="B820" s="1">
        <f>IFERROR(__xludf.DUMMYFUNCTION("""COMPUTED_VALUE"""),1.0)</f>
        <v>1</v>
      </c>
      <c r="C820" s="1" t="str">
        <f>IFERROR(__xludf.DUMMYFUNCTION("""COMPUTED_VALUE"""),"อ20222")</f>
        <v>อ20222</v>
      </c>
      <c r="D820" s="1" t="str">
        <f>IFERROR(__xludf.DUMMYFUNCTION("""COMPUTED_VALUE"""),"สนทนาภาษาอังกฤษ 3")</f>
        <v>สนทนาภาษาอังกฤษ 3</v>
      </c>
      <c r="E820" s="1">
        <f>IFERROR(__xludf.DUMMYFUNCTION("""COMPUTED_VALUE"""),1.0)</f>
        <v>1</v>
      </c>
      <c r="F820" s="1">
        <f>IFERROR(__xludf.DUMMYFUNCTION("""COMPUTED_VALUE"""),2569.0)</f>
        <v>2569</v>
      </c>
      <c r="G820" s="1">
        <f>IFERROR(__xludf.DUMMYFUNCTION("""COMPUTED_VALUE"""),1.0)</f>
        <v>1</v>
      </c>
      <c r="H820" s="1">
        <f>IFERROR(__xludf.DUMMYFUNCTION("""COMPUTED_VALUE"""),834.0)</f>
        <v>834</v>
      </c>
      <c r="I820" s="1" t="str">
        <f>IFERROR(__xludf.DUMMYFUNCTION("""COMPUTED_VALUE"""),"นางสาว")</f>
        <v>นางสาว</v>
      </c>
      <c r="J820" s="1" t="str">
        <f>IFERROR(__xludf.DUMMYFUNCTION("""COMPUTED_VALUE"""),"กรรณิกา")</f>
        <v>กรรณิกา</v>
      </c>
      <c r="K820" s="1" t="str">
        <f>IFERROR(__xludf.DUMMYFUNCTION("""COMPUTED_VALUE"""),"เพียรพิจารณ์")</f>
        <v>เพียรพิจารณ์</v>
      </c>
      <c r="L820" s="1" t="str">
        <f>IFERROR(__xludf.DUMMYFUNCTION("""COMPUTED_VALUE"""),"ม.2")</f>
        <v>ม.2</v>
      </c>
      <c r="M820" s="1" t="str">
        <f>IFERROR(__xludf.DUMMYFUNCTION("""COMPUTED_VALUE"""),"ภาษาต่างประเทศ")</f>
        <v>ภาษาต่างประเทศ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>
        <f>IFERROR(__xludf.DUMMYFUNCTION("""COMPUTED_VALUE"""),2.0)</f>
        <v>2</v>
      </c>
      <c r="B821" s="1">
        <f>IFERROR(__xludf.DUMMYFUNCTION("""COMPUTED_VALUE"""),1.0)</f>
        <v>1</v>
      </c>
      <c r="C821" s="1" t="str">
        <f>IFERROR(__xludf.DUMMYFUNCTION("""COMPUTED_VALUE"""),"อ22101")</f>
        <v>อ22101</v>
      </c>
      <c r="D821" s="1" t="str">
        <f>IFERROR(__xludf.DUMMYFUNCTION("""COMPUTED_VALUE"""),"ภาษาอังกฤษ 3")</f>
        <v>ภาษาอังกฤษ 3</v>
      </c>
      <c r="E821" s="1">
        <f>IFERROR(__xludf.DUMMYFUNCTION("""COMPUTED_VALUE"""),1.5)</f>
        <v>1.5</v>
      </c>
      <c r="F821" s="1">
        <f>IFERROR(__xludf.DUMMYFUNCTION("""COMPUTED_VALUE"""),2569.0)</f>
        <v>2569</v>
      </c>
      <c r="G821" s="1">
        <f>IFERROR(__xludf.DUMMYFUNCTION("""COMPUTED_VALUE"""),1.0)</f>
        <v>1</v>
      </c>
      <c r="H821" s="1">
        <f>IFERROR(__xludf.DUMMYFUNCTION("""COMPUTED_VALUE"""),834.0)</f>
        <v>834</v>
      </c>
      <c r="I821" s="1" t="str">
        <f>IFERROR(__xludf.DUMMYFUNCTION("""COMPUTED_VALUE"""),"นางสาว")</f>
        <v>นางสาว</v>
      </c>
      <c r="J821" s="1" t="str">
        <f>IFERROR(__xludf.DUMMYFUNCTION("""COMPUTED_VALUE"""),"กรรณิกา")</f>
        <v>กรรณิกา</v>
      </c>
      <c r="K821" s="1" t="str">
        <f>IFERROR(__xludf.DUMMYFUNCTION("""COMPUTED_VALUE"""),"เพียรพิจารณ์")</f>
        <v>เพียรพิจารณ์</v>
      </c>
      <c r="L821" s="1" t="str">
        <f>IFERROR(__xludf.DUMMYFUNCTION("""COMPUTED_VALUE"""),"ม.2")</f>
        <v>ม.2</v>
      </c>
      <c r="M821" s="1" t="str">
        <f>IFERROR(__xludf.DUMMYFUNCTION("""COMPUTED_VALUE"""),"ภาษาต่างประเทศ")</f>
        <v>ภาษาต่างประเทศ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>
        <f>IFERROR(__xludf.DUMMYFUNCTION("""COMPUTED_VALUE"""),4.0)</f>
        <v>4</v>
      </c>
      <c r="B822" s="1">
        <f>IFERROR(__xludf.DUMMYFUNCTION("""COMPUTED_VALUE"""),1.0)</f>
        <v>1</v>
      </c>
      <c r="C822" s="1" t="str">
        <f>IFERROR(__xludf.DUMMYFUNCTION("""COMPUTED_VALUE"""),"อ22101")</f>
        <v>อ22101</v>
      </c>
      <c r="D822" s="1" t="str">
        <f>IFERROR(__xludf.DUMMYFUNCTION("""COMPUTED_VALUE"""),"ภาษาอังกฤษ 3")</f>
        <v>ภาษาอังกฤษ 3</v>
      </c>
      <c r="E822" s="1">
        <f>IFERROR(__xludf.DUMMYFUNCTION("""COMPUTED_VALUE"""),1.5)</f>
        <v>1.5</v>
      </c>
      <c r="F822" s="1">
        <f>IFERROR(__xludf.DUMMYFUNCTION("""COMPUTED_VALUE"""),2569.0)</f>
        <v>2569</v>
      </c>
      <c r="G822" s="1">
        <f>IFERROR(__xludf.DUMMYFUNCTION("""COMPUTED_VALUE"""),1.0)</f>
        <v>1</v>
      </c>
      <c r="H822" s="1">
        <f>IFERROR(__xludf.DUMMYFUNCTION("""COMPUTED_VALUE"""),834.0)</f>
        <v>834</v>
      </c>
      <c r="I822" s="1" t="str">
        <f>IFERROR(__xludf.DUMMYFUNCTION("""COMPUTED_VALUE"""),"นางสาว")</f>
        <v>นางสาว</v>
      </c>
      <c r="J822" s="1" t="str">
        <f>IFERROR(__xludf.DUMMYFUNCTION("""COMPUTED_VALUE"""),"กรรณิกา")</f>
        <v>กรรณิกา</v>
      </c>
      <c r="K822" s="1" t="str">
        <f>IFERROR(__xludf.DUMMYFUNCTION("""COMPUTED_VALUE"""),"เพียรพิจารณ์")</f>
        <v>เพียรพิจารณ์</v>
      </c>
      <c r="L822" s="1" t="str">
        <f>IFERROR(__xludf.DUMMYFUNCTION("""COMPUTED_VALUE"""),"ม.2")</f>
        <v>ม.2</v>
      </c>
      <c r="M822" s="1" t="str">
        <f>IFERROR(__xludf.DUMMYFUNCTION("""COMPUTED_VALUE"""),"ภาษาต่างประเทศ")</f>
        <v>ภาษาต่างประเทศ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>
        <f>IFERROR(__xludf.DUMMYFUNCTION("""COMPUTED_VALUE"""),6.0)</f>
        <v>6</v>
      </c>
      <c r="B823" s="1">
        <f>IFERROR(__xludf.DUMMYFUNCTION("""COMPUTED_VALUE"""),1.0)</f>
        <v>1</v>
      </c>
      <c r="C823" s="1" t="str">
        <f>IFERROR(__xludf.DUMMYFUNCTION("""COMPUTED_VALUE"""),"อ22101")</f>
        <v>อ22101</v>
      </c>
      <c r="D823" s="1" t="str">
        <f>IFERROR(__xludf.DUMMYFUNCTION("""COMPUTED_VALUE"""),"ภาษาอังกฤษ 3")</f>
        <v>ภาษาอังกฤษ 3</v>
      </c>
      <c r="E823" s="1">
        <f>IFERROR(__xludf.DUMMYFUNCTION("""COMPUTED_VALUE"""),1.5)</f>
        <v>1.5</v>
      </c>
      <c r="F823" s="1">
        <f>IFERROR(__xludf.DUMMYFUNCTION("""COMPUTED_VALUE"""),2569.0)</f>
        <v>2569</v>
      </c>
      <c r="G823" s="1">
        <f>IFERROR(__xludf.DUMMYFUNCTION("""COMPUTED_VALUE"""),1.0)</f>
        <v>1</v>
      </c>
      <c r="H823" s="1">
        <f>IFERROR(__xludf.DUMMYFUNCTION("""COMPUTED_VALUE"""),834.0)</f>
        <v>834</v>
      </c>
      <c r="I823" s="1" t="str">
        <f>IFERROR(__xludf.DUMMYFUNCTION("""COMPUTED_VALUE"""),"นางสาว")</f>
        <v>นางสาว</v>
      </c>
      <c r="J823" s="1" t="str">
        <f>IFERROR(__xludf.DUMMYFUNCTION("""COMPUTED_VALUE"""),"กรรณิกา")</f>
        <v>กรรณิกา</v>
      </c>
      <c r="K823" s="1" t="str">
        <f>IFERROR(__xludf.DUMMYFUNCTION("""COMPUTED_VALUE"""),"เพียรพิจารณ์")</f>
        <v>เพียรพิจารณ์</v>
      </c>
      <c r="L823" s="1" t="str">
        <f>IFERROR(__xludf.DUMMYFUNCTION("""COMPUTED_VALUE"""),"ม.2")</f>
        <v>ม.2</v>
      </c>
      <c r="M823" s="1" t="str">
        <f>IFERROR(__xludf.DUMMYFUNCTION("""COMPUTED_VALUE"""),"ภาษาต่างประเทศ")</f>
        <v>ภาษาต่างประเทศ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>
        <f>IFERROR(__xludf.DUMMYFUNCTION("""COMPUTED_VALUE"""),5.0)</f>
        <v>5</v>
      </c>
      <c r="B824" s="1">
        <f>IFERROR(__xludf.DUMMYFUNCTION("""COMPUTED_VALUE"""),1.0)</f>
        <v>1</v>
      </c>
      <c r="C824" s="1" t="str">
        <f>IFERROR(__xludf.DUMMYFUNCTION("""COMPUTED_VALUE"""),"อ30225")</f>
        <v>อ30225</v>
      </c>
      <c r="D824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824" s="1">
        <f>IFERROR(__xludf.DUMMYFUNCTION("""COMPUTED_VALUE"""),1.0)</f>
        <v>1</v>
      </c>
      <c r="F824" s="1">
        <f>IFERROR(__xludf.DUMMYFUNCTION("""COMPUTED_VALUE"""),2569.0)</f>
        <v>2569</v>
      </c>
      <c r="G824" s="1">
        <f>IFERROR(__xludf.DUMMYFUNCTION("""COMPUTED_VALUE"""),1.0)</f>
        <v>1</v>
      </c>
      <c r="H824" s="1">
        <f>IFERROR(__xludf.DUMMYFUNCTION("""COMPUTED_VALUE"""),834.0)</f>
        <v>834</v>
      </c>
      <c r="I824" s="1" t="str">
        <f>IFERROR(__xludf.DUMMYFUNCTION("""COMPUTED_VALUE"""),"นางสาว")</f>
        <v>นางสาว</v>
      </c>
      <c r="J824" s="1" t="str">
        <f>IFERROR(__xludf.DUMMYFUNCTION("""COMPUTED_VALUE"""),"กรรณิกา")</f>
        <v>กรรณิกา</v>
      </c>
      <c r="K824" s="1" t="str">
        <f>IFERROR(__xludf.DUMMYFUNCTION("""COMPUTED_VALUE"""),"เพียรพิจารณ์")</f>
        <v>เพียรพิจารณ์</v>
      </c>
      <c r="L824" s="1" t="str">
        <f>IFERROR(__xludf.DUMMYFUNCTION("""COMPUTED_VALUE"""),"ม.5")</f>
        <v>ม.5</v>
      </c>
      <c r="M824" s="1" t="str">
        <f>IFERROR(__xludf.DUMMYFUNCTION("""COMPUTED_VALUE"""),"ภาษาต่างประเทศ")</f>
        <v>ภาษาต่างประเทศ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>
        <f>IFERROR(__xludf.DUMMYFUNCTION("""COMPUTED_VALUE"""),6.0)</f>
        <v>6</v>
      </c>
      <c r="B825" s="1">
        <f>IFERROR(__xludf.DUMMYFUNCTION("""COMPUTED_VALUE"""),1.0)</f>
        <v>1</v>
      </c>
      <c r="C825" s="1" t="str">
        <f>IFERROR(__xludf.DUMMYFUNCTION("""COMPUTED_VALUE"""),"อ30225")</f>
        <v>อ30225</v>
      </c>
      <c r="D825" s="1" t="str">
        <f>IFERROR(__xludf.DUMMYFUNCTION("""COMPUTED_VALUE"""),"ภาษาอังกฤษเพื่อการสื่อสาร 3")</f>
        <v>ภาษาอังกฤษเพื่อการสื่อสาร 3</v>
      </c>
      <c r="E825" s="1">
        <f>IFERROR(__xludf.DUMMYFUNCTION("""COMPUTED_VALUE"""),1.0)</f>
        <v>1</v>
      </c>
      <c r="F825" s="1">
        <f>IFERROR(__xludf.DUMMYFUNCTION("""COMPUTED_VALUE"""),2569.0)</f>
        <v>2569</v>
      </c>
      <c r="G825" s="1">
        <f>IFERROR(__xludf.DUMMYFUNCTION("""COMPUTED_VALUE"""),1.0)</f>
        <v>1</v>
      </c>
      <c r="H825" s="1">
        <f>IFERROR(__xludf.DUMMYFUNCTION("""COMPUTED_VALUE"""),834.0)</f>
        <v>834</v>
      </c>
      <c r="I825" s="1" t="str">
        <f>IFERROR(__xludf.DUMMYFUNCTION("""COMPUTED_VALUE"""),"นางสาว")</f>
        <v>นางสาว</v>
      </c>
      <c r="J825" s="1" t="str">
        <f>IFERROR(__xludf.DUMMYFUNCTION("""COMPUTED_VALUE"""),"กรรณิกา")</f>
        <v>กรรณิกา</v>
      </c>
      <c r="K825" s="1" t="str">
        <f>IFERROR(__xludf.DUMMYFUNCTION("""COMPUTED_VALUE"""),"เพียรพิจารณ์")</f>
        <v>เพียรพิจารณ์</v>
      </c>
      <c r="L825" s="1" t="str">
        <f>IFERROR(__xludf.DUMMYFUNCTION("""COMPUTED_VALUE"""),"ม.5")</f>
        <v>ม.5</v>
      </c>
      <c r="M825" s="1" t="str">
        <f>IFERROR(__xludf.DUMMYFUNCTION("""COMPUTED_VALUE"""),"ภาษาต่างประเทศ")</f>
        <v>ภาษาต่างประเทศ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>
        <f>IFERROR(__xludf.DUMMYFUNCTION("""COMPUTED_VALUE"""),4.0)</f>
        <v>4</v>
      </c>
      <c r="B826" s="1">
        <f>IFERROR(__xludf.DUMMYFUNCTION("""COMPUTED_VALUE"""),1.0)</f>
        <v>1</v>
      </c>
      <c r="C826" s="1" t="str">
        <f>IFERROR(__xludf.DUMMYFUNCTION("""COMPUTED_VALUE"""),"ส20227")</f>
        <v>ส20227</v>
      </c>
      <c r="D826" s="1" t="str">
        <f>IFERROR(__xludf.DUMMYFUNCTION("""COMPUTED_VALUE"""),"การป้องกันการทุจริต 5")</f>
        <v>การป้องกันการทุจริต 5</v>
      </c>
      <c r="E826" s="1">
        <f>IFERROR(__xludf.DUMMYFUNCTION("""COMPUTED_VALUE"""),0.5)</f>
        <v>0.5</v>
      </c>
      <c r="F826" s="1">
        <f>IFERROR(__xludf.DUMMYFUNCTION("""COMPUTED_VALUE"""),2569.0)</f>
        <v>2569</v>
      </c>
      <c r="G826" s="1">
        <f>IFERROR(__xludf.DUMMYFUNCTION("""COMPUTED_VALUE"""),1.0)</f>
        <v>1</v>
      </c>
      <c r="H826" s="1">
        <f>IFERROR(__xludf.DUMMYFUNCTION("""COMPUTED_VALUE"""),835.0)</f>
        <v>835</v>
      </c>
      <c r="I826" s="1" t="str">
        <f>IFERROR(__xludf.DUMMYFUNCTION("""COMPUTED_VALUE"""),"นางสาว")</f>
        <v>นางสาว</v>
      </c>
      <c r="J826" s="1" t="str">
        <f>IFERROR(__xludf.DUMMYFUNCTION("""COMPUTED_VALUE"""),"จีรญาดา")</f>
        <v>จีรญาดา</v>
      </c>
      <c r="K826" s="1" t="str">
        <f>IFERROR(__xludf.DUMMYFUNCTION("""COMPUTED_VALUE"""),"ทองมีใย")</f>
        <v>ทองมีใย</v>
      </c>
      <c r="L826" s="1" t="str">
        <f>IFERROR(__xludf.DUMMYFUNCTION("""COMPUTED_VALUE"""),"ม.3")</f>
        <v>ม.3</v>
      </c>
      <c r="M826" s="1" t="str">
        <f>IFERROR(__xludf.DUMMYFUNCTION("""COMPUTED_VALUE"""),"ภาษาต่างประเทศ")</f>
        <v>ภาษาต่างประเทศ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>
        <f>IFERROR(__xludf.DUMMYFUNCTION("""COMPUTED_VALUE"""),1.0)</f>
        <v>1</v>
      </c>
      <c r="B827" s="1">
        <f>IFERROR(__xludf.DUMMYFUNCTION("""COMPUTED_VALUE"""),1.0)</f>
        <v>1</v>
      </c>
      <c r="C827" s="1" t="str">
        <f>IFERROR(__xludf.DUMMYFUNCTION("""COMPUTED_VALUE"""),"อ20224")</f>
        <v>อ20224</v>
      </c>
      <c r="D827" s="1" t="str">
        <f>IFERROR(__xludf.DUMMYFUNCTION("""COMPUTED_VALUE"""),"สนทนาภาษาอังกฤษ 5")</f>
        <v>สนทนาภาษาอังกฤษ 5</v>
      </c>
      <c r="E827" s="1">
        <f>IFERROR(__xludf.DUMMYFUNCTION("""COMPUTED_VALUE"""),0.5)</f>
        <v>0.5</v>
      </c>
      <c r="F827" s="1">
        <f>IFERROR(__xludf.DUMMYFUNCTION("""COMPUTED_VALUE"""),2569.0)</f>
        <v>2569</v>
      </c>
      <c r="G827" s="1">
        <f>IFERROR(__xludf.DUMMYFUNCTION("""COMPUTED_VALUE"""),1.0)</f>
        <v>1</v>
      </c>
      <c r="H827" s="1">
        <f>IFERROR(__xludf.DUMMYFUNCTION("""COMPUTED_VALUE"""),835.0)</f>
        <v>835</v>
      </c>
      <c r="I827" s="1" t="str">
        <f>IFERROR(__xludf.DUMMYFUNCTION("""COMPUTED_VALUE"""),"นางสาว")</f>
        <v>นางสาว</v>
      </c>
      <c r="J827" s="1" t="str">
        <f>IFERROR(__xludf.DUMMYFUNCTION("""COMPUTED_VALUE"""),"จีรญาดา")</f>
        <v>จีรญาดา</v>
      </c>
      <c r="K827" s="1" t="str">
        <f>IFERROR(__xludf.DUMMYFUNCTION("""COMPUTED_VALUE"""),"ทองมีใย")</f>
        <v>ทองมีใย</v>
      </c>
      <c r="L827" s="1" t="str">
        <f>IFERROR(__xludf.DUMMYFUNCTION("""COMPUTED_VALUE"""),"ม.3")</f>
        <v>ม.3</v>
      </c>
      <c r="M827" s="1" t="str">
        <f>IFERROR(__xludf.DUMMYFUNCTION("""COMPUTED_VALUE"""),"ภาษาต่างประเทศ")</f>
        <v>ภาษาต่างประเทศ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>
        <f>IFERROR(__xludf.DUMMYFUNCTION("""COMPUTED_VALUE"""),1.0)</f>
        <v>1</v>
      </c>
      <c r="B828" s="1">
        <f>IFERROR(__xludf.DUMMYFUNCTION("""COMPUTED_VALUE"""),1.0)</f>
        <v>1</v>
      </c>
      <c r="C828" s="1" t="str">
        <f>IFERROR(__xludf.DUMMYFUNCTION("""COMPUTED_VALUE"""),"อ23101")</f>
        <v>อ23101</v>
      </c>
      <c r="D828" s="1" t="str">
        <f>IFERROR(__xludf.DUMMYFUNCTION("""COMPUTED_VALUE"""),"ภาษาอังกฤษ 5")</f>
        <v>ภาษาอังกฤษ 5</v>
      </c>
      <c r="E828" s="1">
        <f>IFERROR(__xludf.DUMMYFUNCTION("""COMPUTED_VALUE"""),1.5)</f>
        <v>1.5</v>
      </c>
      <c r="F828" s="1">
        <f>IFERROR(__xludf.DUMMYFUNCTION("""COMPUTED_VALUE"""),2569.0)</f>
        <v>2569</v>
      </c>
      <c r="G828" s="1">
        <f>IFERROR(__xludf.DUMMYFUNCTION("""COMPUTED_VALUE"""),1.0)</f>
        <v>1</v>
      </c>
      <c r="H828" s="1">
        <f>IFERROR(__xludf.DUMMYFUNCTION("""COMPUTED_VALUE"""),835.0)</f>
        <v>835</v>
      </c>
      <c r="I828" s="1" t="str">
        <f>IFERROR(__xludf.DUMMYFUNCTION("""COMPUTED_VALUE"""),"นางสาว")</f>
        <v>นางสาว</v>
      </c>
      <c r="J828" s="1" t="str">
        <f>IFERROR(__xludf.DUMMYFUNCTION("""COMPUTED_VALUE"""),"จีรญาดา")</f>
        <v>จีรญาดา</v>
      </c>
      <c r="K828" s="1" t="str">
        <f>IFERROR(__xludf.DUMMYFUNCTION("""COMPUTED_VALUE"""),"ทองมีใย")</f>
        <v>ทองมีใย</v>
      </c>
      <c r="L828" s="1" t="str">
        <f>IFERROR(__xludf.DUMMYFUNCTION("""COMPUTED_VALUE"""),"ม.3")</f>
        <v>ม.3</v>
      </c>
      <c r="M828" s="1" t="str">
        <f>IFERROR(__xludf.DUMMYFUNCTION("""COMPUTED_VALUE"""),"ภาษาต่างประเทศ")</f>
        <v>ภาษาต่างประเทศ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>
        <f>IFERROR(__xludf.DUMMYFUNCTION("""COMPUTED_VALUE"""),2.0)</f>
        <v>2</v>
      </c>
      <c r="B829" s="1">
        <f>IFERROR(__xludf.DUMMYFUNCTION("""COMPUTED_VALUE"""),1.0)</f>
        <v>1</v>
      </c>
      <c r="C829" s="1" t="str">
        <f>IFERROR(__xludf.DUMMYFUNCTION("""COMPUTED_VALUE"""),"อ23101")</f>
        <v>อ23101</v>
      </c>
      <c r="D829" s="1" t="str">
        <f>IFERROR(__xludf.DUMMYFUNCTION("""COMPUTED_VALUE"""),"ภาษาอังกฤษ 5")</f>
        <v>ภาษาอังกฤษ 5</v>
      </c>
      <c r="E829" s="1">
        <f>IFERROR(__xludf.DUMMYFUNCTION("""COMPUTED_VALUE"""),1.5)</f>
        <v>1.5</v>
      </c>
      <c r="F829" s="1">
        <f>IFERROR(__xludf.DUMMYFUNCTION("""COMPUTED_VALUE"""),2569.0)</f>
        <v>2569</v>
      </c>
      <c r="G829" s="1">
        <f>IFERROR(__xludf.DUMMYFUNCTION("""COMPUTED_VALUE"""),1.0)</f>
        <v>1</v>
      </c>
      <c r="H829" s="1">
        <f>IFERROR(__xludf.DUMMYFUNCTION("""COMPUTED_VALUE"""),835.0)</f>
        <v>835</v>
      </c>
      <c r="I829" s="1" t="str">
        <f>IFERROR(__xludf.DUMMYFUNCTION("""COMPUTED_VALUE"""),"นางสาว")</f>
        <v>นางสาว</v>
      </c>
      <c r="J829" s="1" t="str">
        <f>IFERROR(__xludf.DUMMYFUNCTION("""COMPUTED_VALUE"""),"จีรญาดา")</f>
        <v>จีรญาดา</v>
      </c>
      <c r="K829" s="1" t="str">
        <f>IFERROR(__xludf.DUMMYFUNCTION("""COMPUTED_VALUE"""),"ทองมีใย")</f>
        <v>ทองมีใย</v>
      </c>
      <c r="L829" s="1" t="str">
        <f>IFERROR(__xludf.DUMMYFUNCTION("""COMPUTED_VALUE"""),"ม.3")</f>
        <v>ม.3</v>
      </c>
      <c r="M829" s="1" t="str">
        <f>IFERROR(__xludf.DUMMYFUNCTION("""COMPUTED_VALUE"""),"ภาษาต่างประเทศ")</f>
        <v>ภาษาต่างประเทศ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>
        <f>IFERROR(__xludf.DUMMYFUNCTION("""COMPUTED_VALUE"""),3.0)</f>
        <v>3</v>
      </c>
      <c r="B830" s="1">
        <f>IFERROR(__xludf.DUMMYFUNCTION("""COMPUTED_VALUE"""),1.0)</f>
        <v>1</v>
      </c>
      <c r="C830" s="1" t="str">
        <f>IFERROR(__xludf.DUMMYFUNCTION("""COMPUTED_VALUE"""),"อ23101")</f>
        <v>อ23101</v>
      </c>
      <c r="D830" s="1" t="str">
        <f>IFERROR(__xludf.DUMMYFUNCTION("""COMPUTED_VALUE"""),"ภาษาอังกฤษ 5")</f>
        <v>ภาษาอังกฤษ 5</v>
      </c>
      <c r="E830" s="1">
        <f>IFERROR(__xludf.DUMMYFUNCTION("""COMPUTED_VALUE"""),1.5)</f>
        <v>1.5</v>
      </c>
      <c r="F830" s="1">
        <f>IFERROR(__xludf.DUMMYFUNCTION("""COMPUTED_VALUE"""),2569.0)</f>
        <v>2569</v>
      </c>
      <c r="G830" s="1">
        <f>IFERROR(__xludf.DUMMYFUNCTION("""COMPUTED_VALUE"""),1.0)</f>
        <v>1</v>
      </c>
      <c r="H830" s="1">
        <f>IFERROR(__xludf.DUMMYFUNCTION("""COMPUTED_VALUE"""),835.0)</f>
        <v>835</v>
      </c>
      <c r="I830" s="1" t="str">
        <f>IFERROR(__xludf.DUMMYFUNCTION("""COMPUTED_VALUE"""),"นางสาว")</f>
        <v>นางสาว</v>
      </c>
      <c r="J830" s="1" t="str">
        <f>IFERROR(__xludf.DUMMYFUNCTION("""COMPUTED_VALUE"""),"จีรญาดา")</f>
        <v>จีรญาดา</v>
      </c>
      <c r="K830" s="1" t="str">
        <f>IFERROR(__xludf.DUMMYFUNCTION("""COMPUTED_VALUE"""),"ทองมีใย")</f>
        <v>ทองมีใย</v>
      </c>
      <c r="L830" s="1" t="str">
        <f>IFERROR(__xludf.DUMMYFUNCTION("""COMPUTED_VALUE"""),"ม.3")</f>
        <v>ม.3</v>
      </c>
      <c r="M830" s="1" t="str">
        <f>IFERROR(__xludf.DUMMYFUNCTION("""COMPUTED_VALUE"""),"ภาษาต่างประเทศ")</f>
        <v>ภาษาต่างประเทศ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>
        <f>IFERROR(__xludf.DUMMYFUNCTION("""COMPUTED_VALUE"""),7.0)</f>
        <v>7</v>
      </c>
      <c r="B831" s="1">
        <f>IFERROR(__xludf.DUMMYFUNCTION("""COMPUTED_VALUE"""),1.0)</f>
        <v>1</v>
      </c>
      <c r="C831" s="1" t="str">
        <f>IFERROR(__xludf.DUMMYFUNCTION("""COMPUTED_VALUE"""),"อ23101")</f>
        <v>อ23101</v>
      </c>
      <c r="D831" s="1" t="str">
        <f>IFERROR(__xludf.DUMMYFUNCTION("""COMPUTED_VALUE"""),"ภาษาอังกฤษ 5")</f>
        <v>ภาษาอังกฤษ 5</v>
      </c>
      <c r="E831" s="1">
        <f>IFERROR(__xludf.DUMMYFUNCTION("""COMPUTED_VALUE"""),1.5)</f>
        <v>1.5</v>
      </c>
      <c r="F831" s="1">
        <f>IFERROR(__xludf.DUMMYFUNCTION("""COMPUTED_VALUE"""),2569.0)</f>
        <v>2569</v>
      </c>
      <c r="G831" s="1">
        <f>IFERROR(__xludf.DUMMYFUNCTION("""COMPUTED_VALUE"""),1.0)</f>
        <v>1</v>
      </c>
      <c r="H831" s="1">
        <f>IFERROR(__xludf.DUMMYFUNCTION("""COMPUTED_VALUE"""),835.0)</f>
        <v>835</v>
      </c>
      <c r="I831" s="1" t="str">
        <f>IFERROR(__xludf.DUMMYFUNCTION("""COMPUTED_VALUE"""),"นางสาว")</f>
        <v>นางสาว</v>
      </c>
      <c r="J831" s="1" t="str">
        <f>IFERROR(__xludf.DUMMYFUNCTION("""COMPUTED_VALUE"""),"จีรญาดา")</f>
        <v>จีรญาดา</v>
      </c>
      <c r="K831" s="1" t="str">
        <f>IFERROR(__xludf.DUMMYFUNCTION("""COMPUTED_VALUE"""),"ทองมีใย")</f>
        <v>ทองมีใย</v>
      </c>
      <c r="L831" s="1" t="str">
        <f>IFERROR(__xludf.DUMMYFUNCTION("""COMPUTED_VALUE"""),"ม.3")</f>
        <v>ม.3</v>
      </c>
      <c r="M831" s="1" t="str">
        <f>IFERROR(__xludf.DUMMYFUNCTION("""COMPUTED_VALUE"""),"ภาษาต่างประเทศ")</f>
        <v>ภาษาต่างประเทศ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>
        <f>IFERROR(__xludf.DUMMYFUNCTION("""COMPUTED_VALUE"""),8.0)</f>
        <v>8</v>
      </c>
      <c r="B832" s="1">
        <f>IFERROR(__xludf.DUMMYFUNCTION("""COMPUTED_VALUE"""),1.0)</f>
        <v>1</v>
      </c>
      <c r="C832" s="1" t="str">
        <f>IFERROR(__xludf.DUMMYFUNCTION("""COMPUTED_VALUE"""),"อ23101")</f>
        <v>อ23101</v>
      </c>
      <c r="D832" s="1" t="str">
        <f>IFERROR(__xludf.DUMMYFUNCTION("""COMPUTED_VALUE"""),"ภาษาอังกฤษ 5")</f>
        <v>ภาษาอังกฤษ 5</v>
      </c>
      <c r="E832" s="1">
        <f>IFERROR(__xludf.DUMMYFUNCTION("""COMPUTED_VALUE"""),1.5)</f>
        <v>1.5</v>
      </c>
      <c r="F832" s="1">
        <f>IFERROR(__xludf.DUMMYFUNCTION("""COMPUTED_VALUE"""),2569.0)</f>
        <v>2569</v>
      </c>
      <c r="G832" s="1">
        <f>IFERROR(__xludf.DUMMYFUNCTION("""COMPUTED_VALUE"""),1.0)</f>
        <v>1</v>
      </c>
      <c r="H832" s="1">
        <f>IFERROR(__xludf.DUMMYFUNCTION("""COMPUTED_VALUE"""),835.0)</f>
        <v>835</v>
      </c>
      <c r="I832" s="1" t="str">
        <f>IFERROR(__xludf.DUMMYFUNCTION("""COMPUTED_VALUE"""),"นางสาว")</f>
        <v>นางสาว</v>
      </c>
      <c r="J832" s="1" t="str">
        <f>IFERROR(__xludf.DUMMYFUNCTION("""COMPUTED_VALUE"""),"จีรญาดา")</f>
        <v>จีรญาดา</v>
      </c>
      <c r="K832" s="1" t="str">
        <f>IFERROR(__xludf.DUMMYFUNCTION("""COMPUTED_VALUE"""),"ทองมีใย")</f>
        <v>ทองมีใย</v>
      </c>
      <c r="L832" s="1" t="str">
        <f>IFERROR(__xludf.DUMMYFUNCTION("""COMPUTED_VALUE"""),"ม.3")</f>
        <v>ม.3</v>
      </c>
      <c r="M832" s="1" t="str">
        <f>IFERROR(__xludf.DUMMYFUNCTION("""COMPUTED_VALUE"""),"ภาษาต่างประเทศ")</f>
        <v>ภาษาต่างประเทศ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>
        <f>IFERROR(__xludf.DUMMYFUNCTION("""COMPUTED_VALUE"""),2.0)</f>
        <v>2</v>
      </c>
      <c r="B833" s="1">
        <f>IFERROR(__xludf.DUMMYFUNCTION("""COMPUTED_VALUE"""),1.0)</f>
        <v>1</v>
      </c>
      <c r="C833" s="1" t="str">
        <f>IFERROR(__xludf.DUMMYFUNCTION("""COMPUTED_VALUE"""),"อ30223")</f>
        <v>อ30223</v>
      </c>
      <c r="D833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33" s="1">
        <f>IFERROR(__xludf.DUMMYFUNCTION("""COMPUTED_VALUE"""),1.0)</f>
        <v>1</v>
      </c>
      <c r="F833" s="1">
        <f>IFERROR(__xludf.DUMMYFUNCTION("""COMPUTED_VALUE"""),2569.0)</f>
        <v>2569</v>
      </c>
      <c r="G833" s="1">
        <f>IFERROR(__xludf.DUMMYFUNCTION("""COMPUTED_VALUE"""),1.0)</f>
        <v>1</v>
      </c>
      <c r="H833" s="1">
        <f>IFERROR(__xludf.DUMMYFUNCTION("""COMPUTED_VALUE"""),835.0)</f>
        <v>835</v>
      </c>
      <c r="I833" s="1" t="str">
        <f>IFERROR(__xludf.DUMMYFUNCTION("""COMPUTED_VALUE"""),"นางสาว")</f>
        <v>นางสาว</v>
      </c>
      <c r="J833" s="1" t="str">
        <f>IFERROR(__xludf.DUMMYFUNCTION("""COMPUTED_VALUE"""),"จีรญาดา")</f>
        <v>จีรญาดา</v>
      </c>
      <c r="K833" s="1" t="str">
        <f>IFERROR(__xludf.DUMMYFUNCTION("""COMPUTED_VALUE"""),"ทองมีใย")</f>
        <v>ทองมีใย</v>
      </c>
      <c r="L833" s="1" t="str">
        <f>IFERROR(__xludf.DUMMYFUNCTION("""COMPUTED_VALUE"""),"ม.4")</f>
        <v>ม.4</v>
      </c>
      <c r="M833" s="1" t="str">
        <f>IFERROR(__xludf.DUMMYFUNCTION("""COMPUTED_VALUE"""),"ภาษาต่างประเทศ")</f>
        <v>ภาษาต่างประเทศ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>
        <f>IFERROR(__xludf.DUMMYFUNCTION("""COMPUTED_VALUE"""),4.0)</f>
        <v>4</v>
      </c>
      <c r="B834" s="1">
        <f>IFERROR(__xludf.DUMMYFUNCTION("""COMPUTED_VALUE"""),1.0)</f>
        <v>1</v>
      </c>
      <c r="C834" s="1" t="str">
        <f>IFERROR(__xludf.DUMMYFUNCTION("""COMPUTED_VALUE"""),"อ30223")</f>
        <v>อ30223</v>
      </c>
      <c r="D834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34" s="1">
        <f>IFERROR(__xludf.DUMMYFUNCTION("""COMPUTED_VALUE"""),1.0)</f>
        <v>1</v>
      </c>
      <c r="F834" s="1">
        <f>IFERROR(__xludf.DUMMYFUNCTION("""COMPUTED_VALUE"""),2569.0)</f>
        <v>2569</v>
      </c>
      <c r="G834" s="1">
        <f>IFERROR(__xludf.DUMMYFUNCTION("""COMPUTED_VALUE"""),1.0)</f>
        <v>1</v>
      </c>
      <c r="H834" s="1">
        <f>IFERROR(__xludf.DUMMYFUNCTION("""COMPUTED_VALUE"""),835.0)</f>
        <v>835</v>
      </c>
      <c r="I834" s="1" t="str">
        <f>IFERROR(__xludf.DUMMYFUNCTION("""COMPUTED_VALUE"""),"นางสาว")</f>
        <v>นางสาว</v>
      </c>
      <c r="J834" s="1" t="str">
        <f>IFERROR(__xludf.DUMMYFUNCTION("""COMPUTED_VALUE"""),"จีรญาดา")</f>
        <v>จีรญาดา</v>
      </c>
      <c r="K834" s="1" t="str">
        <f>IFERROR(__xludf.DUMMYFUNCTION("""COMPUTED_VALUE"""),"ทองมีใย")</f>
        <v>ทองมีใย</v>
      </c>
      <c r="L834" s="1" t="str">
        <f>IFERROR(__xludf.DUMMYFUNCTION("""COMPUTED_VALUE"""),"ม.4")</f>
        <v>ม.4</v>
      </c>
      <c r="M834" s="1" t="str">
        <f>IFERROR(__xludf.DUMMYFUNCTION("""COMPUTED_VALUE"""),"ภาษาต่างประเทศ")</f>
        <v>ภาษาต่างประเทศ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>
        <f>IFERROR(__xludf.DUMMYFUNCTION("""COMPUTED_VALUE"""),6.0)</f>
        <v>6</v>
      </c>
      <c r="B835" s="1">
        <f>IFERROR(__xludf.DUMMYFUNCTION("""COMPUTED_VALUE"""),1.0)</f>
        <v>1</v>
      </c>
      <c r="C835" s="1" t="str">
        <f>IFERROR(__xludf.DUMMYFUNCTION("""COMPUTED_VALUE"""),"อ30223")</f>
        <v>อ30223</v>
      </c>
      <c r="D835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35" s="1">
        <f>IFERROR(__xludf.DUMMYFUNCTION("""COMPUTED_VALUE"""),1.0)</f>
        <v>1</v>
      </c>
      <c r="F835" s="1">
        <f>IFERROR(__xludf.DUMMYFUNCTION("""COMPUTED_VALUE"""),2569.0)</f>
        <v>2569</v>
      </c>
      <c r="G835" s="1">
        <f>IFERROR(__xludf.DUMMYFUNCTION("""COMPUTED_VALUE"""),1.0)</f>
        <v>1</v>
      </c>
      <c r="H835" s="1">
        <f>IFERROR(__xludf.DUMMYFUNCTION("""COMPUTED_VALUE"""),835.0)</f>
        <v>835</v>
      </c>
      <c r="I835" s="1" t="str">
        <f>IFERROR(__xludf.DUMMYFUNCTION("""COMPUTED_VALUE"""),"นางสาว")</f>
        <v>นางสาว</v>
      </c>
      <c r="J835" s="1" t="str">
        <f>IFERROR(__xludf.DUMMYFUNCTION("""COMPUTED_VALUE"""),"จีรญาดา")</f>
        <v>จีรญาดา</v>
      </c>
      <c r="K835" s="1" t="str">
        <f>IFERROR(__xludf.DUMMYFUNCTION("""COMPUTED_VALUE"""),"ทองมีใย")</f>
        <v>ทองมีใย</v>
      </c>
      <c r="L835" s="1" t="str">
        <f>IFERROR(__xludf.DUMMYFUNCTION("""COMPUTED_VALUE"""),"ม.4")</f>
        <v>ม.4</v>
      </c>
      <c r="M835" s="1" t="str">
        <f>IFERROR(__xludf.DUMMYFUNCTION("""COMPUTED_VALUE"""),"ภาษาต่างประเทศ")</f>
        <v>ภาษาต่างประเทศ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>
        <f>IFERROR(__xludf.DUMMYFUNCTION("""COMPUTED_VALUE"""),8.0)</f>
        <v>8</v>
      </c>
      <c r="B836" s="1">
        <f>IFERROR(__xludf.DUMMYFUNCTION("""COMPUTED_VALUE"""),1.0)</f>
        <v>1</v>
      </c>
      <c r="C836" s="1" t="str">
        <f>IFERROR(__xludf.DUMMYFUNCTION("""COMPUTED_VALUE"""),"อ30223")</f>
        <v>อ30223</v>
      </c>
      <c r="D836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36" s="1">
        <f>IFERROR(__xludf.DUMMYFUNCTION("""COMPUTED_VALUE"""),1.0)</f>
        <v>1</v>
      </c>
      <c r="F836" s="1">
        <f>IFERROR(__xludf.DUMMYFUNCTION("""COMPUTED_VALUE"""),2569.0)</f>
        <v>2569</v>
      </c>
      <c r="G836" s="1">
        <f>IFERROR(__xludf.DUMMYFUNCTION("""COMPUTED_VALUE"""),1.0)</f>
        <v>1</v>
      </c>
      <c r="H836" s="1">
        <f>IFERROR(__xludf.DUMMYFUNCTION("""COMPUTED_VALUE"""),835.0)</f>
        <v>835</v>
      </c>
      <c r="I836" s="1" t="str">
        <f>IFERROR(__xludf.DUMMYFUNCTION("""COMPUTED_VALUE"""),"นางสาว")</f>
        <v>นางสาว</v>
      </c>
      <c r="J836" s="1" t="str">
        <f>IFERROR(__xludf.DUMMYFUNCTION("""COMPUTED_VALUE"""),"จีรญาดา")</f>
        <v>จีรญาดา</v>
      </c>
      <c r="K836" s="1" t="str">
        <f>IFERROR(__xludf.DUMMYFUNCTION("""COMPUTED_VALUE"""),"ทองมีใย")</f>
        <v>ทองมีใย</v>
      </c>
      <c r="L836" s="1" t="str">
        <f>IFERROR(__xludf.DUMMYFUNCTION("""COMPUTED_VALUE"""),"ม.4")</f>
        <v>ม.4</v>
      </c>
      <c r="M836" s="1" t="str">
        <f>IFERROR(__xludf.DUMMYFUNCTION("""COMPUTED_VALUE"""),"ภาษาต่างประเทศ")</f>
        <v>ภาษาต่างประเทศ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>
        <f>IFERROR(__xludf.DUMMYFUNCTION("""COMPUTED_VALUE"""),5.0)</f>
        <v>5</v>
      </c>
      <c r="B837" s="1">
        <f>IFERROR(__xludf.DUMMYFUNCTION("""COMPUTED_VALUE"""),2.0)</f>
        <v>2</v>
      </c>
      <c r="C837" s="1" t="str">
        <f>IFERROR(__xludf.DUMMYFUNCTION("""COMPUTED_VALUE"""),"ส30247")</f>
        <v>ส30247</v>
      </c>
      <c r="D837" s="1" t="str">
        <f>IFERROR(__xludf.DUMMYFUNCTION("""COMPUTED_VALUE"""),"การป้องกันการทุจริต 1")</f>
        <v>การป้องกันการทุจริต 1</v>
      </c>
      <c r="E837" s="1">
        <f>IFERROR(__xludf.DUMMYFUNCTION("""COMPUTED_VALUE"""),0.5)</f>
        <v>0.5</v>
      </c>
      <c r="F837" s="1">
        <f>IFERROR(__xludf.DUMMYFUNCTION("""COMPUTED_VALUE"""),2569.0)</f>
        <v>2569</v>
      </c>
      <c r="G837" s="1">
        <f>IFERROR(__xludf.DUMMYFUNCTION("""COMPUTED_VALUE"""),1.0)</f>
        <v>1</v>
      </c>
      <c r="H837" s="1">
        <f>IFERROR(__xludf.DUMMYFUNCTION("""COMPUTED_VALUE"""),836.0)</f>
        <v>836</v>
      </c>
      <c r="I837" s="1" t="str">
        <f>IFERROR(__xludf.DUMMYFUNCTION("""COMPUTED_VALUE"""),"นาย")</f>
        <v>นาย</v>
      </c>
      <c r="J837" s="1" t="str">
        <f>IFERROR(__xludf.DUMMYFUNCTION("""COMPUTED_VALUE"""),"ฉัฐพิพัฒน์")</f>
        <v>ฉัฐพิพัฒน์</v>
      </c>
      <c r="K837" s="1" t="str">
        <f>IFERROR(__xludf.DUMMYFUNCTION("""COMPUTED_VALUE"""),"สืบเพ็ง")</f>
        <v>สืบเพ็ง</v>
      </c>
      <c r="L837" s="1" t="str">
        <f>IFERROR(__xludf.DUMMYFUNCTION("""COMPUTED_VALUE"""),"ม.4")</f>
        <v>ม.4</v>
      </c>
      <c r="M837" s="1" t="str">
        <f>IFERROR(__xludf.DUMMYFUNCTION("""COMPUTED_VALUE"""),"ภาษาต่างประเทศ")</f>
        <v>ภาษาต่างประเทศ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>
        <f>IFERROR(__xludf.DUMMYFUNCTION("""COMPUTED_VALUE"""),1.0)</f>
        <v>1</v>
      </c>
      <c r="B838" s="1">
        <f>IFERROR(__xludf.DUMMYFUNCTION("""COMPUTED_VALUE"""),1.0)</f>
        <v>1</v>
      </c>
      <c r="C838" s="1" t="str">
        <f>IFERROR(__xludf.DUMMYFUNCTION("""COMPUTED_VALUE"""),"อ32101")</f>
        <v>อ32101</v>
      </c>
      <c r="D838" s="1" t="str">
        <f>IFERROR(__xludf.DUMMYFUNCTION("""COMPUTED_VALUE"""),"ภาษาอังกฤษ 3")</f>
        <v>ภาษาอังกฤษ 3</v>
      </c>
      <c r="E838" s="1">
        <f>IFERROR(__xludf.DUMMYFUNCTION("""COMPUTED_VALUE"""),1.0)</f>
        <v>1</v>
      </c>
      <c r="F838" s="1">
        <f>IFERROR(__xludf.DUMMYFUNCTION("""COMPUTED_VALUE"""),2569.0)</f>
        <v>2569</v>
      </c>
      <c r="G838" s="1">
        <f>IFERROR(__xludf.DUMMYFUNCTION("""COMPUTED_VALUE"""),1.0)</f>
        <v>1</v>
      </c>
      <c r="H838" s="1">
        <f>IFERROR(__xludf.DUMMYFUNCTION("""COMPUTED_VALUE"""),836.0)</f>
        <v>836</v>
      </c>
      <c r="I838" s="1" t="str">
        <f>IFERROR(__xludf.DUMMYFUNCTION("""COMPUTED_VALUE"""),"นาย")</f>
        <v>นาย</v>
      </c>
      <c r="J838" s="1" t="str">
        <f>IFERROR(__xludf.DUMMYFUNCTION("""COMPUTED_VALUE"""),"ฉัฐพิพัฒน์")</f>
        <v>ฉัฐพิพัฒน์</v>
      </c>
      <c r="K838" s="1" t="str">
        <f>IFERROR(__xludf.DUMMYFUNCTION("""COMPUTED_VALUE"""),"สืบเพ็ง")</f>
        <v>สืบเพ็ง</v>
      </c>
      <c r="L838" s="1" t="str">
        <f>IFERROR(__xludf.DUMMYFUNCTION("""COMPUTED_VALUE"""),"ม.5")</f>
        <v>ม.5</v>
      </c>
      <c r="M838" s="1" t="str">
        <f>IFERROR(__xludf.DUMMYFUNCTION("""COMPUTED_VALUE"""),"ภาษาต่างประเทศ")</f>
        <v>ภาษาต่างประเทศ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>
        <f>IFERROR(__xludf.DUMMYFUNCTION("""COMPUTED_VALUE"""),2.0)</f>
        <v>2</v>
      </c>
      <c r="B839" s="1">
        <f>IFERROR(__xludf.DUMMYFUNCTION("""COMPUTED_VALUE"""),1.0)</f>
        <v>1</v>
      </c>
      <c r="C839" s="1" t="str">
        <f>IFERROR(__xludf.DUMMYFUNCTION("""COMPUTED_VALUE"""),"อ32101")</f>
        <v>อ32101</v>
      </c>
      <c r="D839" s="1" t="str">
        <f>IFERROR(__xludf.DUMMYFUNCTION("""COMPUTED_VALUE"""),"ภาษาอังกฤษ 3")</f>
        <v>ภาษาอังกฤษ 3</v>
      </c>
      <c r="E839" s="1">
        <f>IFERROR(__xludf.DUMMYFUNCTION("""COMPUTED_VALUE"""),1.0)</f>
        <v>1</v>
      </c>
      <c r="F839" s="1">
        <f>IFERROR(__xludf.DUMMYFUNCTION("""COMPUTED_VALUE"""),2569.0)</f>
        <v>2569</v>
      </c>
      <c r="G839" s="1">
        <f>IFERROR(__xludf.DUMMYFUNCTION("""COMPUTED_VALUE"""),1.0)</f>
        <v>1</v>
      </c>
      <c r="H839" s="1">
        <f>IFERROR(__xludf.DUMMYFUNCTION("""COMPUTED_VALUE"""),836.0)</f>
        <v>836</v>
      </c>
      <c r="I839" s="1" t="str">
        <f>IFERROR(__xludf.DUMMYFUNCTION("""COMPUTED_VALUE"""),"นาย")</f>
        <v>นาย</v>
      </c>
      <c r="J839" s="1" t="str">
        <f>IFERROR(__xludf.DUMMYFUNCTION("""COMPUTED_VALUE"""),"ฉัฐพิพัฒน์")</f>
        <v>ฉัฐพิพัฒน์</v>
      </c>
      <c r="K839" s="1" t="str">
        <f>IFERROR(__xludf.DUMMYFUNCTION("""COMPUTED_VALUE"""),"สืบเพ็ง")</f>
        <v>สืบเพ็ง</v>
      </c>
      <c r="L839" s="1" t="str">
        <f>IFERROR(__xludf.DUMMYFUNCTION("""COMPUTED_VALUE"""),"ม.5")</f>
        <v>ม.5</v>
      </c>
      <c r="M839" s="1" t="str">
        <f>IFERROR(__xludf.DUMMYFUNCTION("""COMPUTED_VALUE"""),"ภาษาต่างประเทศ")</f>
        <v>ภาษาต่างประเทศ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>
        <f>IFERROR(__xludf.DUMMYFUNCTION("""COMPUTED_VALUE"""),3.0)</f>
        <v>3</v>
      </c>
      <c r="B840" s="1">
        <f>IFERROR(__xludf.DUMMYFUNCTION("""COMPUTED_VALUE"""),1.0)</f>
        <v>1</v>
      </c>
      <c r="C840" s="1" t="str">
        <f>IFERROR(__xludf.DUMMYFUNCTION("""COMPUTED_VALUE"""),"อ32101")</f>
        <v>อ32101</v>
      </c>
      <c r="D840" s="1" t="str">
        <f>IFERROR(__xludf.DUMMYFUNCTION("""COMPUTED_VALUE"""),"ภาษาอังกฤษ 3")</f>
        <v>ภาษาอังกฤษ 3</v>
      </c>
      <c r="E840" s="1">
        <f>IFERROR(__xludf.DUMMYFUNCTION("""COMPUTED_VALUE"""),1.0)</f>
        <v>1</v>
      </c>
      <c r="F840" s="1">
        <f>IFERROR(__xludf.DUMMYFUNCTION("""COMPUTED_VALUE"""),2569.0)</f>
        <v>2569</v>
      </c>
      <c r="G840" s="1">
        <f>IFERROR(__xludf.DUMMYFUNCTION("""COMPUTED_VALUE"""),1.0)</f>
        <v>1</v>
      </c>
      <c r="H840" s="1">
        <f>IFERROR(__xludf.DUMMYFUNCTION("""COMPUTED_VALUE"""),836.0)</f>
        <v>836</v>
      </c>
      <c r="I840" s="1" t="str">
        <f>IFERROR(__xludf.DUMMYFUNCTION("""COMPUTED_VALUE"""),"นาย")</f>
        <v>นาย</v>
      </c>
      <c r="J840" s="1" t="str">
        <f>IFERROR(__xludf.DUMMYFUNCTION("""COMPUTED_VALUE"""),"ฉัฐพิพัฒน์")</f>
        <v>ฉัฐพิพัฒน์</v>
      </c>
      <c r="K840" s="1" t="str">
        <f>IFERROR(__xludf.DUMMYFUNCTION("""COMPUTED_VALUE"""),"สืบเพ็ง")</f>
        <v>สืบเพ็ง</v>
      </c>
      <c r="L840" s="1" t="str">
        <f>IFERROR(__xludf.DUMMYFUNCTION("""COMPUTED_VALUE"""),"ม.5")</f>
        <v>ม.5</v>
      </c>
      <c r="M840" s="1" t="str">
        <f>IFERROR(__xludf.DUMMYFUNCTION("""COMPUTED_VALUE"""),"ภาษาต่างประเทศ")</f>
        <v>ภาษาต่างประเทศ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>
        <f>IFERROR(__xludf.DUMMYFUNCTION("""COMPUTED_VALUE"""),7.0)</f>
        <v>7</v>
      </c>
      <c r="B841" s="1">
        <f>IFERROR(__xludf.DUMMYFUNCTION("""COMPUTED_VALUE"""),1.0)</f>
        <v>1</v>
      </c>
      <c r="C841" s="1" t="str">
        <f>IFERROR(__xludf.DUMMYFUNCTION("""COMPUTED_VALUE"""),"อ32101")</f>
        <v>อ32101</v>
      </c>
      <c r="D841" s="1" t="str">
        <f>IFERROR(__xludf.DUMMYFUNCTION("""COMPUTED_VALUE"""),"ภาษาอังกฤษ 3")</f>
        <v>ภาษาอังกฤษ 3</v>
      </c>
      <c r="E841" s="1">
        <f>IFERROR(__xludf.DUMMYFUNCTION("""COMPUTED_VALUE"""),1.0)</f>
        <v>1</v>
      </c>
      <c r="F841" s="1">
        <f>IFERROR(__xludf.DUMMYFUNCTION("""COMPUTED_VALUE"""),2569.0)</f>
        <v>2569</v>
      </c>
      <c r="G841" s="1">
        <f>IFERROR(__xludf.DUMMYFUNCTION("""COMPUTED_VALUE"""),1.0)</f>
        <v>1</v>
      </c>
      <c r="H841" s="1">
        <f>IFERROR(__xludf.DUMMYFUNCTION("""COMPUTED_VALUE"""),836.0)</f>
        <v>836</v>
      </c>
      <c r="I841" s="1" t="str">
        <f>IFERROR(__xludf.DUMMYFUNCTION("""COMPUTED_VALUE"""),"นาย")</f>
        <v>นาย</v>
      </c>
      <c r="J841" s="1" t="str">
        <f>IFERROR(__xludf.DUMMYFUNCTION("""COMPUTED_VALUE"""),"ฉัฐพิพัฒน์")</f>
        <v>ฉัฐพิพัฒน์</v>
      </c>
      <c r="K841" s="1" t="str">
        <f>IFERROR(__xludf.DUMMYFUNCTION("""COMPUTED_VALUE"""),"สืบเพ็ง")</f>
        <v>สืบเพ็ง</v>
      </c>
      <c r="L841" s="1" t="str">
        <f>IFERROR(__xludf.DUMMYFUNCTION("""COMPUTED_VALUE"""),"ม.5")</f>
        <v>ม.5</v>
      </c>
      <c r="M841" s="1" t="str">
        <f>IFERROR(__xludf.DUMMYFUNCTION("""COMPUTED_VALUE"""),"ภาษาต่างประเทศ")</f>
        <v>ภาษาต่างประเทศ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>
        <f>IFERROR(__xludf.DUMMYFUNCTION("""COMPUTED_VALUE"""),8.0)</f>
        <v>8</v>
      </c>
      <c r="B842" s="1">
        <f>IFERROR(__xludf.DUMMYFUNCTION("""COMPUTED_VALUE"""),1.0)</f>
        <v>1</v>
      </c>
      <c r="C842" s="1" t="str">
        <f>IFERROR(__xludf.DUMMYFUNCTION("""COMPUTED_VALUE"""),"อ32101")</f>
        <v>อ32101</v>
      </c>
      <c r="D842" s="1" t="str">
        <f>IFERROR(__xludf.DUMMYFUNCTION("""COMPUTED_VALUE"""),"ภาษาอังกฤษ 3")</f>
        <v>ภาษาอังกฤษ 3</v>
      </c>
      <c r="E842" s="1">
        <f>IFERROR(__xludf.DUMMYFUNCTION("""COMPUTED_VALUE"""),1.0)</f>
        <v>1</v>
      </c>
      <c r="F842" s="1">
        <f>IFERROR(__xludf.DUMMYFUNCTION("""COMPUTED_VALUE"""),2569.0)</f>
        <v>2569</v>
      </c>
      <c r="G842" s="1">
        <f>IFERROR(__xludf.DUMMYFUNCTION("""COMPUTED_VALUE"""),1.0)</f>
        <v>1</v>
      </c>
      <c r="H842" s="1">
        <f>IFERROR(__xludf.DUMMYFUNCTION("""COMPUTED_VALUE"""),836.0)</f>
        <v>836</v>
      </c>
      <c r="I842" s="1" t="str">
        <f>IFERROR(__xludf.DUMMYFUNCTION("""COMPUTED_VALUE"""),"นาย")</f>
        <v>นาย</v>
      </c>
      <c r="J842" s="1" t="str">
        <f>IFERROR(__xludf.DUMMYFUNCTION("""COMPUTED_VALUE"""),"ฉัฐพิพัฒน์")</f>
        <v>ฉัฐพิพัฒน์</v>
      </c>
      <c r="K842" s="1" t="str">
        <f>IFERROR(__xludf.DUMMYFUNCTION("""COMPUTED_VALUE"""),"สืบเพ็ง")</f>
        <v>สืบเพ็ง</v>
      </c>
      <c r="L842" s="1" t="str">
        <f>IFERROR(__xludf.DUMMYFUNCTION("""COMPUTED_VALUE"""),"ม.5")</f>
        <v>ม.5</v>
      </c>
      <c r="M842" s="1" t="str">
        <f>IFERROR(__xludf.DUMMYFUNCTION("""COMPUTED_VALUE"""),"ภาษาต่างประเทศ")</f>
        <v>ภาษาต่างประเทศ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>
        <f>IFERROR(__xludf.DUMMYFUNCTION("""COMPUTED_VALUE"""),4.0)</f>
        <v>4</v>
      </c>
      <c r="B843" s="1">
        <f>IFERROR(__xludf.DUMMYFUNCTION("""COMPUTED_VALUE"""),1.0)</f>
        <v>1</v>
      </c>
      <c r="C843" s="1" t="str">
        <f>IFERROR(__xludf.DUMMYFUNCTION("""COMPUTED_VALUE"""),"ส20223")</f>
        <v>ส20223</v>
      </c>
      <c r="D843" s="1" t="str">
        <f>IFERROR(__xludf.DUMMYFUNCTION("""COMPUTED_VALUE"""),"การป้องกันการทุจริต 1")</f>
        <v>การป้องกันการทุจริต 1</v>
      </c>
      <c r="E843" s="1">
        <f>IFERROR(__xludf.DUMMYFUNCTION("""COMPUTED_VALUE"""),0.5)</f>
        <v>0.5</v>
      </c>
      <c r="F843" s="1">
        <f>IFERROR(__xludf.DUMMYFUNCTION("""COMPUTED_VALUE"""),2569.0)</f>
        <v>2569</v>
      </c>
      <c r="G843" s="1">
        <f>IFERROR(__xludf.DUMMYFUNCTION("""COMPUTED_VALUE"""),1.0)</f>
        <v>1</v>
      </c>
      <c r="H843" s="1">
        <f>IFERROR(__xludf.DUMMYFUNCTION("""COMPUTED_VALUE"""),837.0)</f>
        <v>837</v>
      </c>
      <c r="I843" s="1" t="str">
        <f>IFERROR(__xludf.DUMMYFUNCTION("""COMPUTED_VALUE"""),"นางสาว")</f>
        <v>นางสาว</v>
      </c>
      <c r="J843" s="1" t="str">
        <f>IFERROR(__xludf.DUMMYFUNCTION("""COMPUTED_VALUE"""),"อุไรวรรณ")</f>
        <v>อุไรวรรณ</v>
      </c>
      <c r="K843" s="1" t="str">
        <f>IFERROR(__xludf.DUMMYFUNCTION("""COMPUTED_VALUE"""),"วันดี")</f>
        <v>วันดี</v>
      </c>
      <c r="L843" s="1" t="str">
        <f>IFERROR(__xludf.DUMMYFUNCTION("""COMPUTED_VALUE"""),"ม.1")</f>
        <v>ม.1</v>
      </c>
      <c r="M843" s="1" t="str">
        <f>IFERROR(__xludf.DUMMYFUNCTION("""COMPUTED_VALUE"""),"ภาษาต่างประเทศ")</f>
        <v>ภาษาต่างประเทศ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>
        <f>IFERROR(__xludf.DUMMYFUNCTION("""COMPUTED_VALUE"""),1.0)</f>
        <v>1</v>
      </c>
      <c r="B844" s="1">
        <f>IFERROR(__xludf.DUMMYFUNCTION("""COMPUTED_VALUE"""),1.0)</f>
        <v>1</v>
      </c>
      <c r="C844" s="1" t="str">
        <f>IFERROR(__xludf.DUMMYFUNCTION("""COMPUTED_VALUE"""),"อ21101")</f>
        <v>อ21101</v>
      </c>
      <c r="D844" s="1" t="str">
        <f>IFERROR(__xludf.DUMMYFUNCTION("""COMPUTED_VALUE"""),"ภาษาอังกฤษ 1")</f>
        <v>ภาษาอังกฤษ 1</v>
      </c>
      <c r="E844" s="1">
        <f>IFERROR(__xludf.DUMMYFUNCTION("""COMPUTED_VALUE"""),1.5)</f>
        <v>1.5</v>
      </c>
      <c r="F844" s="1">
        <f>IFERROR(__xludf.DUMMYFUNCTION("""COMPUTED_VALUE"""),2569.0)</f>
        <v>2569</v>
      </c>
      <c r="G844" s="1">
        <f>IFERROR(__xludf.DUMMYFUNCTION("""COMPUTED_VALUE"""),1.0)</f>
        <v>1</v>
      </c>
      <c r="H844" s="1">
        <f>IFERROR(__xludf.DUMMYFUNCTION("""COMPUTED_VALUE"""),837.0)</f>
        <v>837</v>
      </c>
      <c r="I844" s="1" t="str">
        <f>IFERROR(__xludf.DUMMYFUNCTION("""COMPUTED_VALUE"""),"นางสาว")</f>
        <v>นางสาว</v>
      </c>
      <c r="J844" s="1" t="str">
        <f>IFERROR(__xludf.DUMMYFUNCTION("""COMPUTED_VALUE"""),"อุไรวรรณ")</f>
        <v>อุไรวรรณ</v>
      </c>
      <c r="K844" s="1" t="str">
        <f>IFERROR(__xludf.DUMMYFUNCTION("""COMPUTED_VALUE"""),"วันดี")</f>
        <v>วันดี</v>
      </c>
      <c r="L844" s="1" t="str">
        <f>IFERROR(__xludf.DUMMYFUNCTION("""COMPUTED_VALUE"""),"ม.1")</f>
        <v>ม.1</v>
      </c>
      <c r="M844" s="1" t="str">
        <f>IFERROR(__xludf.DUMMYFUNCTION("""COMPUTED_VALUE"""),"ภาษาต่างประเทศ")</f>
        <v>ภาษาต่างประเทศ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>
        <f>IFERROR(__xludf.DUMMYFUNCTION("""COMPUTED_VALUE"""),3.0)</f>
        <v>3</v>
      </c>
      <c r="B845" s="1">
        <f>IFERROR(__xludf.DUMMYFUNCTION("""COMPUTED_VALUE"""),1.0)</f>
        <v>1</v>
      </c>
      <c r="C845" s="1" t="str">
        <f>IFERROR(__xludf.DUMMYFUNCTION("""COMPUTED_VALUE"""),"อ21101")</f>
        <v>อ21101</v>
      </c>
      <c r="D845" s="1" t="str">
        <f>IFERROR(__xludf.DUMMYFUNCTION("""COMPUTED_VALUE"""),"ภาษาอังกฤษ 1")</f>
        <v>ภาษาอังกฤษ 1</v>
      </c>
      <c r="E845" s="1">
        <f>IFERROR(__xludf.DUMMYFUNCTION("""COMPUTED_VALUE"""),1.5)</f>
        <v>1.5</v>
      </c>
      <c r="F845" s="1">
        <f>IFERROR(__xludf.DUMMYFUNCTION("""COMPUTED_VALUE"""),2569.0)</f>
        <v>2569</v>
      </c>
      <c r="G845" s="1">
        <f>IFERROR(__xludf.DUMMYFUNCTION("""COMPUTED_VALUE"""),1.0)</f>
        <v>1</v>
      </c>
      <c r="H845" s="1">
        <f>IFERROR(__xludf.DUMMYFUNCTION("""COMPUTED_VALUE"""),837.0)</f>
        <v>837</v>
      </c>
      <c r="I845" s="1" t="str">
        <f>IFERROR(__xludf.DUMMYFUNCTION("""COMPUTED_VALUE"""),"นางสาว")</f>
        <v>นางสาว</v>
      </c>
      <c r="J845" s="1" t="str">
        <f>IFERROR(__xludf.DUMMYFUNCTION("""COMPUTED_VALUE"""),"อุไรวรรณ")</f>
        <v>อุไรวรรณ</v>
      </c>
      <c r="K845" s="1" t="str">
        <f>IFERROR(__xludf.DUMMYFUNCTION("""COMPUTED_VALUE"""),"วันดี")</f>
        <v>วันดี</v>
      </c>
      <c r="L845" s="1" t="str">
        <f>IFERROR(__xludf.DUMMYFUNCTION("""COMPUTED_VALUE"""),"ม.1")</f>
        <v>ม.1</v>
      </c>
      <c r="M845" s="1" t="str">
        <f>IFERROR(__xludf.DUMMYFUNCTION("""COMPUTED_VALUE"""),"ภาษาต่างประเทศ")</f>
        <v>ภาษาต่างประเทศ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>
        <f>IFERROR(__xludf.DUMMYFUNCTION("""COMPUTED_VALUE"""),5.0)</f>
        <v>5</v>
      </c>
      <c r="B846" s="1">
        <f>IFERROR(__xludf.DUMMYFUNCTION("""COMPUTED_VALUE"""),1.0)</f>
        <v>1</v>
      </c>
      <c r="C846" s="1" t="str">
        <f>IFERROR(__xludf.DUMMYFUNCTION("""COMPUTED_VALUE"""),"อ21101")</f>
        <v>อ21101</v>
      </c>
      <c r="D846" s="1" t="str">
        <f>IFERROR(__xludf.DUMMYFUNCTION("""COMPUTED_VALUE"""),"ภาษาอังกฤษ 1")</f>
        <v>ภาษาอังกฤษ 1</v>
      </c>
      <c r="E846" s="1">
        <f>IFERROR(__xludf.DUMMYFUNCTION("""COMPUTED_VALUE"""),1.5)</f>
        <v>1.5</v>
      </c>
      <c r="F846" s="1">
        <f>IFERROR(__xludf.DUMMYFUNCTION("""COMPUTED_VALUE"""),2569.0)</f>
        <v>2569</v>
      </c>
      <c r="G846" s="1">
        <f>IFERROR(__xludf.DUMMYFUNCTION("""COMPUTED_VALUE"""),1.0)</f>
        <v>1</v>
      </c>
      <c r="H846" s="1">
        <f>IFERROR(__xludf.DUMMYFUNCTION("""COMPUTED_VALUE"""),837.0)</f>
        <v>837</v>
      </c>
      <c r="I846" s="1" t="str">
        <f>IFERROR(__xludf.DUMMYFUNCTION("""COMPUTED_VALUE"""),"นางสาว")</f>
        <v>นางสาว</v>
      </c>
      <c r="J846" s="1" t="str">
        <f>IFERROR(__xludf.DUMMYFUNCTION("""COMPUTED_VALUE"""),"อุไรวรรณ")</f>
        <v>อุไรวรรณ</v>
      </c>
      <c r="K846" s="1" t="str">
        <f>IFERROR(__xludf.DUMMYFUNCTION("""COMPUTED_VALUE"""),"วันดี")</f>
        <v>วันดี</v>
      </c>
      <c r="L846" s="1" t="str">
        <f>IFERROR(__xludf.DUMMYFUNCTION("""COMPUTED_VALUE"""),"ม.1")</f>
        <v>ม.1</v>
      </c>
      <c r="M846" s="1" t="str">
        <f>IFERROR(__xludf.DUMMYFUNCTION("""COMPUTED_VALUE"""),"ภาษาต่างประเทศ")</f>
        <v>ภาษาต่างประเทศ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>
        <f>IFERROR(__xludf.DUMMYFUNCTION("""COMPUTED_VALUE"""),2.0)</f>
        <v>2</v>
      </c>
      <c r="B847" s="1">
        <f>IFERROR(__xludf.DUMMYFUNCTION("""COMPUTED_VALUE"""),1.0)</f>
        <v>1</v>
      </c>
      <c r="C847" s="1" t="str">
        <f>IFERROR(__xludf.DUMMYFUNCTION("""COMPUTED_VALUE"""),"อ30227")</f>
        <v>อ30227</v>
      </c>
      <c r="D847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47" s="1">
        <f>IFERROR(__xludf.DUMMYFUNCTION("""COMPUTED_VALUE"""),1.0)</f>
        <v>1</v>
      </c>
      <c r="F847" s="1">
        <f>IFERROR(__xludf.DUMMYFUNCTION("""COMPUTED_VALUE"""),2569.0)</f>
        <v>2569</v>
      </c>
      <c r="G847" s="1">
        <f>IFERROR(__xludf.DUMMYFUNCTION("""COMPUTED_VALUE"""),1.0)</f>
        <v>1</v>
      </c>
      <c r="H847" s="1">
        <f>IFERROR(__xludf.DUMMYFUNCTION("""COMPUTED_VALUE"""),837.0)</f>
        <v>837</v>
      </c>
      <c r="I847" s="1" t="str">
        <f>IFERROR(__xludf.DUMMYFUNCTION("""COMPUTED_VALUE"""),"นางสาว")</f>
        <v>นางสาว</v>
      </c>
      <c r="J847" s="1" t="str">
        <f>IFERROR(__xludf.DUMMYFUNCTION("""COMPUTED_VALUE"""),"อุไรวรรณ")</f>
        <v>อุไรวรรณ</v>
      </c>
      <c r="K847" s="1" t="str">
        <f>IFERROR(__xludf.DUMMYFUNCTION("""COMPUTED_VALUE"""),"วันดี")</f>
        <v>วันดี</v>
      </c>
      <c r="L847" s="1" t="str">
        <f>IFERROR(__xludf.DUMMYFUNCTION("""COMPUTED_VALUE"""),"ม.6")</f>
        <v>ม.6</v>
      </c>
      <c r="M847" s="1" t="str">
        <f>IFERROR(__xludf.DUMMYFUNCTION("""COMPUTED_VALUE"""),"ภาษาต่างประเทศ")</f>
        <v>ภาษาต่างประเทศ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>
        <f>IFERROR(__xludf.DUMMYFUNCTION("""COMPUTED_VALUE"""),3.0)</f>
        <v>3</v>
      </c>
      <c r="B848" s="1">
        <f>IFERROR(__xludf.DUMMYFUNCTION("""COMPUTED_VALUE"""),1.0)</f>
        <v>1</v>
      </c>
      <c r="C848" s="1" t="str">
        <f>IFERROR(__xludf.DUMMYFUNCTION("""COMPUTED_VALUE"""),"อ30227")</f>
        <v>อ30227</v>
      </c>
      <c r="D848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48" s="1">
        <f>IFERROR(__xludf.DUMMYFUNCTION("""COMPUTED_VALUE"""),1.0)</f>
        <v>1</v>
      </c>
      <c r="F848" s="1">
        <f>IFERROR(__xludf.DUMMYFUNCTION("""COMPUTED_VALUE"""),2569.0)</f>
        <v>2569</v>
      </c>
      <c r="G848" s="1">
        <f>IFERROR(__xludf.DUMMYFUNCTION("""COMPUTED_VALUE"""),1.0)</f>
        <v>1</v>
      </c>
      <c r="H848" s="1">
        <f>IFERROR(__xludf.DUMMYFUNCTION("""COMPUTED_VALUE"""),837.0)</f>
        <v>837</v>
      </c>
      <c r="I848" s="1" t="str">
        <f>IFERROR(__xludf.DUMMYFUNCTION("""COMPUTED_VALUE"""),"นางสาว")</f>
        <v>นางสาว</v>
      </c>
      <c r="J848" s="1" t="str">
        <f>IFERROR(__xludf.DUMMYFUNCTION("""COMPUTED_VALUE"""),"อุไรวรรณ")</f>
        <v>อุไรวรรณ</v>
      </c>
      <c r="K848" s="1" t="str">
        <f>IFERROR(__xludf.DUMMYFUNCTION("""COMPUTED_VALUE"""),"วันดี")</f>
        <v>วันดี</v>
      </c>
      <c r="L848" s="1" t="str">
        <f>IFERROR(__xludf.DUMMYFUNCTION("""COMPUTED_VALUE"""),"ม.6")</f>
        <v>ม.6</v>
      </c>
      <c r="M848" s="1" t="str">
        <f>IFERROR(__xludf.DUMMYFUNCTION("""COMPUTED_VALUE"""),"ภาษาต่างประเทศ")</f>
        <v>ภาษาต่างประเทศ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>
        <f>IFERROR(__xludf.DUMMYFUNCTION("""COMPUTED_VALUE"""),4.0)</f>
        <v>4</v>
      </c>
      <c r="B849" s="1">
        <f>IFERROR(__xludf.DUMMYFUNCTION("""COMPUTED_VALUE"""),1.0)</f>
        <v>1</v>
      </c>
      <c r="C849" s="1" t="str">
        <f>IFERROR(__xludf.DUMMYFUNCTION("""COMPUTED_VALUE"""),"อ30227")</f>
        <v>อ30227</v>
      </c>
      <c r="D849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49" s="1">
        <f>IFERROR(__xludf.DUMMYFUNCTION("""COMPUTED_VALUE"""),1.0)</f>
        <v>1</v>
      </c>
      <c r="F849" s="1">
        <f>IFERROR(__xludf.DUMMYFUNCTION("""COMPUTED_VALUE"""),2569.0)</f>
        <v>2569</v>
      </c>
      <c r="G849" s="1">
        <f>IFERROR(__xludf.DUMMYFUNCTION("""COMPUTED_VALUE"""),1.0)</f>
        <v>1</v>
      </c>
      <c r="H849" s="1">
        <f>IFERROR(__xludf.DUMMYFUNCTION("""COMPUTED_VALUE"""),837.0)</f>
        <v>837</v>
      </c>
      <c r="I849" s="1" t="str">
        <f>IFERROR(__xludf.DUMMYFUNCTION("""COMPUTED_VALUE"""),"นางสาว")</f>
        <v>นางสาว</v>
      </c>
      <c r="J849" s="1" t="str">
        <f>IFERROR(__xludf.DUMMYFUNCTION("""COMPUTED_VALUE"""),"อุไรวรรณ")</f>
        <v>อุไรวรรณ</v>
      </c>
      <c r="K849" s="1" t="str">
        <f>IFERROR(__xludf.DUMMYFUNCTION("""COMPUTED_VALUE"""),"วันดี")</f>
        <v>วันดี</v>
      </c>
      <c r="L849" s="1" t="str">
        <f>IFERROR(__xludf.DUMMYFUNCTION("""COMPUTED_VALUE"""),"ม.6")</f>
        <v>ม.6</v>
      </c>
      <c r="M849" s="1" t="str">
        <f>IFERROR(__xludf.DUMMYFUNCTION("""COMPUTED_VALUE"""),"ภาษาต่างประเทศ")</f>
        <v>ภาษาต่างประเทศ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>
        <f>IFERROR(__xludf.DUMMYFUNCTION("""COMPUTED_VALUE"""),5.0)</f>
        <v>5</v>
      </c>
      <c r="B850" s="1">
        <f>IFERROR(__xludf.DUMMYFUNCTION("""COMPUTED_VALUE"""),1.0)</f>
        <v>1</v>
      </c>
      <c r="C850" s="1" t="str">
        <f>IFERROR(__xludf.DUMMYFUNCTION("""COMPUTED_VALUE"""),"อ30227")</f>
        <v>อ30227</v>
      </c>
      <c r="D850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0" s="1">
        <f>IFERROR(__xludf.DUMMYFUNCTION("""COMPUTED_VALUE"""),1.0)</f>
        <v>1</v>
      </c>
      <c r="F850" s="1">
        <f>IFERROR(__xludf.DUMMYFUNCTION("""COMPUTED_VALUE"""),2569.0)</f>
        <v>2569</v>
      </c>
      <c r="G850" s="1">
        <f>IFERROR(__xludf.DUMMYFUNCTION("""COMPUTED_VALUE"""),1.0)</f>
        <v>1</v>
      </c>
      <c r="H850" s="1">
        <f>IFERROR(__xludf.DUMMYFUNCTION("""COMPUTED_VALUE"""),837.0)</f>
        <v>837</v>
      </c>
      <c r="I850" s="1" t="str">
        <f>IFERROR(__xludf.DUMMYFUNCTION("""COMPUTED_VALUE"""),"นางสาว")</f>
        <v>นางสาว</v>
      </c>
      <c r="J850" s="1" t="str">
        <f>IFERROR(__xludf.DUMMYFUNCTION("""COMPUTED_VALUE"""),"อุไรวรรณ")</f>
        <v>อุไรวรรณ</v>
      </c>
      <c r="K850" s="1" t="str">
        <f>IFERROR(__xludf.DUMMYFUNCTION("""COMPUTED_VALUE"""),"วันดี")</f>
        <v>วันดี</v>
      </c>
      <c r="L850" s="1" t="str">
        <f>IFERROR(__xludf.DUMMYFUNCTION("""COMPUTED_VALUE"""),"ม.6")</f>
        <v>ม.6</v>
      </c>
      <c r="M850" s="1" t="str">
        <f>IFERROR(__xludf.DUMMYFUNCTION("""COMPUTED_VALUE"""),"ภาษาต่างประเทศ")</f>
        <v>ภาษาต่างประเทศ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>
        <f>IFERROR(__xludf.DUMMYFUNCTION("""COMPUTED_VALUE"""),6.0)</f>
        <v>6</v>
      </c>
      <c r="B851" s="1">
        <f>IFERROR(__xludf.DUMMYFUNCTION("""COMPUTED_VALUE"""),1.0)</f>
        <v>1</v>
      </c>
      <c r="C851" s="1" t="str">
        <f>IFERROR(__xludf.DUMMYFUNCTION("""COMPUTED_VALUE"""),"อ30227")</f>
        <v>อ30227</v>
      </c>
      <c r="D851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1" s="1">
        <f>IFERROR(__xludf.DUMMYFUNCTION("""COMPUTED_VALUE"""),1.0)</f>
        <v>1</v>
      </c>
      <c r="F851" s="1">
        <f>IFERROR(__xludf.DUMMYFUNCTION("""COMPUTED_VALUE"""),2569.0)</f>
        <v>2569</v>
      </c>
      <c r="G851" s="1">
        <f>IFERROR(__xludf.DUMMYFUNCTION("""COMPUTED_VALUE"""),1.0)</f>
        <v>1</v>
      </c>
      <c r="H851" s="1">
        <f>IFERROR(__xludf.DUMMYFUNCTION("""COMPUTED_VALUE"""),837.0)</f>
        <v>837</v>
      </c>
      <c r="I851" s="1" t="str">
        <f>IFERROR(__xludf.DUMMYFUNCTION("""COMPUTED_VALUE"""),"นางสาว")</f>
        <v>นางสาว</v>
      </c>
      <c r="J851" s="1" t="str">
        <f>IFERROR(__xludf.DUMMYFUNCTION("""COMPUTED_VALUE"""),"อุไรวรรณ")</f>
        <v>อุไรวรรณ</v>
      </c>
      <c r="K851" s="1" t="str">
        <f>IFERROR(__xludf.DUMMYFUNCTION("""COMPUTED_VALUE"""),"วันดี")</f>
        <v>วันดี</v>
      </c>
      <c r="L851" s="1" t="str">
        <f>IFERROR(__xludf.DUMMYFUNCTION("""COMPUTED_VALUE"""),"ม.6")</f>
        <v>ม.6</v>
      </c>
      <c r="M851" s="1" t="str">
        <f>IFERROR(__xludf.DUMMYFUNCTION("""COMPUTED_VALUE"""),"ภาษาต่างประเทศ")</f>
        <v>ภาษาต่างประเทศ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>
        <f>IFERROR(__xludf.DUMMYFUNCTION("""COMPUTED_VALUE"""),7.0)</f>
        <v>7</v>
      </c>
      <c r="B852" s="1">
        <f>IFERROR(__xludf.DUMMYFUNCTION("""COMPUTED_VALUE"""),1.0)</f>
        <v>1</v>
      </c>
      <c r="C852" s="1" t="str">
        <f>IFERROR(__xludf.DUMMYFUNCTION("""COMPUTED_VALUE"""),"อ30227")</f>
        <v>อ30227</v>
      </c>
      <c r="D852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2" s="1">
        <f>IFERROR(__xludf.DUMMYFUNCTION("""COMPUTED_VALUE"""),1.0)</f>
        <v>1</v>
      </c>
      <c r="F852" s="1">
        <f>IFERROR(__xludf.DUMMYFUNCTION("""COMPUTED_VALUE"""),2569.0)</f>
        <v>2569</v>
      </c>
      <c r="G852" s="1">
        <f>IFERROR(__xludf.DUMMYFUNCTION("""COMPUTED_VALUE"""),1.0)</f>
        <v>1</v>
      </c>
      <c r="H852" s="1">
        <f>IFERROR(__xludf.DUMMYFUNCTION("""COMPUTED_VALUE"""),837.0)</f>
        <v>837</v>
      </c>
      <c r="I852" s="1" t="str">
        <f>IFERROR(__xludf.DUMMYFUNCTION("""COMPUTED_VALUE"""),"นางสาว")</f>
        <v>นางสาว</v>
      </c>
      <c r="J852" s="1" t="str">
        <f>IFERROR(__xludf.DUMMYFUNCTION("""COMPUTED_VALUE"""),"อุไรวรรณ")</f>
        <v>อุไรวรรณ</v>
      </c>
      <c r="K852" s="1" t="str">
        <f>IFERROR(__xludf.DUMMYFUNCTION("""COMPUTED_VALUE"""),"วันดี")</f>
        <v>วันดี</v>
      </c>
      <c r="L852" s="1" t="str">
        <f>IFERROR(__xludf.DUMMYFUNCTION("""COMPUTED_VALUE"""),"ม.6")</f>
        <v>ม.6</v>
      </c>
      <c r="M852" s="1" t="str">
        <f>IFERROR(__xludf.DUMMYFUNCTION("""COMPUTED_VALUE"""),"ภาษาต่างประเทศ")</f>
        <v>ภาษาต่างประเทศ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>
        <f>IFERROR(__xludf.DUMMYFUNCTION("""COMPUTED_VALUE"""),8.0)</f>
        <v>8</v>
      </c>
      <c r="B853" s="1">
        <f>IFERROR(__xludf.DUMMYFUNCTION("""COMPUTED_VALUE"""),1.0)</f>
        <v>1</v>
      </c>
      <c r="C853" s="1" t="str">
        <f>IFERROR(__xludf.DUMMYFUNCTION("""COMPUTED_VALUE"""),"อ30227")</f>
        <v>อ30227</v>
      </c>
      <c r="D853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3" s="1">
        <f>IFERROR(__xludf.DUMMYFUNCTION("""COMPUTED_VALUE"""),1.0)</f>
        <v>1</v>
      </c>
      <c r="F853" s="1">
        <f>IFERROR(__xludf.DUMMYFUNCTION("""COMPUTED_VALUE"""),2569.0)</f>
        <v>2569</v>
      </c>
      <c r="G853" s="1">
        <f>IFERROR(__xludf.DUMMYFUNCTION("""COMPUTED_VALUE"""),1.0)</f>
        <v>1</v>
      </c>
      <c r="H853" s="1">
        <f>IFERROR(__xludf.DUMMYFUNCTION("""COMPUTED_VALUE"""),837.0)</f>
        <v>837</v>
      </c>
      <c r="I853" s="1" t="str">
        <f>IFERROR(__xludf.DUMMYFUNCTION("""COMPUTED_VALUE"""),"นางสาว")</f>
        <v>นางสาว</v>
      </c>
      <c r="J853" s="1" t="str">
        <f>IFERROR(__xludf.DUMMYFUNCTION("""COMPUTED_VALUE"""),"อุไรวรรณ")</f>
        <v>อุไรวรรณ</v>
      </c>
      <c r="K853" s="1" t="str">
        <f>IFERROR(__xludf.DUMMYFUNCTION("""COMPUTED_VALUE"""),"วันดี")</f>
        <v>วันดี</v>
      </c>
      <c r="L853" s="1" t="str">
        <f>IFERROR(__xludf.DUMMYFUNCTION("""COMPUTED_VALUE"""),"ม.6")</f>
        <v>ม.6</v>
      </c>
      <c r="M853" s="1" t="str">
        <f>IFERROR(__xludf.DUMMYFUNCTION("""COMPUTED_VALUE"""),"ภาษาต่างประเทศ")</f>
        <v>ภาษาต่างประเทศ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>
        <f>IFERROR(__xludf.DUMMYFUNCTION("""COMPUTED_VALUE"""),9.0)</f>
        <v>9</v>
      </c>
      <c r="B854" s="1">
        <f>IFERROR(__xludf.DUMMYFUNCTION("""COMPUTED_VALUE"""),1.0)</f>
        <v>1</v>
      </c>
      <c r="C854" s="1" t="str">
        <f>IFERROR(__xludf.DUMMYFUNCTION("""COMPUTED_VALUE"""),"อ30227")</f>
        <v>อ30227</v>
      </c>
      <c r="D854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4" s="1">
        <f>IFERROR(__xludf.DUMMYFUNCTION("""COMPUTED_VALUE"""),1.0)</f>
        <v>1</v>
      </c>
      <c r="F854" s="1">
        <f>IFERROR(__xludf.DUMMYFUNCTION("""COMPUTED_VALUE"""),2569.0)</f>
        <v>2569</v>
      </c>
      <c r="G854" s="1">
        <f>IFERROR(__xludf.DUMMYFUNCTION("""COMPUTED_VALUE"""),1.0)</f>
        <v>1</v>
      </c>
      <c r="H854" s="1">
        <f>IFERROR(__xludf.DUMMYFUNCTION("""COMPUTED_VALUE"""),837.0)</f>
        <v>837</v>
      </c>
      <c r="I854" s="1" t="str">
        <f>IFERROR(__xludf.DUMMYFUNCTION("""COMPUTED_VALUE"""),"นางสาว")</f>
        <v>นางสาว</v>
      </c>
      <c r="J854" s="1" t="str">
        <f>IFERROR(__xludf.DUMMYFUNCTION("""COMPUTED_VALUE"""),"อุไรวรรณ")</f>
        <v>อุไรวรรณ</v>
      </c>
      <c r="K854" s="1" t="str">
        <f>IFERROR(__xludf.DUMMYFUNCTION("""COMPUTED_VALUE"""),"วันดี")</f>
        <v>วันดี</v>
      </c>
      <c r="L854" s="1" t="str">
        <f>IFERROR(__xludf.DUMMYFUNCTION("""COMPUTED_VALUE"""),"ม.6")</f>
        <v>ม.6</v>
      </c>
      <c r="M854" s="1" t="str">
        <f>IFERROR(__xludf.DUMMYFUNCTION("""COMPUTED_VALUE"""),"ภาษาต่างประเทศ")</f>
        <v>ภาษาต่างประเทศ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>
        <f>IFERROR(__xludf.DUMMYFUNCTION("""COMPUTED_VALUE"""),10.0)</f>
        <v>10</v>
      </c>
      <c r="B855" s="1">
        <f>IFERROR(__xludf.DUMMYFUNCTION("""COMPUTED_VALUE"""),1.0)</f>
        <v>1</v>
      </c>
      <c r="C855" s="1" t="str">
        <f>IFERROR(__xludf.DUMMYFUNCTION("""COMPUTED_VALUE"""),"อ30227")</f>
        <v>อ30227</v>
      </c>
      <c r="D855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5" s="1">
        <f>IFERROR(__xludf.DUMMYFUNCTION("""COMPUTED_VALUE"""),1.0)</f>
        <v>1</v>
      </c>
      <c r="F855" s="1">
        <f>IFERROR(__xludf.DUMMYFUNCTION("""COMPUTED_VALUE"""),2569.0)</f>
        <v>2569</v>
      </c>
      <c r="G855" s="1">
        <f>IFERROR(__xludf.DUMMYFUNCTION("""COMPUTED_VALUE"""),1.0)</f>
        <v>1</v>
      </c>
      <c r="H855" s="1">
        <f>IFERROR(__xludf.DUMMYFUNCTION("""COMPUTED_VALUE"""),837.0)</f>
        <v>837</v>
      </c>
      <c r="I855" s="1" t="str">
        <f>IFERROR(__xludf.DUMMYFUNCTION("""COMPUTED_VALUE"""),"นางสาว")</f>
        <v>นางสาว</v>
      </c>
      <c r="J855" s="1" t="str">
        <f>IFERROR(__xludf.DUMMYFUNCTION("""COMPUTED_VALUE"""),"อุไรวรรณ")</f>
        <v>อุไรวรรณ</v>
      </c>
      <c r="K855" s="1" t="str">
        <f>IFERROR(__xludf.DUMMYFUNCTION("""COMPUTED_VALUE"""),"วันดี")</f>
        <v>วันดี</v>
      </c>
      <c r="L855" s="1" t="str">
        <f>IFERROR(__xludf.DUMMYFUNCTION("""COMPUTED_VALUE"""),"ม.6")</f>
        <v>ม.6</v>
      </c>
      <c r="M855" s="1" t="str">
        <f>IFERROR(__xludf.DUMMYFUNCTION("""COMPUTED_VALUE"""),"ภาษาต่างประเทศ")</f>
        <v>ภาษาต่างประเทศ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>
        <f>IFERROR(__xludf.DUMMYFUNCTION("""COMPUTED_VALUE"""),11.0)</f>
        <v>11</v>
      </c>
      <c r="B856" s="1">
        <f>IFERROR(__xludf.DUMMYFUNCTION("""COMPUTED_VALUE"""),1.0)</f>
        <v>1</v>
      </c>
      <c r="C856" s="1" t="str">
        <f>IFERROR(__xludf.DUMMYFUNCTION("""COMPUTED_VALUE"""),"อ30227")</f>
        <v>อ30227</v>
      </c>
      <c r="D856" s="1" t="str">
        <f>IFERROR(__xludf.DUMMYFUNCTION("""COMPUTED_VALUE"""),"ภาษาอังกฤษเพื่อการสื่อสาร 5")</f>
        <v>ภาษาอังกฤษเพื่อการสื่อสาร 5</v>
      </c>
      <c r="E856" s="1">
        <f>IFERROR(__xludf.DUMMYFUNCTION("""COMPUTED_VALUE"""),1.0)</f>
        <v>1</v>
      </c>
      <c r="F856" s="1">
        <f>IFERROR(__xludf.DUMMYFUNCTION("""COMPUTED_VALUE"""),2569.0)</f>
        <v>2569</v>
      </c>
      <c r="G856" s="1">
        <f>IFERROR(__xludf.DUMMYFUNCTION("""COMPUTED_VALUE"""),1.0)</f>
        <v>1</v>
      </c>
      <c r="H856" s="1">
        <f>IFERROR(__xludf.DUMMYFUNCTION("""COMPUTED_VALUE"""),837.0)</f>
        <v>837</v>
      </c>
      <c r="I856" s="1" t="str">
        <f>IFERROR(__xludf.DUMMYFUNCTION("""COMPUTED_VALUE"""),"นางสาว")</f>
        <v>นางสาว</v>
      </c>
      <c r="J856" s="1" t="str">
        <f>IFERROR(__xludf.DUMMYFUNCTION("""COMPUTED_VALUE"""),"อุไรวรรณ")</f>
        <v>อุไรวรรณ</v>
      </c>
      <c r="K856" s="1" t="str">
        <f>IFERROR(__xludf.DUMMYFUNCTION("""COMPUTED_VALUE"""),"วันดี")</f>
        <v>วันดี</v>
      </c>
      <c r="L856" s="1" t="str">
        <f>IFERROR(__xludf.DUMMYFUNCTION("""COMPUTED_VALUE"""),"ม.6")</f>
        <v>ม.6</v>
      </c>
      <c r="M856" s="1" t="str">
        <f>IFERROR(__xludf.DUMMYFUNCTION("""COMPUTED_VALUE"""),"ภาษาต่างประเทศ")</f>
        <v>ภาษาต่างประเทศ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>
        <f>IFERROR(__xludf.DUMMYFUNCTION("""COMPUTED_VALUE"""),5.0)</f>
        <v>5</v>
      </c>
      <c r="B857" s="1">
        <f>IFERROR(__xludf.DUMMYFUNCTION("""COMPUTED_VALUE"""),2.0)</f>
        <v>2</v>
      </c>
      <c r="C857" s="1" t="str">
        <f>IFERROR(__xludf.DUMMYFUNCTION("""COMPUTED_VALUE"""),"ส20227")</f>
        <v>ส20227</v>
      </c>
      <c r="D857" s="1" t="str">
        <f>IFERROR(__xludf.DUMMYFUNCTION("""COMPUTED_VALUE"""),"การป้องกันการทุจริต 5")</f>
        <v>การป้องกันการทุจริต 5</v>
      </c>
      <c r="E857" s="1">
        <f>IFERROR(__xludf.DUMMYFUNCTION("""COMPUTED_VALUE"""),0.5)</f>
        <v>0.5</v>
      </c>
      <c r="F857" s="1">
        <f>IFERROR(__xludf.DUMMYFUNCTION("""COMPUTED_VALUE"""),2569.0)</f>
        <v>2569</v>
      </c>
      <c r="G857" s="1">
        <f>IFERROR(__xludf.DUMMYFUNCTION("""COMPUTED_VALUE"""),1.0)</f>
        <v>1</v>
      </c>
      <c r="H857" s="1">
        <f>IFERROR(__xludf.DUMMYFUNCTION("""COMPUTED_VALUE"""),839.0)</f>
        <v>839</v>
      </c>
      <c r="I857" s="1" t="str">
        <f>IFERROR(__xludf.DUMMYFUNCTION("""COMPUTED_VALUE"""),"นางสาว")</f>
        <v>นางสาว</v>
      </c>
      <c r="J857" s="1" t="str">
        <f>IFERROR(__xludf.DUMMYFUNCTION("""COMPUTED_VALUE"""),"มนันยา")</f>
        <v>มนันยา</v>
      </c>
      <c r="K857" s="1" t="str">
        <f>IFERROR(__xludf.DUMMYFUNCTION("""COMPUTED_VALUE"""),"พิไสยสามนต์เขต")</f>
        <v>พิไสยสามนต์เขต</v>
      </c>
      <c r="L857" s="1" t="str">
        <f>IFERROR(__xludf.DUMMYFUNCTION("""COMPUTED_VALUE"""),"ม.3")</f>
        <v>ม.3</v>
      </c>
      <c r="M857" s="1" t="str">
        <f>IFERROR(__xludf.DUMMYFUNCTION("""COMPUTED_VALUE"""),"ภาษาต่างประเทศ")</f>
        <v>ภาษาต่างประเทศ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>
        <f>IFERROR(__xludf.DUMMYFUNCTION("""COMPUTED_VALUE"""),1.0)</f>
        <v>1</v>
      </c>
      <c r="B858" s="1">
        <f>IFERROR(__xludf.DUMMYFUNCTION("""COMPUTED_VALUE"""),1.0)</f>
        <v>1</v>
      </c>
      <c r="C858" s="1" t="str">
        <f>IFERROR(__xludf.DUMMYFUNCTION("""COMPUTED_VALUE"""),"อ22101")</f>
        <v>อ22101</v>
      </c>
      <c r="D858" s="1" t="str">
        <f>IFERROR(__xludf.DUMMYFUNCTION("""COMPUTED_VALUE"""),"ภาษาอังกฤษ 3")</f>
        <v>ภาษาอังกฤษ 3</v>
      </c>
      <c r="E858" s="1">
        <f>IFERROR(__xludf.DUMMYFUNCTION("""COMPUTED_VALUE"""),1.5)</f>
        <v>1.5</v>
      </c>
      <c r="F858" s="1">
        <f>IFERROR(__xludf.DUMMYFUNCTION("""COMPUTED_VALUE"""),2569.0)</f>
        <v>2569</v>
      </c>
      <c r="G858" s="1">
        <f>IFERROR(__xludf.DUMMYFUNCTION("""COMPUTED_VALUE"""),1.0)</f>
        <v>1</v>
      </c>
      <c r="H858" s="1">
        <f>IFERROR(__xludf.DUMMYFUNCTION("""COMPUTED_VALUE"""),839.0)</f>
        <v>839</v>
      </c>
      <c r="I858" s="1" t="str">
        <f>IFERROR(__xludf.DUMMYFUNCTION("""COMPUTED_VALUE"""),"นางสาว")</f>
        <v>นางสาว</v>
      </c>
      <c r="J858" s="1" t="str">
        <f>IFERROR(__xludf.DUMMYFUNCTION("""COMPUTED_VALUE"""),"มนันยา")</f>
        <v>มนันยา</v>
      </c>
      <c r="K858" s="1" t="str">
        <f>IFERROR(__xludf.DUMMYFUNCTION("""COMPUTED_VALUE"""),"พิไสยสามนต์เขต")</f>
        <v>พิไสยสามนต์เขต</v>
      </c>
      <c r="L858" s="1" t="str">
        <f>IFERROR(__xludf.DUMMYFUNCTION("""COMPUTED_VALUE"""),"ม.2")</f>
        <v>ม.2</v>
      </c>
      <c r="M858" s="1" t="str">
        <f>IFERROR(__xludf.DUMMYFUNCTION("""COMPUTED_VALUE"""),"ภาษาต่างประเทศ")</f>
        <v>ภาษาต่างประเทศ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>
        <f>IFERROR(__xludf.DUMMYFUNCTION("""COMPUTED_VALUE"""),3.0)</f>
        <v>3</v>
      </c>
      <c r="B859" s="1">
        <f>IFERROR(__xludf.DUMMYFUNCTION("""COMPUTED_VALUE"""),1.0)</f>
        <v>1</v>
      </c>
      <c r="C859" s="1" t="str">
        <f>IFERROR(__xludf.DUMMYFUNCTION("""COMPUTED_VALUE"""),"อ22101")</f>
        <v>อ22101</v>
      </c>
      <c r="D859" s="1" t="str">
        <f>IFERROR(__xludf.DUMMYFUNCTION("""COMPUTED_VALUE"""),"ภาษาอังกฤษ 3")</f>
        <v>ภาษาอังกฤษ 3</v>
      </c>
      <c r="E859" s="1">
        <f>IFERROR(__xludf.DUMMYFUNCTION("""COMPUTED_VALUE"""),1.5)</f>
        <v>1.5</v>
      </c>
      <c r="F859" s="1">
        <f>IFERROR(__xludf.DUMMYFUNCTION("""COMPUTED_VALUE"""),2569.0)</f>
        <v>2569</v>
      </c>
      <c r="G859" s="1">
        <f>IFERROR(__xludf.DUMMYFUNCTION("""COMPUTED_VALUE"""),1.0)</f>
        <v>1</v>
      </c>
      <c r="H859" s="1">
        <f>IFERROR(__xludf.DUMMYFUNCTION("""COMPUTED_VALUE"""),839.0)</f>
        <v>839</v>
      </c>
      <c r="I859" s="1" t="str">
        <f>IFERROR(__xludf.DUMMYFUNCTION("""COMPUTED_VALUE"""),"นางสาว")</f>
        <v>นางสาว</v>
      </c>
      <c r="J859" s="1" t="str">
        <f>IFERROR(__xludf.DUMMYFUNCTION("""COMPUTED_VALUE"""),"มนันยา")</f>
        <v>มนันยา</v>
      </c>
      <c r="K859" s="1" t="str">
        <f>IFERROR(__xludf.DUMMYFUNCTION("""COMPUTED_VALUE"""),"พิไสยสามนต์เขต")</f>
        <v>พิไสยสามนต์เขต</v>
      </c>
      <c r="L859" s="1" t="str">
        <f>IFERROR(__xludf.DUMMYFUNCTION("""COMPUTED_VALUE"""),"ม.2")</f>
        <v>ม.2</v>
      </c>
      <c r="M859" s="1" t="str">
        <f>IFERROR(__xludf.DUMMYFUNCTION("""COMPUTED_VALUE"""),"ภาษาต่างประเทศ")</f>
        <v>ภาษาต่างประเทศ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>
        <f>IFERROR(__xludf.DUMMYFUNCTION("""COMPUTED_VALUE"""),5.0)</f>
        <v>5</v>
      </c>
      <c r="B860" s="1">
        <f>IFERROR(__xludf.DUMMYFUNCTION("""COMPUTED_VALUE"""),1.0)</f>
        <v>1</v>
      </c>
      <c r="C860" s="1" t="str">
        <f>IFERROR(__xludf.DUMMYFUNCTION("""COMPUTED_VALUE"""),"อ22101")</f>
        <v>อ22101</v>
      </c>
      <c r="D860" s="1" t="str">
        <f>IFERROR(__xludf.DUMMYFUNCTION("""COMPUTED_VALUE"""),"ภาษาอังกฤษ 3")</f>
        <v>ภาษาอังกฤษ 3</v>
      </c>
      <c r="E860" s="1">
        <f>IFERROR(__xludf.DUMMYFUNCTION("""COMPUTED_VALUE"""),1.5)</f>
        <v>1.5</v>
      </c>
      <c r="F860" s="1">
        <f>IFERROR(__xludf.DUMMYFUNCTION("""COMPUTED_VALUE"""),2569.0)</f>
        <v>2569</v>
      </c>
      <c r="G860" s="1">
        <f>IFERROR(__xludf.DUMMYFUNCTION("""COMPUTED_VALUE"""),1.0)</f>
        <v>1</v>
      </c>
      <c r="H860" s="1">
        <f>IFERROR(__xludf.DUMMYFUNCTION("""COMPUTED_VALUE"""),839.0)</f>
        <v>839</v>
      </c>
      <c r="I860" s="1" t="str">
        <f>IFERROR(__xludf.DUMMYFUNCTION("""COMPUTED_VALUE"""),"นางสาว")</f>
        <v>นางสาว</v>
      </c>
      <c r="J860" s="1" t="str">
        <f>IFERROR(__xludf.DUMMYFUNCTION("""COMPUTED_VALUE"""),"มนันยา")</f>
        <v>มนันยา</v>
      </c>
      <c r="K860" s="1" t="str">
        <f>IFERROR(__xludf.DUMMYFUNCTION("""COMPUTED_VALUE"""),"พิไสยสามนต์เขต")</f>
        <v>พิไสยสามนต์เขต</v>
      </c>
      <c r="L860" s="1" t="str">
        <f>IFERROR(__xludf.DUMMYFUNCTION("""COMPUTED_VALUE"""),"ม.2")</f>
        <v>ม.2</v>
      </c>
      <c r="M860" s="1" t="str">
        <f>IFERROR(__xludf.DUMMYFUNCTION("""COMPUTED_VALUE"""),"ภาษาต่างประเทศ")</f>
        <v>ภาษาต่างประเทศ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>
        <f>IFERROR(__xludf.DUMMYFUNCTION("""COMPUTED_VALUE"""),7.0)</f>
        <v>7</v>
      </c>
      <c r="B861" s="1">
        <f>IFERROR(__xludf.DUMMYFUNCTION("""COMPUTED_VALUE"""),1.0)</f>
        <v>1</v>
      </c>
      <c r="C861" s="1" t="str">
        <f>IFERROR(__xludf.DUMMYFUNCTION("""COMPUTED_VALUE"""),"อ22101")</f>
        <v>อ22101</v>
      </c>
      <c r="D861" s="1" t="str">
        <f>IFERROR(__xludf.DUMMYFUNCTION("""COMPUTED_VALUE"""),"ภาษาอังกฤษ 3")</f>
        <v>ภาษาอังกฤษ 3</v>
      </c>
      <c r="E861" s="1">
        <f>IFERROR(__xludf.DUMMYFUNCTION("""COMPUTED_VALUE"""),1.5)</f>
        <v>1.5</v>
      </c>
      <c r="F861" s="1">
        <f>IFERROR(__xludf.DUMMYFUNCTION("""COMPUTED_VALUE"""),2569.0)</f>
        <v>2569</v>
      </c>
      <c r="G861" s="1">
        <f>IFERROR(__xludf.DUMMYFUNCTION("""COMPUTED_VALUE"""),1.0)</f>
        <v>1</v>
      </c>
      <c r="H861" s="1">
        <f>IFERROR(__xludf.DUMMYFUNCTION("""COMPUTED_VALUE"""),839.0)</f>
        <v>839</v>
      </c>
      <c r="I861" s="1" t="str">
        <f>IFERROR(__xludf.DUMMYFUNCTION("""COMPUTED_VALUE"""),"นางสาว")</f>
        <v>นางสาว</v>
      </c>
      <c r="J861" s="1" t="str">
        <f>IFERROR(__xludf.DUMMYFUNCTION("""COMPUTED_VALUE"""),"มนันยา")</f>
        <v>มนันยา</v>
      </c>
      <c r="K861" s="1" t="str">
        <f>IFERROR(__xludf.DUMMYFUNCTION("""COMPUTED_VALUE"""),"พิไสยสามนต์เขต")</f>
        <v>พิไสยสามนต์เขต</v>
      </c>
      <c r="L861" s="1" t="str">
        <f>IFERROR(__xludf.DUMMYFUNCTION("""COMPUTED_VALUE"""),"ม.2")</f>
        <v>ม.2</v>
      </c>
      <c r="M861" s="1" t="str">
        <f>IFERROR(__xludf.DUMMYFUNCTION("""COMPUTED_VALUE"""),"ภาษาต่างประเทศ")</f>
        <v>ภาษาต่างประเทศ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>
        <f>IFERROR(__xludf.DUMMYFUNCTION("""COMPUTED_VALUE"""),5.0)</f>
        <v>5</v>
      </c>
      <c r="B862" s="1">
        <f>IFERROR(__xludf.DUMMYFUNCTION("""COMPUTED_VALUE"""),1.0)</f>
        <v>1</v>
      </c>
      <c r="C862" s="1" t="str">
        <f>IFERROR(__xludf.DUMMYFUNCTION("""COMPUTED_VALUE"""),"อ30201")</f>
        <v>อ30201</v>
      </c>
      <c r="D862" s="1" t="str">
        <f>IFERROR(__xludf.DUMMYFUNCTION("""COMPUTED_VALUE"""),"ภาษาอังกฤษเพื่อการสื่อสารเชิงทัศน์")</f>
        <v>ภาษาอังกฤษเพื่อการสื่อสารเชิงทัศน์</v>
      </c>
      <c r="E862" s="1">
        <f>IFERROR(__xludf.DUMMYFUNCTION("""COMPUTED_VALUE"""),0.5)</f>
        <v>0.5</v>
      </c>
      <c r="F862" s="1">
        <f>IFERROR(__xludf.DUMMYFUNCTION("""COMPUTED_VALUE"""),2569.0)</f>
        <v>2569</v>
      </c>
      <c r="G862" s="1">
        <f>IFERROR(__xludf.DUMMYFUNCTION("""COMPUTED_VALUE"""),1.0)</f>
        <v>1</v>
      </c>
      <c r="H862" s="1">
        <f>IFERROR(__xludf.DUMMYFUNCTION("""COMPUTED_VALUE"""),839.0)</f>
        <v>839</v>
      </c>
      <c r="I862" s="1" t="str">
        <f>IFERROR(__xludf.DUMMYFUNCTION("""COMPUTED_VALUE"""),"นางสาว")</f>
        <v>นางสาว</v>
      </c>
      <c r="J862" s="1" t="str">
        <f>IFERROR(__xludf.DUMMYFUNCTION("""COMPUTED_VALUE"""),"มนันยา")</f>
        <v>มนันยา</v>
      </c>
      <c r="K862" s="1" t="str">
        <f>IFERROR(__xludf.DUMMYFUNCTION("""COMPUTED_VALUE"""),"พิไสยสามนต์เขต")</f>
        <v>พิไสยสามนต์เขต</v>
      </c>
      <c r="L862" s="1" t="str">
        <f>IFERROR(__xludf.DUMMYFUNCTION("""COMPUTED_VALUE"""),"ม.4")</f>
        <v>ม.4</v>
      </c>
      <c r="M862" s="1" t="str">
        <f>IFERROR(__xludf.DUMMYFUNCTION("""COMPUTED_VALUE"""),"ภาษาต่างประเทศ")</f>
        <v>ภาษาต่างประเทศ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>
        <f>IFERROR(__xludf.DUMMYFUNCTION("""COMPUTED_VALUE"""),6.0)</f>
        <v>6</v>
      </c>
      <c r="B863" s="1">
        <f>IFERROR(__xludf.DUMMYFUNCTION("""COMPUTED_VALUE"""),1.0)</f>
        <v>1</v>
      </c>
      <c r="C863" s="1" t="str">
        <f>IFERROR(__xludf.DUMMYFUNCTION("""COMPUTED_VALUE"""),"อ30201")</f>
        <v>อ30201</v>
      </c>
      <c r="D863" s="1" t="str">
        <f>IFERROR(__xludf.DUMMYFUNCTION("""COMPUTED_VALUE"""),"ภาษาอังกฤษเพื่อการสื่อสารเชิงทัศน์")</f>
        <v>ภาษาอังกฤษเพื่อการสื่อสารเชิงทัศน์</v>
      </c>
      <c r="E863" s="1">
        <f>IFERROR(__xludf.DUMMYFUNCTION("""COMPUTED_VALUE"""),0.5)</f>
        <v>0.5</v>
      </c>
      <c r="F863" s="1">
        <f>IFERROR(__xludf.DUMMYFUNCTION("""COMPUTED_VALUE"""),2569.0)</f>
        <v>2569</v>
      </c>
      <c r="G863" s="1">
        <f>IFERROR(__xludf.DUMMYFUNCTION("""COMPUTED_VALUE"""),1.0)</f>
        <v>1</v>
      </c>
      <c r="H863" s="1">
        <f>IFERROR(__xludf.DUMMYFUNCTION("""COMPUTED_VALUE"""),839.0)</f>
        <v>839</v>
      </c>
      <c r="I863" s="1" t="str">
        <f>IFERROR(__xludf.DUMMYFUNCTION("""COMPUTED_VALUE"""),"นางสาว")</f>
        <v>นางสาว</v>
      </c>
      <c r="J863" s="1" t="str">
        <f>IFERROR(__xludf.DUMMYFUNCTION("""COMPUTED_VALUE"""),"มนันยา")</f>
        <v>มนันยา</v>
      </c>
      <c r="K863" s="1" t="str">
        <f>IFERROR(__xludf.DUMMYFUNCTION("""COMPUTED_VALUE"""),"พิไสยสามนต์เขต")</f>
        <v>พิไสยสามนต์เขต</v>
      </c>
      <c r="L863" s="1" t="str">
        <f>IFERROR(__xludf.DUMMYFUNCTION("""COMPUTED_VALUE"""),"ม.4")</f>
        <v>ม.4</v>
      </c>
      <c r="M863" s="1" t="str">
        <f>IFERROR(__xludf.DUMMYFUNCTION("""COMPUTED_VALUE"""),"ภาษาต่างประเทศ")</f>
        <v>ภาษาต่างประเทศ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>
        <f>IFERROR(__xludf.DUMMYFUNCTION("""COMPUTED_VALUE"""),5.0)</f>
        <v>5</v>
      </c>
      <c r="B864" s="1">
        <f>IFERROR(__xludf.DUMMYFUNCTION("""COMPUTED_VALUE"""),1.0)</f>
        <v>1</v>
      </c>
      <c r="C864" s="1" t="str">
        <f>IFERROR(__xludf.DUMMYFUNCTION("""COMPUTED_VALUE"""),"อ30215")</f>
        <v>อ30215</v>
      </c>
      <c r="D864" s="1" t="str">
        <f>IFERROR(__xludf.DUMMYFUNCTION("""COMPUTED_VALUE"""),"ภาษาอังกฤษเพื่อการท่องเที่ยว 1")</f>
        <v>ภาษาอังกฤษเพื่อการท่องเที่ยว 1</v>
      </c>
      <c r="E864" s="1">
        <f>IFERROR(__xludf.DUMMYFUNCTION("""COMPUTED_VALUE"""),1.0)</f>
        <v>1</v>
      </c>
      <c r="F864" s="1">
        <f>IFERROR(__xludf.DUMMYFUNCTION("""COMPUTED_VALUE"""),2569.0)</f>
        <v>2569</v>
      </c>
      <c r="G864" s="1">
        <f>IFERROR(__xludf.DUMMYFUNCTION("""COMPUTED_VALUE"""),1.0)</f>
        <v>1</v>
      </c>
      <c r="H864" s="1">
        <f>IFERROR(__xludf.DUMMYFUNCTION("""COMPUTED_VALUE"""),839.0)</f>
        <v>839</v>
      </c>
      <c r="I864" s="1" t="str">
        <f>IFERROR(__xludf.DUMMYFUNCTION("""COMPUTED_VALUE"""),"นางสาว")</f>
        <v>นางสาว</v>
      </c>
      <c r="J864" s="1" t="str">
        <f>IFERROR(__xludf.DUMMYFUNCTION("""COMPUTED_VALUE"""),"มนันยา")</f>
        <v>มนันยา</v>
      </c>
      <c r="K864" s="1" t="str">
        <f>IFERROR(__xludf.DUMMYFUNCTION("""COMPUTED_VALUE"""),"พิไสยสามนต์เขต")</f>
        <v>พิไสยสามนต์เขต</v>
      </c>
      <c r="L864" s="1" t="str">
        <f>IFERROR(__xludf.DUMMYFUNCTION("""COMPUTED_VALUE"""),"ม.5")</f>
        <v>ม.5</v>
      </c>
      <c r="M864" s="1" t="str">
        <f>IFERROR(__xludf.DUMMYFUNCTION("""COMPUTED_VALUE"""),"ภาษาต่างประเทศ")</f>
        <v>ภาษาต่างประเทศ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>
        <f>IFERROR(__xludf.DUMMYFUNCTION("""COMPUTED_VALUE"""),5.0)</f>
        <v>5</v>
      </c>
      <c r="B865" s="1">
        <f>IFERROR(__xludf.DUMMYFUNCTION("""COMPUTED_VALUE"""),1.0)</f>
        <v>1</v>
      </c>
      <c r="C865" s="1" t="str">
        <f>IFERROR(__xludf.DUMMYFUNCTION("""COMPUTED_VALUE"""),"จ20211")</f>
        <v>จ20211</v>
      </c>
      <c r="D865" s="1" t="str">
        <f>IFERROR(__xludf.DUMMYFUNCTION("""COMPUTED_VALUE"""),"การอ่านและการเขียนภาษาจีน")</f>
        <v>การอ่านและการเขียนภาษาจีน</v>
      </c>
      <c r="E865" s="1">
        <f>IFERROR(__xludf.DUMMYFUNCTION("""COMPUTED_VALUE"""),1.0)</f>
        <v>1</v>
      </c>
      <c r="F865" s="1">
        <f>IFERROR(__xludf.DUMMYFUNCTION("""COMPUTED_VALUE"""),2569.0)</f>
        <v>2569</v>
      </c>
      <c r="G865" s="1">
        <f>IFERROR(__xludf.DUMMYFUNCTION("""COMPUTED_VALUE"""),1.0)</f>
        <v>1</v>
      </c>
      <c r="H865" s="1">
        <f>IFERROR(__xludf.DUMMYFUNCTION("""COMPUTED_VALUE"""),840.0)</f>
        <v>840</v>
      </c>
      <c r="I865" s="1" t="str">
        <f>IFERROR(__xludf.DUMMYFUNCTION("""COMPUTED_VALUE"""),"นางสาว")</f>
        <v>นางสาว</v>
      </c>
      <c r="J865" s="1" t="str">
        <f>IFERROR(__xludf.DUMMYFUNCTION("""COMPUTED_VALUE"""),"วัฒมน")</f>
        <v>วัฒมน</v>
      </c>
      <c r="K865" s="1" t="str">
        <f>IFERROR(__xludf.DUMMYFUNCTION("""COMPUTED_VALUE"""),"ระฤกชาติ")</f>
        <v>ระฤกชาติ</v>
      </c>
      <c r="L865" s="1" t="str">
        <f>IFERROR(__xludf.DUMMYFUNCTION("""COMPUTED_VALUE"""),"ม.3")</f>
        <v>ม.3</v>
      </c>
      <c r="M865" s="1" t="str">
        <f>IFERROR(__xludf.DUMMYFUNCTION("""COMPUTED_VALUE"""),"ภาษาต่างประเทศ")</f>
        <v>ภาษาต่างประเทศ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>
        <f>IFERROR(__xludf.DUMMYFUNCTION("""COMPUTED_VALUE"""),6.0)</f>
        <v>6</v>
      </c>
      <c r="B866" s="1">
        <f>IFERROR(__xludf.DUMMYFUNCTION("""COMPUTED_VALUE"""),1.0)</f>
        <v>1</v>
      </c>
      <c r="C866" s="1" t="str">
        <f>IFERROR(__xludf.DUMMYFUNCTION("""COMPUTED_VALUE"""),"จ30209")</f>
        <v>จ30209</v>
      </c>
      <c r="D866" s="1" t="str">
        <f>IFERROR(__xludf.DUMMYFUNCTION("""COMPUTED_VALUE"""),"ภาษาจีนเบื้องต้น 3")</f>
        <v>ภาษาจีนเบื้องต้น 3</v>
      </c>
      <c r="E866" s="1">
        <f>IFERROR(__xludf.DUMMYFUNCTION("""COMPUTED_VALUE"""),2.0)</f>
        <v>2</v>
      </c>
      <c r="F866" s="1">
        <f>IFERROR(__xludf.DUMMYFUNCTION("""COMPUTED_VALUE"""),2569.0)</f>
        <v>2569</v>
      </c>
      <c r="G866" s="1">
        <f>IFERROR(__xludf.DUMMYFUNCTION("""COMPUTED_VALUE"""),1.0)</f>
        <v>1</v>
      </c>
      <c r="H866" s="1">
        <f>IFERROR(__xludf.DUMMYFUNCTION("""COMPUTED_VALUE"""),840.0)</f>
        <v>840</v>
      </c>
      <c r="I866" s="1" t="str">
        <f>IFERROR(__xludf.DUMMYFUNCTION("""COMPUTED_VALUE"""),"นางสาว")</f>
        <v>นางสาว</v>
      </c>
      <c r="J866" s="1" t="str">
        <f>IFERROR(__xludf.DUMMYFUNCTION("""COMPUTED_VALUE"""),"วัฒมน")</f>
        <v>วัฒมน</v>
      </c>
      <c r="K866" s="1" t="str">
        <f>IFERROR(__xludf.DUMMYFUNCTION("""COMPUTED_VALUE"""),"ระฤกชาติ")</f>
        <v>ระฤกชาติ</v>
      </c>
      <c r="L866" s="1" t="str">
        <f>IFERROR(__xludf.DUMMYFUNCTION("""COMPUTED_VALUE"""),"ม.5")</f>
        <v>ม.5</v>
      </c>
      <c r="M866" s="1" t="str">
        <f>IFERROR(__xludf.DUMMYFUNCTION("""COMPUTED_VALUE"""),"ภาษาต่างประเทศ")</f>
        <v>ภาษาต่างประเทศ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>
        <f>IFERROR(__xludf.DUMMYFUNCTION("""COMPUTED_VALUE"""),7.0)</f>
        <v>7</v>
      </c>
      <c r="B867" s="1">
        <f>IFERROR(__xludf.DUMMYFUNCTION("""COMPUTED_VALUE"""),1.0)</f>
        <v>1</v>
      </c>
      <c r="C867" s="1" t="str">
        <f>IFERROR(__xludf.DUMMYFUNCTION("""COMPUTED_VALUE"""),"จ30209")</f>
        <v>จ30209</v>
      </c>
      <c r="D867" s="1" t="str">
        <f>IFERROR(__xludf.DUMMYFUNCTION("""COMPUTED_VALUE"""),"ภาษาจีนเบื้องต้น 3")</f>
        <v>ภาษาจีนเบื้องต้น 3</v>
      </c>
      <c r="E867" s="1">
        <f>IFERROR(__xludf.DUMMYFUNCTION("""COMPUTED_VALUE"""),2.0)</f>
        <v>2</v>
      </c>
      <c r="F867" s="1">
        <f>IFERROR(__xludf.DUMMYFUNCTION("""COMPUTED_VALUE"""),2569.0)</f>
        <v>2569</v>
      </c>
      <c r="G867" s="1">
        <f>IFERROR(__xludf.DUMMYFUNCTION("""COMPUTED_VALUE"""),1.0)</f>
        <v>1</v>
      </c>
      <c r="H867" s="1">
        <f>IFERROR(__xludf.DUMMYFUNCTION("""COMPUTED_VALUE"""),840.0)</f>
        <v>840</v>
      </c>
      <c r="I867" s="1" t="str">
        <f>IFERROR(__xludf.DUMMYFUNCTION("""COMPUTED_VALUE"""),"นางสาว")</f>
        <v>นางสาว</v>
      </c>
      <c r="J867" s="1" t="str">
        <f>IFERROR(__xludf.DUMMYFUNCTION("""COMPUTED_VALUE"""),"วัฒมน")</f>
        <v>วัฒมน</v>
      </c>
      <c r="K867" s="1" t="str">
        <f>IFERROR(__xludf.DUMMYFUNCTION("""COMPUTED_VALUE"""),"ระฤกชาติ")</f>
        <v>ระฤกชาติ</v>
      </c>
      <c r="L867" s="1" t="str">
        <f>IFERROR(__xludf.DUMMYFUNCTION("""COMPUTED_VALUE"""),"ม.5")</f>
        <v>ม.5</v>
      </c>
      <c r="M867" s="1" t="str">
        <f>IFERROR(__xludf.DUMMYFUNCTION("""COMPUTED_VALUE"""),"ภาษาต่างประเทศ")</f>
        <v>ภาษาต่างประเทศ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>
        <f>IFERROR(__xludf.DUMMYFUNCTION("""COMPUTED_VALUE"""),6.0)</f>
        <v>6</v>
      </c>
      <c r="B868" s="1">
        <f>IFERROR(__xludf.DUMMYFUNCTION("""COMPUTED_VALUE"""),1.0)</f>
        <v>1</v>
      </c>
      <c r="C868" s="1" t="str">
        <f>IFERROR(__xludf.DUMMYFUNCTION("""COMPUTED_VALUE"""),"จ30213")</f>
        <v>จ30213</v>
      </c>
      <c r="D868" s="1" t="str">
        <f>IFERROR(__xludf.DUMMYFUNCTION("""COMPUTED_VALUE"""),"หลักการเขียนภาษาจีน")</f>
        <v>หลักการเขียนภาษาจีน</v>
      </c>
      <c r="E868" s="1">
        <f>IFERROR(__xludf.DUMMYFUNCTION("""COMPUTED_VALUE"""),1.0)</f>
        <v>1</v>
      </c>
      <c r="F868" s="1">
        <f>IFERROR(__xludf.DUMMYFUNCTION("""COMPUTED_VALUE"""),2569.0)</f>
        <v>2569</v>
      </c>
      <c r="G868" s="1">
        <f>IFERROR(__xludf.DUMMYFUNCTION("""COMPUTED_VALUE"""),1.0)</f>
        <v>1</v>
      </c>
      <c r="H868" s="1">
        <f>IFERROR(__xludf.DUMMYFUNCTION("""COMPUTED_VALUE"""),840.0)</f>
        <v>840</v>
      </c>
      <c r="I868" s="1" t="str">
        <f>IFERROR(__xludf.DUMMYFUNCTION("""COMPUTED_VALUE"""),"นางสาว")</f>
        <v>นางสาว</v>
      </c>
      <c r="J868" s="1" t="str">
        <f>IFERROR(__xludf.DUMMYFUNCTION("""COMPUTED_VALUE"""),"วัฒมน")</f>
        <v>วัฒมน</v>
      </c>
      <c r="K868" s="1" t="str">
        <f>IFERROR(__xludf.DUMMYFUNCTION("""COMPUTED_VALUE"""),"ระฤกชาติ")</f>
        <v>ระฤกชาติ</v>
      </c>
      <c r="L868" s="1" t="str">
        <f>IFERROR(__xludf.DUMMYFUNCTION("""COMPUTED_VALUE"""),"ม.4")</f>
        <v>ม.4</v>
      </c>
      <c r="M868" s="1" t="str">
        <f>IFERROR(__xludf.DUMMYFUNCTION("""COMPUTED_VALUE"""),"ภาษาต่างประเทศ")</f>
        <v>ภาษาต่างประเทศ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>
        <f>IFERROR(__xludf.DUMMYFUNCTION("""COMPUTED_VALUE"""),7.0)</f>
        <v>7</v>
      </c>
      <c r="B869" s="1">
        <f>IFERROR(__xludf.DUMMYFUNCTION("""COMPUTED_VALUE"""),1.0)</f>
        <v>1</v>
      </c>
      <c r="C869" s="1" t="str">
        <f>IFERROR(__xludf.DUMMYFUNCTION("""COMPUTED_VALUE"""),"ส30249")</f>
        <v>ส30249</v>
      </c>
      <c r="D869" s="1" t="str">
        <f>IFERROR(__xludf.DUMMYFUNCTION("""COMPUTED_VALUE"""),"การป้องกันการทุจริต 3")</f>
        <v>การป้องกันการทุจริต 3</v>
      </c>
      <c r="E869" s="1">
        <f>IFERROR(__xludf.DUMMYFUNCTION("""COMPUTED_VALUE"""),0.5)</f>
        <v>0.5</v>
      </c>
      <c r="F869" s="1">
        <f>IFERROR(__xludf.DUMMYFUNCTION("""COMPUTED_VALUE"""),2569.0)</f>
        <v>2569</v>
      </c>
      <c r="G869" s="1">
        <f>IFERROR(__xludf.DUMMYFUNCTION("""COMPUTED_VALUE"""),1.0)</f>
        <v>1</v>
      </c>
      <c r="H869" s="1">
        <f>IFERROR(__xludf.DUMMYFUNCTION("""COMPUTED_VALUE"""),840.0)</f>
        <v>840</v>
      </c>
      <c r="I869" s="1" t="str">
        <f>IFERROR(__xludf.DUMMYFUNCTION("""COMPUTED_VALUE"""),"นางสาว")</f>
        <v>นางสาว</v>
      </c>
      <c r="J869" s="1" t="str">
        <f>IFERROR(__xludf.DUMMYFUNCTION("""COMPUTED_VALUE"""),"วัฒมน")</f>
        <v>วัฒมน</v>
      </c>
      <c r="K869" s="1" t="str">
        <f>IFERROR(__xludf.DUMMYFUNCTION("""COMPUTED_VALUE"""),"ระฤกชาติ")</f>
        <v>ระฤกชาติ</v>
      </c>
      <c r="L869" s="1" t="str">
        <f>IFERROR(__xludf.DUMMYFUNCTION("""COMPUTED_VALUE"""),"ม.5")</f>
        <v>ม.5</v>
      </c>
      <c r="M869" s="1" t="str">
        <f>IFERROR(__xludf.DUMMYFUNCTION("""COMPUTED_VALUE"""),"ภาษาต่างประเทศ")</f>
        <v>ภาษาต่างประเทศ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>
        <f>IFERROR(__xludf.DUMMYFUNCTION("""COMPUTED_VALUE"""),1.0)</f>
        <v>1</v>
      </c>
      <c r="B870" s="1">
        <f>IFERROR(__xludf.DUMMYFUNCTION("""COMPUTED_VALUE"""),1.0)</f>
        <v>1</v>
      </c>
      <c r="C870" s="1" t="str">
        <f>IFERROR(__xludf.DUMMYFUNCTION("""COMPUTED_VALUE"""),"จ20203")</f>
        <v>จ20203</v>
      </c>
      <c r="D870" s="1" t="str">
        <f>IFERROR(__xludf.DUMMYFUNCTION("""COMPUTED_VALUE"""),"ภาษาจีน3")</f>
        <v>ภาษาจีน3</v>
      </c>
      <c r="E870" s="1">
        <f>IFERROR(__xludf.DUMMYFUNCTION("""COMPUTED_VALUE"""),0.5)</f>
        <v>0.5</v>
      </c>
      <c r="F870" s="1">
        <f>IFERROR(__xludf.DUMMYFUNCTION("""COMPUTED_VALUE"""),2569.0)</f>
        <v>2569</v>
      </c>
      <c r="G870" s="1">
        <f>IFERROR(__xludf.DUMMYFUNCTION("""COMPUTED_VALUE"""),1.0)</f>
        <v>1</v>
      </c>
      <c r="H870" s="1">
        <f>IFERROR(__xludf.DUMMYFUNCTION("""COMPUTED_VALUE"""),841.0)</f>
        <v>841</v>
      </c>
      <c r="I870" s="1" t="str">
        <f>IFERROR(__xludf.DUMMYFUNCTION("""COMPUTED_VALUE"""),"นางสาว")</f>
        <v>นางสาว</v>
      </c>
      <c r="J870" s="1" t="str">
        <f>IFERROR(__xludf.DUMMYFUNCTION("""COMPUTED_VALUE"""),"สุดารัตน์")</f>
        <v>สุดารัตน์</v>
      </c>
      <c r="K870" s="1" t="str">
        <f>IFERROR(__xludf.DUMMYFUNCTION("""COMPUTED_VALUE"""),"เหวชัยภูมิ")</f>
        <v>เหวชัยภูมิ</v>
      </c>
      <c r="L870" s="1" t="str">
        <f>IFERROR(__xludf.DUMMYFUNCTION("""COMPUTED_VALUE"""),"ม.2")</f>
        <v>ม.2</v>
      </c>
      <c r="M870" s="1" t="str">
        <f>IFERROR(__xludf.DUMMYFUNCTION("""COMPUTED_VALUE"""),"ภาษาต่างประเทศ")</f>
        <v>ภาษาต่างประเทศ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>
        <f>IFERROR(__xludf.DUMMYFUNCTION("""COMPUTED_VALUE"""),2.0)</f>
        <v>2</v>
      </c>
      <c r="B871" s="1">
        <f>IFERROR(__xludf.DUMMYFUNCTION("""COMPUTED_VALUE"""),1.0)</f>
        <v>1</v>
      </c>
      <c r="C871" s="1" t="str">
        <f>IFERROR(__xludf.DUMMYFUNCTION("""COMPUTED_VALUE"""),"จ20203")</f>
        <v>จ20203</v>
      </c>
      <c r="D871" s="1" t="str">
        <f>IFERROR(__xludf.DUMMYFUNCTION("""COMPUTED_VALUE"""),"ภาษาจีน3")</f>
        <v>ภาษาจีน3</v>
      </c>
      <c r="E871" s="1">
        <f>IFERROR(__xludf.DUMMYFUNCTION("""COMPUTED_VALUE"""),0.5)</f>
        <v>0.5</v>
      </c>
      <c r="F871" s="1">
        <f>IFERROR(__xludf.DUMMYFUNCTION("""COMPUTED_VALUE"""),2569.0)</f>
        <v>2569</v>
      </c>
      <c r="G871" s="1">
        <f>IFERROR(__xludf.DUMMYFUNCTION("""COMPUTED_VALUE"""),1.0)</f>
        <v>1</v>
      </c>
      <c r="H871" s="1">
        <f>IFERROR(__xludf.DUMMYFUNCTION("""COMPUTED_VALUE"""),841.0)</f>
        <v>841</v>
      </c>
      <c r="I871" s="1" t="str">
        <f>IFERROR(__xludf.DUMMYFUNCTION("""COMPUTED_VALUE"""),"นางสาว")</f>
        <v>นางสาว</v>
      </c>
      <c r="J871" s="1" t="str">
        <f>IFERROR(__xludf.DUMMYFUNCTION("""COMPUTED_VALUE"""),"สุดารัตน์")</f>
        <v>สุดารัตน์</v>
      </c>
      <c r="K871" s="1" t="str">
        <f>IFERROR(__xludf.DUMMYFUNCTION("""COMPUTED_VALUE"""),"เหวชัยภูมิ")</f>
        <v>เหวชัยภูมิ</v>
      </c>
      <c r="L871" s="1" t="str">
        <f>IFERROR(__xludf.DUMMYFUNCTION("""COMPUTED_VALUE"""),"ม.2")</f>
        <v>ม.2</v>
      </c>
      <c r="M871" s="1" t="str">
        <f>IFERROR(__xludf.DUMMYFUNCTION("""COMPUTED_VALUE"""),"ภาษาต่างประเทศ")</f>
        <v>ภาษาต่างประเทศ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>
        <f>IFERROR(__xludf.DUMMYFUNCTION("""COMPUTED_VALUE"""),3.0)</f>
        <v>3</v>
      </c>
      <c r="B872" s="1">
        <f>IFERROR(__xludf.DUMMYFUNCTION("""COMPUTED_VALUE"""),1.0)</f>
        <v>1</v>
      </c>
      <c r="C872" s="1" t="str">
        <f>IFERROR(__xludf.DUMMYFUNCTION("""COMPUTED_VALUE"""),"จ20203")</f>
        <v>จ20203</v>
      </c>
      <c r="D872" s="1" t="str">
        <f>IFERROR(__xludf.DUMMYFUNCTION("""COMPUTED_VALUE"""),"ภาษาจีน3")</f>
        <v>ภาษาจีน3</v>
      </c>
      <c r="E872" s="1">
        <f>IFERROR(__xludf.DUMMYFUNCTION("""COMPUTED_VALUE"""),0.5)</f>
        <v>0.5</v>
      </c>
      <c r="F872" s="1">
        <f>IFERROR(__xludf.DUMMYFUNCTION("""COMPUTED_VALUE"""),2569.0)</f>
        <v>2569</v>
      </c>
      <c r="G872" s="1">
        <f>IFERROR(__xludf.DUMMYFUNCTION("""COMPUTED_VALUE"""),1.0)</f>
        <v>1</v>
      </c>
      <c r="H872" s="1">
        <f>IFERROR(__xludf.DUMMYFUNCTION("""COMPUTED_VALUE"""),841.0)</f>
        <v>841</v>
      </c>
      <c r="I872" s="1" t="str">
        <f>IFERROR(__xludf.DUMMYFUNCTION("""COMPUTED_VALUE"""),"นางสาว")</f>
        <v>นางสาว</v>
      </c>
      <c r="J872" s="1" t="str">
        <f>IFERROR(__xludf.DUMMYFUNCTION("""COMPUTED_VALUE"""),"สุดารัตน์")</f>
        <v>สุดารัตน์</v>
      </c>
      <c r="K872" s="1" t="str">
        <f>IFERROR(__xludf.DUMMYFUNCTION("""COMPUTED_VALUE"""),"เหวชัยภูมิ")</f>
        <v>เหวชัยภูมิ</v>
      </c>
      <c r="L872" s="1" t="str">
        <f>IFERROR(__xludf.DUMMYFUNCTION("""COMPUTED_VALUE"""),"ม.2")</f>
        <v>ม.2</v>
      </c>
      <c r="M872" s="1" t="str">
        <f>IFERROR(__xludf.DUMMYFUNCTION("""COMPUTED_VALUE"""),"ภาษาต่างประเทศ")</f>
        <v>ภาษาต่างประเทศ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>
        <f>IFERROR(__xludf.DUMMYFUNCTION("""COMPUTED_VALUE"""),4.0)</f>
        <v>4</v>
      </c>
      <c r="B873" s="1">
        <f>IFERROR(__xludf.DUMMYFUNCTION("""COMPUTED_VALUE"""),1.0)</f>
        <v>1</v>
      </c>
      <c r="C873" s="1" t="str">
        <f>IFERROR(__xludf.DUMMYFUNCTION("""COMPUTED_VALUE"""),"จ20203")</f>
        <v>จ20203</v>
      </c>
      <c r="D873" s="1" t="str">
        <f>IFERROR(__xludf.DUMMYFUNCTION("""COMPUTED_VALUE"""),"ภาษาจีน3")</f>
        <v>ภาษาจีน3</v>
      </c>
      <c r="E873" s="1">
        <f>IFERROR(__xludf.DUMMYFUNCTION("""COMPUTED_VALUE"""),0.5)</f>
        <v>0.5</v>
      </c>
      <c r="F873" s="1">
        <f>IFERROR(__xludf.DUMMYFUNCTION("""COMPUTED_VALUE"""),2569.0)</f>
        <v>2569</v>
      </c>
      <c r="G873" s="1">
        <f>IFERROR(__xludf.DUMMYFUNCTION("""COMPUTED_VALUE"""),1.0)</f>
        <v>1</v>
      </c>
      <c r="H873" s="1">
        <f>IFERROR(__xludf.DUMMYFUNCTION("""COMPUTED_VALUE"""),841.0)</f>
        <v>841</v>
      </c>
      <c r="I873" s="1" t="str">
        <f>IFERROR(__xludf.DUMMYFUNCTION("""COMPUTED_VALUE"""),"นางสาว")</f>
        <v>นางสาว</v>
      </c>
      <c r="J873" s="1" t="str">
        <f>IFERROR(__xludf.DUMMYFUNCTION("""COMPUTED_VALUE"""),"สุดารัตน์")</f>
        <v>สุดารัตน์</v>
      </c>
      <c r="K873" s="1" t="str">
        <f>IFERROR(__xludf.DUMMYFUNCTION("""COMPUTED_VALUE"""),"เหวชัยภูมิ")</f>
        <v>เหวชัยภูมิ</v>
      </c>
      <c r="L873" s="1" t="str">
        <f>IFERROR(__xludf.DUMMYFUNCTION("""COMPUTED_VALUE"""),"ม.2")</f>
        <v>ม.2</v>
      </c>
      <c r="M873" s="1" t="str">
        <f>IFERROR(__xludf.DUMMYFUNCTION("""COMPUTED_VALUE"""),"ภาษาต่างประเทศ")</f>
        <v>ภาษาต่างประเทศ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>
        <f>IFERROR(__xludf.DUMMYFUNCTION("""COMPUTED_VALUE"""),5.0)</f>
        <v>5</v>
      </c>
      <c r="B874" s="1">
        <f>IFERROR(__xludf.DUMMYFUNCTION("""COMPUTED_VALUE"""),1.0)</f>
        <v>1</v>
      </c>
      <c r="C874" s="1" t="str">
        <f>IFERROR(__xludf.DUMMYFUNCTION("""COMPUTED_VALUE"""),"จ20203")</f>
        <v>จ20203</v>
      </c>
      <c r="D874" s="1" t="str">
        <f>IFERROR(__xludf.DUMMYFUNCTION("""COMPUTED_VALUE"""),"ภาษาจีน3")</f>
        <v>ภาษาจีน3</v>
      </c>
      <c r="E874" s="1">
        <f>IFERROR(__xludf.DUMMYFUNCTION("""COMPUTED_VALUE"""),0.5)</f>
        <v>0.5</v>
      </c>
      <c r="F874" s="1">
        <f>IFERROR(__xludf.DUMMYFUNCTION("""COMPUTED_VALUE"""),2569.0)</f>
        <v>2569</v>
      </c>
      <c r="G874" s="1">
        <f>IFERROR(__xludf.DUMMYFUNCTION("""COMPUTED_VALUE"""),1.0)</f>
        <v>1</v>
      </c>
      <c r="H874" s="1">
        <f>IFERROR(__xludf.DUMMYFUNCTION("""COMPUTED_VALUE"""),841.0)</f>
        <v>841</v>
      </c>
      <c r="I874" s="1" t="str">
        <f>IFERROR(__xludf.DUMMYFUNCTION("""COMPUTED_VALUE"""),"นางสาว")</f>
        <v>นางสาว</v>
      </c>
      <c r="J874" s="1" t="str">
        <f>IFERROR(__xludf.DUMMYFUNCTION("""COMPUTED_VALUE"""),"สุดารัตน์")</f>
        <v>สุดารัตน์</v>
      </c>
      <c r="K874" s="1" t="str">
        <f>IFERROR(__xludf.DUMMYFUNCTION("""COMPUTED_VALUE"""),"เหวชัยภูมิ")</f>
        <v>เหวชัยภูมิ</v>
      </c>
      <c r="L874" s="1" t="str">
        <f>IFERROR(__xludf.DUMMYFUNCTION("""COMPUTED_VALUE"""),"ม.2")</f>
        <v>ม.2</v>
      </c>
      <c r="M874" s="1" t="str">
        <f>IFERROR(__xludf.DUMMYFUNCTION("""COMPUTED_VALUE"""),"ภาษาต่างประเทศ")</f>
        <v>ภาษาต่างประเทศ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>
        <f>IFERROR(__xludf.DUMMYFUNCTION("""COMPUTED_VALUE"""),6.0)</f>
        <v>6</v>
      </c>
      <c r="B875" s="1">
        <f>IFERROR(__xludf.DUMMYFUNCTION("""COMPUTED_VALUE"""),1.0)</f>
        <v>1</v>
      </c>
      <c r="C875" s="1" t="str">
        <f>IFERROR(__xludf.DUMMYFUNCTION("""COMPUTED_VALUE"""),"จ20203")</f>
        <v>จ20203</v>
      </c>
      <c r="D875" s="1" t="str">
        <f>IFERROR(__xludf.DUMMYFUNCTION("""COMPUTED_VALUE"""),"ภาษาจีน3")</f>
        <v>ภาษาจีน3</v>
      </c>
      <c r="E875" s="1">
        <f>IFERROR(__xludf.DUMMYFUNCTION("""COMPUTED_VALUE"""),0.5)</f>
        <v>0.5</v>
      </c>
      <c r="F875" s="1">
        <f>IFERROR(__xludf.DUMMYFUNCTION("""COMPUTED_VALUE"""),2569.0)</f>
        <v>2569</v>
      </c>
      <c r="G875" s="1">
        <f>IFERROR(__xludf.DUMMYFUNCTION("""COMPUTED_VALUE"""),1.0)</f>
        <v>1</v>
      </c>
      <c r="H875" s="1">
        <f>IFERROR(__xludf.DUMMYFUNCTION("""COMPUTED_VALUE"""),841.0)</f>
        <v>841</v>
      </c>
      <c r="I875" s="1" t="str">
        <f>IFERROR(__xludf.DUMMYFUNCTION("""COMPUTED_VALUE"""),"นางสาว")</f>
        <v>นางสาว</v>
      </c>
      <c r="J875" s="1" t="str">
        <f>IFERROR(__xludf.DUMMYFUNCTION("""COMPUTED_VALUE"""),"สุดารัตน์")</f>
        <v>สุดารัตน์</v>
      </c>
      <c r="K875" s="1" t="str">
        <f>IFERROR(__xludf.DUMMYFUNCTION("""COMPUTED_VALUE"""),"เหวชัยภูมิ")</f>
        <v>เหวชัยภูมิ</v>
      </c>
      <c r="L875" s="1" t="str">
        <f>IFERROR(__xludf.DUMMYFUNCTION("""COMPUTED_VALUE"""),"ม.2")</f>
        <v>ม.2</v>
      </c>
      <c r="M875" s="1" t="str">
        <f>IFERROR(__xludf.DUMMYFUNCTION("""COMPUTED_VALUE"""),"ภาษาต่างประเทศ")</f>
        <v>ภาษาต่างประเทศ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>
        <f>IFERROR(__xludf.DUMMYFUNCTION("""COMPUTED_VALUE"""),7.0)</f>
        <v>7</v>
      </c>
      <c r="B876" s="1">
        <f>IFERROR(__xludf.DUMMYFUNCTION("""COMPUTED_VALUE"""),1.0)</f>
        <v>1</v>
      </c>
      <c r="C876" s="1" t="str">
        <f>IFERROR(__xludf.DUMMYFUNCTION("""COMPUTED_VALUE"""),"จ20203")</f>
        <v>จ20203</v>
      </c>
      <c r="D876" s="1" t="str">
        <f>IFERROR(__xludf.DUMMYFUNCTION("""COMPUTED_VALUE"""),"ภาษาจีน3")</f>
        <v>ภาษาจีน3</v>
      </c>
      <c r="E876" s="1">
        <f>IFERROR(__xludf.DUMMYFUNCTION("""COMPUTED_VALUE"""),0.5)</f>
        <v>0.5</v>
      </c>
      <c r="F876" s="1">
        <f>IFERROR(__xludf.DUMMYFUNCTION("""COMPUTED_VALUE"""),2569.0)</f>
        <v>2569</v>
      </c>
      <c r="G876" s="1">
        <f>IFERROR(__xludf.DUMMYFUNCTION("""COMPUTED_VALUE"""),1.0)</f>
        <v>1</v>
      </c>
      <c r="H876" s="1">
        <f>IFERROR(__xludf.DUMMYFUNCTION("""COMPUTED_VALUE"""),841.0)</f>
        <v>841</v>
      </c>
      <c r="I876" s="1" t="str">
        <f>IFERROR(__xludf.DUMMYFUNCTION("""COMPUTED_VALUE"""),"นางสาว")</f>
        <v>นางสาว</v>
      </c>
      <c r="J876" s="1" t="str">
        <f>IFERROR(__xludf.DUMMYFUNCTION("""COMPUTED_VALUE"""),"สุดารัตน์")</f>
        <v>สุดารัตน์</v>
      </c>
      <c r="K876" s="1" t="str">
        <f>IFERROR(__xludf.DUMMYFUNCTION("""COMPUTED_VALUE"""),"เหวชัยภูมิ")</f>
        <v>เหวชัยภูมิ</v>
      </c>
      <c r="L876" s="1" t="str">
        <f>IFERROR(__xludf.DUMMYFUNCTION("""COMPUTED_VALUE"""),"ม.2")</f>
        <v>ม.2</v>
      </c>
      <c r="M876" s="1" t="str">
        <f>IFERROR(__xludf.DUMMYFUNCTION("""COMPUTED_VALUE"""),"ภาษาต่างประเทศ")</f>
        <v>ภาษาต่างประเทศ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>
        <f>IFERROR(__xludf.DUMMYFUNCTION("""COMPUTED_VALUE"""),4.0)</f>
        <v>4</v>
      </c>
      <c r="B877" s="1">
        <f>IFERROR(__xludf.DUMMYFUNCTION("""COMPUTED_VALUE"""),1.0)</f>
        <v>1</v>
      </c>
      <c r="C877" s="1" t="str">
        <f>IFERROR(__xludf.DUMMYFUNCTION("""COMPUTED_VALUE"""),"จ20207")</f>
        <v>จ20207</v>
      </c>
      <c r="D877" s="1" t="str">
        <f>IFERROR(__xludf.DUMMYFUNCTION("""COMPUTED_VALUE"""),"ภาษาจีนในชีวิตประจำวัน")</f>
        <v>ภาษาจีนในชีวิตประจำวัน</v>
      </c>
      <c r="E877" s="1">
        <f>IFERROR(__xludf.DUMMYFUNCTION("""COMPUTED_VALUE"""),1.0)</f>
        <v>1</v>
      </c>
      <c r="F877" s="1">
        <f>IFERROR(__xludf.DUMMYFUNCTION("""COMPUTED_VALUE"""),2569.0)</f>
        <v>2569</v>
      </c>
      <c r="G877" s="1">
        <f>IFERROR(__xludf.DUMMYFUNCTION("""COMPUTED_VALUE"""),1.0)</f>
        <v>1</v>
      </c>
      <c r="H877" s="1">
        <f>IFERROR(__xludf.DUMMYFUNCTION("""COMPUTED_VALUE"""),841.0)</f>
        <v>841</v>
      </c>
      <c r="I877" s="1" t="str">
        <f>IFERROR(__xludf.DUMMYFUNCTION("""COMPUTED_VALUE"""),"นางสาว")</f>
        <v>นางสาว</v>
      </c>
      <c r="J877" s="1" t="str">
        <f>IFERROR(__xludf.DUMMYFUNCTION("""COMPUTED_VALUE"""),"สุดารัตน์")</f>
        <v>สุดารัตน์</v>
      </c>
      <c r="K877" s="1" t="str">
        <f>IFERROR(__xludf.DUMMYFUNCTION("""COMPUTED_VALUE"""),"เหวชัยภูมิ")</f>
        <v>เหวชัยภูมิ</v>
      </c>
      <c r="L877" s="1" t="str">
        <f>IFERROR(__xludf.DUMMYFUNCTION("""COMPUTED_VALUE"""),"ม.1")</f>
        <v>ม.1</v>
      </c>
      <c r="M877" s="1" t="str">
        <f>IFERROR(__xludf.DUMMYFUNCTION("""COMPUTED_VALUE"""),"ภาษาต่างประเทศ")</f>
        <v>ภาษาต่างประเทศ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>
        <f>IFERROR(__xludf.DUMMYFUNCTION("""COMPUTED_VALUE"""),6.0)</f>
        <v>6</v>
      </c>
      <c r="B878" s="1">
        <f>IFERROR(__xludf.DUMMYFUNCTION("""COMPUTED_VALUE"""),1.0)</f>
        <v>1</v>
      </c>
      <c r="C878" s="1" t="str">
        <f>IFERROR(__xludf.DUMMYFUNCTION("""COMPUTED_VALUE"""),"จ30207")</f>
        <v>จ30207</v>
      </c>
      <c r="D878" s="1" t="str">
        <f>IFERROR(__xludf.DUMMYFUNCTION("""COMPUTED_VALUE"""),"ภาษาจีนเบื้องต้น 1")</f>
        <v>ภาษาจีนเบื้องต้น 1</v>
      </c>
      <c r="E878" s="1">
        <f>IFERROR(__xludf.DUMMYFUNCTION("""COMPUTED_VALUE"""),1.0)</f>
        <v>1</v>
      </c>
      <c r="F878" s="1">
        <f>IFERROR(__xludf.DUMMYFUNCTION("""COMPUTED_VALUE"""),2569.0)</f>
        <v>2569</v>
      </c>
      <c r="G878" s="1">
        <f>IFERROR(__xludf.DUMMYFUNCTION("""COMPUTED_VALUE"""),1.0)</f>
        <v>1</v>
      </c>
      <c r="H878" s="1">
        <f>IFERROR(__xludf.DUMMYFUNCTION("""COMPUTED_VALUE"""),841.0)</f>
        <v>841</v>
      </c>
      <c r="I878" s="1" t="str">
        <f>IFERROR(__xludf.DUMMYFUNCTION("""COMPUTED_VALUE"""),"นางสาว")</f>
        <v>นางสาว</v>
      </c>
      <c r="J878" s="1" t="str">
        <f>IFERROR(__xludf.DUMMYFUNCTION("""COMPUTED_VALUE"""),"สุดารัตน์")</f>
        <v>สุดารัตน์</v>
      </c>
      <c r="K878" s="1" t="str">
        <f>IFERROR(__xludf.DUMMYFUNCTION("""COMPUTED_VALUE"""),"เหวชัยภูมิ")</f>
        <v>เหวชัยภูมิ</v>
      </c>
      <c r="L878" s="1" t="str">
        <f>IFERROR(__xludf.DUMMYFUNCTION("""COMPUTED_VALUE"""),"ม.4")</f>
        <v>ม.4</v>
      </c>
      <c r="M878" s="1" t="str">
        <f>IFERROR(__xludf.DUMMYFUNCTION("""COMPUTED_VALUE"""),"ภาษาต่างประเทศ")</f>
        <v>ภาษาต่างประเทศ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>
        <f>IFERROR(__xludf.DUMMYFUNCTION("""COMPUTED_VALUE"""),7.0)</f>
        <v>7</v>
      </c>
      <c r="B879" s="1">
        <f>IFERROR(__xludf.DUMMYFUNCTION("""COMPUTED_VALUE"""),1.0)</f>
        <v>1</v>
      </c>
      <c r="C879" s="1" t="str">
        <f>IFERROR(__xludf.DUMMYFUNCTION("""COMPUTED_VALUE"""),"จ30217")</f>
        <v>จ30217</v>
      </c>
      <c r="D879" s="1" t="str">
        <f>IFERROR(__xludf.DUMMYFUNCTION("""COMPUTED_VALUE"""),"ภาษาจีนอ่าน-เขียน 2")</f>
        <v>ภาษาจีนอ่าน-เขียน 2</v>
      </c>
      <c r="E879" s="1">
        <f>IFERROR(__xludf.DUMMYFUNCTION("""COMPUTED_VALUE"""),1.0)</f>
        <v>1</v>
      </c>
      <c r="F879" s="1">
        <f>IFERROR(__xludf.DUMMYFUNCTION("""COMPUTED_VALUE"""),2569.0)</f>
        <v>2569</v>
      </c>
      <c r="G879" s="1">
        <f>IFERROR(__xludf.DUMMYFUNCTION("""COMPUTED_VALUE"""),1.0)</f>
        <v>1</v>
      </c>
      <c r="H879" s="1">
        <f>IFERROR(__xludf.DUMMYFUNCTION("""COMPUTED_VALUE"""),841.0)</f>
        <v>841</v>
      </c>
      <c r="I879" s="1" t="str">
        <f>IFERROR(__xludf.DUMMYFUNCTION("""COMPUTED_VALUE"""),"นางสาว")</f>
        <v>นางสาว</v>
      </c>
      <c r="J879" s="1" t="str">
        <f>IFERROR(__xludf.DUMMYFUNCTION("""COMPUTED_VALUE"""),"สุดารัตน์")</f>
        <v>สุดารัตน์</v>
      </c>
      <c r="K879" s="1" t="str">
        <f>IFERROR(__xludf.DUMMYFUNCTION("""COMPUTED_VALUE"""),"เหวชัยภูมิ")</f>
        <v>เหวชัยภูมิ</v>
      </c>
      <c r="L879" s="1" t="str">
        <f>IFERROR(__xludf.DUMMYFUNCTION("""COMPUTED_VALUE"""),"ม.6")</f>
        <v>ม.6</v>
      </c>
      <c r="M879" s="1" t="str">
        <f>IFERROR(__xludf.DUMMYFUNCTION("""COMPUTED_VALUE"""),"ภาษาต่างประเทศ")</f>
        <v>ภาษาต่างประเทศ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>
        <f>IFERROR(__xludf.DUMMYFUNCTION("""COMPUTED_VALUE"""),4.0)</f>
        <v>4</v>
      </c>
      <c r="B880" s="1">
        <f>IFERROR(__xludf.DUMMYFUNCTION("""COMPUTED_VALUE"""),2.0)</f>
        <v>2</v>
      </c>
      <c r="C880" s="1" t="str">
        <f>IFERROR(__xludf.DUMMYFUNCTION("""COMPUTED_VALUE"""),"ส20227")</f>
        <v>ส20227</v>
      </c>
      <c r="D880" s="1" t="str">
        <f>IFERROR(__xludf.DUMMYFUNCTION("""COMPUTED_VALUE"""),"การป้องกันการทุจริต 5")</f>
        <v>การป้องกันการทุจริต 5</v>
      </c>
      <c r="E880" s="1">
        <f>IFERROR(__xludf.DUMMYFUNCTION("""COMPUTED_VALUE"""),0.5)</f>
        <v>0.5</v>
      </c>
      <c r="F880" s="1">
        <f>IFERROR(__xludf.DUMMYFUNCTION("""COMPUTED_VALUE"""),2569.0)</f>
        <v>2569</v>
      </c>
      <c r="G880" s="1">
        <f>IFERROR(__xludf.DUMMYFUNCTION("""COMPUTED_VALUE"""),1.0)</f>
        <v>1</v>
      </c>
      <c r="H880" s="1">
        <f>IFERROR(__xludf.DUMMYFUNCTION("""COMPUTED_VALUE"""),841.0)</f>
        <v>841</v>
      </c>
      <c r="I880" s="1" t="str">
        <f>IFERROR(__xludf.DUMMYFUNCTION("""COMPUTED_VALUE"""),"นางสาว")</f>
        <v>นางสาว</v>
      </c>
      <c r="J880" s="1" t="str">
        <f>IFERROR(__xludf.DUMMYFUNCTION("""COMPUTED_VALUE"""),"สุดารัตน์")</f>
        <v>สุดารัตน์</v>
      </c>
      <c r="K880" s="1" t="str">
        <f>IFERROR(__xludf.DUMMYFUNCTION("""COMPUTED_VALUE"""),"เหวชัยภูมิ")</f>
        <v>เหวชัยภูมิ</v>
      </c>
      <c r="L880" s="1" t="str">
        <f>IFERROR(__xludf.DUMMYFUNCTION("""COMPUTED_VALUE"""),"ม.3")</f>
        <v>ม.3</v>
      </c>
      <c r="M880" s="1" t="str">
        <f>IFERROR(__xludf.DUMMYFUNCTION("""COMPUTED_VALUE"""),"ภาษาต่างประเทศ")</f>
        <v>ภาษาต่างประเทศ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>
        <f>IFERROR(__xludf.DUMMYFUNCTION("""COMPUTED_VALUE"""),7.0)</f>
        <v>7</v>
      </c>
      <c r="B881" s="1">
        <f>IFERROR(__xludf.DUMMYFUNCTION("""COMPUTED_VALUE"""),1.0)</f>
        <v>1</v>
      </c>
      <c r="C881" s="1" t="str">
        <f>IFERROR(__xludf.DUMMYFUNCTION("""COMPUTED_VALUE"""),"I30201")</f>
        <v>I30201</v>
      </c>
      <c r="D881" s="1" t="str">
        <f>IFERROR(__xludf.DUMMYFUNCTION("""COMPUTED_VALUE"""),"การศึกษาค้นคว้าฯ")</f>
        <v>การศึกษาค้นคว้าฯ</v>
      </c>
      <c r="E881" s="1">
        <f>IFERROR(__xludf.DUMMYFUNCTION("""COMPUTED_VALUE"""),1.0)</f>
        <v>1</v>
      </c>
      <c r="F881" s="1">
        <f>IFERROR(__xludf.DUMMYFUNCTION("""COMPUTED_VALUE"""),2569.0)</f>
        <v>2569</v>
      </c>
      <c r="G881" s="1">
        <f>IFERROR(__xludf.DUMMYFUNCTION("""COMPUTED_VALUE"""),1.0)</f>
        <v>1</v>
      </c>
      <c r="H881" s="1">
        <f>IFERROR(__xludf.DUMMYFUNCTION("""COMPUTED_VALUE"""),841.0)</f>
        <v>841</v>
      </c>
      <c r="I881" s="1" t="str">
        <f>IFERROR(__xludf.DUMMYFUNCTION("""COMPUTED_VALUE"""),"นางสาว")</f>
        <v>นางสาว</v>
      </c>
      <c r="J881" s="1" t="str">
        <f>IFERROR(__xludf.DUMMYFUNCTION("""COMPUTED_VALUE"""),"สุดารัตน์")</f>
        <v>สุดารัตน์</v>
      </c>
      <c r="K881" s="1" t="str">
        <f>IFERROR(__xludf.DUMMYFUNCTION("""COMPUTED_VALUE"""),"เหวชัยภูมิ")</f>
        <v>เหวชัยภูมิ</v>
      </c>
      <c r="L881" s="1" t="str">
        <f>IFERROR(__xludf.DUMMYFUNCTION("""COMPUTED_VALUE"""),"ม.5")</f>
        <v>ม.5</v>
      </c>
      <c r="M881" s="1" t="str">
        <f>IFERROR(__xludf.DUMMYFUNCTION("""COMPUTED_VALUE"""),"ภาษาต่างประเทศ")</f>
        <v>ภาษาต่างประเทศ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>
        <f>IFERROR(__xludf.DUMMYFUNCTION("""COMPUTED_VALUE"""),2.0)</f>
        <v>2</v>
      </c>
      <c r="B882" s="1">
        <f>IFERROR(__xludf.DUMMYFUNCTION("""COMPUTED_VALUE"""),2.0)</f>
        <v>2</v>
      </c>
      <c r="C882" s="1" t="str">
        <f>IFERROR(__xludf.DUMMYFUNCTION("""COMPUTED_VALUE"""),"ส20227")</f>
        <v>ส20227</v>
      </c>
      <c r="D882" s="1" t="str">
        <f>IFERROR(__xludf.DUMMYFUNCTION("""COMPUTED_VALUE"""),"การป้องกันการทุจริต 5")</f>
        <v>การป้องกันการทุจริต 5</v>
      </c>
      <c r="E882" s="1">
        <f>IFERROR(__xludf.DUMMYFUNCTION("""COMPUTED_VALUE"""),0.5)</f>
        <v>0.5</v>
      </c>
      <c r="F882" s="1">
        <f>IFERROR(__xludf.DUMMYFUNCTION("""COMPUTED_VALUE"""),2569.0)</f>
        <v>2569</v>
      </c>
      <c r="G882" s="1">
        <f>IFERROR(__xludf.DUMMYFUNCTION("""COMPUTED_VALUE"""),1.0)</f>
        <v>1</v>
      </c>
      <c r="H882" s="1">
        <f>IFERROR(__xludf.DUMMYFUNCTION("""COMPUTED_VALUE"""),842.0)</f>
        <v>842</v>
      </c>
      <c r="I882" s="1" t="str">
        <f>IFERROR(__xludf.DUMMYFUNCTION("""COMPUTED_VALUE"""),"นางสาว")</f>
        <v>นางสาว</v>
      </c>
      <c r="J882" s="1" t="str">
        <f>IFERROR(__xludf.DUMMYFUNCTION("""COMPUTED_VALUE"""),"วิภา")</f>
        <v>วิภา</v>
      </c>
      <c r="K882" s="1" t="str">
        <f>IFERROR(__xludf.DUMMYFUNCTION("""COMPUTED_VALUE"""),"ศรีไพร")</f>
        <v>ศรีไพร</v>
      </c>
      <c r="L882" s="1" t="str">
        <f>IFERROR(__xludf.DUMMYFUNCTION("""COMPUTED_VALUE"""),"ม.3")</f>
        <v>ม.3</v>
      </c>
      <c r="M882" s="1" t="str">
        <f>IFERROR(__xludf.DUMMYFUNCTION("""COMPUTED_VALUE"""),"ภาษาต่างประเทศ")</f>
        <v>ภาษาต่างประเทศ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>
        <f>IFERROR(__xludf.DUMMYFUNCTION("""COMPUTED_VALUE"""),5.0)</f>
        <v>5</v>
      </c>
      <c r="B883" s="1">
        <f>IFERROR(__xludf.DUMMYFUNCTION("""COMPUTED_VALUE"""),1.0)</f>
        <v>1</v>
      </c>
      <c r="C883" s="1" t="str">
        <f>IFERROR(__xludf.DUMMYFUNCTION("""COMPUTED_VALUE"""),"อ30211")</f>
        <v>อ30211</v>
      </c>
      <c r="D883" s="1" t="str">
        <f>IFERROR(__xludf.DUMMYFUNCTION("""COMPUTED_VALUE"""),"ภาษาอังกฤษอ่าน-เขียน 5")</f>
        <v>ภาษาอังกฤษอ่าน-เขียน 5</v>
      </c>
      <c r="E883" s="1">
        <f>IFERROR(__xludf.DUMMYFUNCTION("""COMPUTED_VALUE"""),1.0)</f>
        <v>1</v>
      </c>
      <c r="F883" s="1">
        <f>IFERROR(__xludf.DUMMYFUNCTION("""COMPUTED_VALUE"""),2569.0)</f>
        <v>2569</v>
      </c>
      <c r="G883" s="1">
        <f>IFERROR(__xludf.DUMMYFUNCTION("""COMPUTED_VALUE"""),1.0)</f>
        <v>1</v>
      </c>
      <c r="H883" s="1">
        <f>IFERROR(__xludf.DUMMYFUNCTION("""COMPUTED_VALUE"""),842.0)</f>
        <v>842</v>
      </c>
      <c r="I883" s="1" t="str">
        <f>IFERROR(__xludf.DUMMYFUNCTION("""COMPUTED_VALUE"""),"นางสาว")</f>
        <v>นางสาว</v>
      </c>
      <c r="J883" s="1" t="str">
        <f>IFERROR(__xludf.DUMMYFUNCTION("""COMPUTED_VALUE"""),"วิภา")</f>
        <v>วิภา</v>
      </c>
      <c r="K883" s="1" t="str">
        <f>IFERROR(__xludf.DUMMYFUNCTION("""COMPUTED_VALUE"""),"ศรีไพร")</f>
        <v>ศรีไพร</v>
      </c>
      <c r="L883" s="1" t="str">
        <f>IFERROR(__xludf.DUMMYFUNCTION("""COMPUTED_VALUE"""),"ม.6")</f>
        <v>ม.6</v>
      </c>
      <c r="M883" s="1" t="str">
        <f>IFERROR(__xludf.DUMMYFUNCTION("""COMPUTED_VALUE"""),"ภาษาต่างประเทศ")</f>
        <v>ภาษาต่างประเทศ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>
        <f>IFERROR(__xludf.DUMMYFUNCTION("""COMPUTED_VALUE"""),6.0)</f>
        <v>6</v>
      </c>
      <c r="B884" s="1">
        <f>IFERROR(__xludf.DUMMYFUNCTION("""COMPUTED_VALUE"""),1.0)</f>
        <v>1</v>
      </c>
      <c r="C884" s="1" t="str">
        <f>IFERROR(__xludf.DUMMYFUNCTION("""COMPUTED_VALUE"""),"อ30211")</f>
        <v>อ30211</v>
      </c>
      <c r="D884" s="1" t="str">
        <f>IFERROR(__xludf.DUMMYFUNCTION("""COMPUTED_VALUE"""),"ภาษาอังกฤษอ่าน-เขียน 5")</f>
        <v>ภาษาอังกฤษอ่าน-เขียน 5</v>
      </c>
      <c r="E884" s="1">
        <f>IFERROR(__xludf.DUMMYFUNCTION("""COMPUTED_VALUE"""),1.0)</f>
        <v>1</v>
      </c>
      <c r="F884" s="1">
        <f>IFERROR(__xludf.DUMMYFUNCTION("""COMPUTED_VALUE"""),2569.0)</f>
        <v>2569</v>
      </c>
      <c r="G884" s="1">
        <f>IFERROR(__xludf.DUMMYFUNCTION("""COMPUTED_VALUE"""),1.0)</f>
        <v>1</v>
      </c>
      <c r="H884" s="1">
        <f>IFERROR(__xludf.DUMMYFUNCTION("""COMPUTED_VALUE"""),842.0)</f>
        <v>842</v>
      </c>
      <c r="I884" s="1" t="str">
        <f>IFERROR(__xludf.DUMMYFUNCTION("""COMPUTED_VALUE"""),"นางสาว")</f>
        <v>นางสาว</v>
      </c>
      <c r="J884" s="1" t="str">
        <f>IFERROR(__xludf.DUMMYFUNCTION("""COMPUTED_VALUE"""),"วิภา")</f>
        <v>วิภา</v>
      </c>
      <c r="K884" s="1" t="str">
        <f>IFERROR(__xludf.DUMMYFUNCTION("""COMPUTED_VALUE"""),"ศรีไพร")</f>
        <v>ศรีไพร</v>
      </c>
      <c r="L884" s="1" t="str">
        <f>IFERROR(__xludf.DUMMYFUNCTION("""COMPUTED_VALUE"""),"ม.6")</f>
        <v>ม.6</v>
      </c>
      <c r="M884" s="1" t="str">
        <f>IFERROR(__xludf.DUMMYFUNCTION("""COMPUTED_VALUE"""),"ภาษาต่างประเทศ")</f>
        <v>ภาษาต่างประเทศ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>
        <f>IFERROR(__xludf.DUMMYFUNCTION("""COMPUTED_VALUE"""),7.0)</f>
        <v>7</v>
      </c>
      <c r="B885" s="1">
        <f>IFERROR(__xludf.DUMMYFUNCTION("""COMPUTED_VALUE"""),1.0)</f>
        <v>1</v>
      </c>
      <c r="C885" s="1" t="str">
        <f>IFERROR(__xludf.DUMMYFUNCTION("""COMPUTED_VALUE"""),"อ30211")</f>
        <v>อ30211</v>
      </c>
      <c r="D885" s="1" t="str">
        <f>IFERROR(__xludf.DUMMYFUNCTION("""COMPUTED_VALUE"""),"ภาษาอังกฤษอ่าน-เขียน 5")</f>
        <v>ภาษาอังกฤษอ่าน-เขียน 5</v>
      </c>
      <c r="E885" s="1">
        <f>IFERROR(__xludf.DUMMYFUNCTION("""COMPUTED_VALUE"""),1.0)</f>
        <v>1</v>
      </c>
      <c r="F885" s="1">
        <f>IFERROR(__xludf.DUMMYFUNCTION("""COMPUTED_VALUE"""),2569.0)</f>
        <v>2569</v>
      </c>
      <c r="G885" s="1">
        <f>IFERROR(__xludf.DUMMYFUNCTION("""COMPUTED_VALUE"""),1.0)</f>
        <v>1</v>
      </c>
      <c r="H885" s="1">
        <f>IFERROR(__xludf.DUMMYFUNCTION("""COMPUTED_VALUE"""),842.0)</f>
        <v>842</v>
      </c>
      <c r="I885" s="1" t="str">
        <f>IFERROR(__xludf.DUMMYFUNCTION("""COMPUTED_VALUE"""),"นางสาว")</f>
        <v>นางสาว</v>
      </c>
      <c r="J885" s="1" t="str">
        <f>IFERROR(__xludf.DUMMYFUNCTION("""COMPUTED_VALUE"""),"วิภา")</f>
        <v>วิภา</v>
      </c>
      <c r="K885" s="1" t="str">
        <f>IFERROR(__xludf.DUMMYFUNCTION("""COMPUTED_VALUE"""),"ศรีไพร")</f>
        <v>ศรีไพร</v>
      </c>
      <c r="L885" s="1" t="str">
        <f>IFERROR(__xludf.DUMMYFUNCTION("""COMPUTED_VALUE"""),"ม.6")</f>
        <v>ม.6</v>
      </c>
      <c r="M885" s="1" t="str">
        <f>IFERROR(__xludf.DUMMYFUNCTION("""COMPUTED_VALUE"""),"ภาษาต่างประเทศ")</f>
        <v>ภาษาต่างประเทศ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>
        <f>IFERROR(__xludf.DUMMYFUNCTION("""COMPUTED_VALUE"""),2.0)</f>
        <v>2</v>
      </c>
      <c r="B886" s="1">
        <f>IFERROR(__xludf.DUMMYFUNCTION("""COMPUTED_VALUE"""),1.0)</f>
        <v>1</v>
      </c>
      <c r="C886" s="1" t="str">
        <f>IFERROR(__xludf.DUMMYFUNCTION("""COMPUTED_VALUE"""),"อ33101")</f>
        <v>อ33101</v>
      </c>
      <c r="D886" s="1" t="str">
        <f>IFERROR(__xludf.DUMMYFUNCTION("""COMPUTED_VALUE"""),"ภาษาอังกฤษ 5")</f>
        <v>ภาษาอังกฤษ 5</v>
      </c>
      <c r="E886" s="1">
        <f>IFERROR(__xludf.DUMMYFUNCTION("""COMPUTED_VALUE"""),1.0)</f>
        <v>1</v>
      </c>
      <c r="F886" s="1">
        <f>IFERROR(__xludf.DUMMYFUNCTION("""COMPUTED_VALUE"""),2569.0)</f>
        <v>2569</v>
      </c>
      <c r="G886" s="1">
        <f>IFERROR(__xludf.DUMMYFUNCTION("""COMPUTED_VALUE"""),1.0)</f>
        <v>1</v>
      </c>
      <c r="H886" s="1">
        <f>IFERROR(__xludf.DUMMYFUNCTION("""COMPUTED_VALUE"""),842.0)</f>
        <v>842</v>
      </c>
      <c r="I886" s="1" t="str">
        <f>IFERROR(__xludf.DUMMYFUNCTION("""COMPUTED_VALUE"""),"นางสาว")</f>
        <v>นางสาว</v>
      </c>
      <c r="J886" s="1" t="str">
        <f>IFERROR(__xludf.DUMMYFUNCTION("""COMPUTED_VALUE"""),"วิภา")</f>
        <v>วิภา</v>
      </c>
      <c r="K886" s="1" t="str">
        <f>IFERROR(__xludf.DUMMYFUNCTION("""COMPUTED_VALUE"""),"ศรีไพร")</f>
        <v>ศรีไพร</v>
      </c>
      <c r="L886" s="1" t="str">
        <f>IFERROR(__xludf.DUMMYFUNCTION("""COMPUTED_VALUE"""),"ม.6")</f>
        <v>ม.6</v>
      </c>
      <c r="M886" s="1" t="str">
        <f>IFERROR(__xludf.DUMMYFUNCTION("""COMPUTED_VALUE"""),"ภาษาต่างประเทศ")</f>
        <v>ภาษาต่างประเทศ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>
        <f>IFERROR(__xludf.DUMMYFUNCTION("""COMPUTED_VALUE"""),4.0)</f>
        <v>4</v>
      </c>
      <c r="B887" s="1">
        <f>IFERROR(__xludf.DUMMYFUNCTION("""COMPUTED_VALUE"""),1.0)</f>
        <v>1</v>
      </c>
      <c r="C887" s="1" t="str">
        <f>IFERROR(__xludf.DUMMYFUNCTION("""COMPUTED_VALUE"""),"อ33101")</f>
        <v>อ33101</v>
      </c>
      <c r="D887" s="1" t="str">
        <f>IFERROR(__xludf.DUMMYFUNCTION("""COMPUTED_VALUE"""),"ภาษาอังกฤษ 5")</f>
        <v>ภาษาอังกฤษ 5</v>
      </c>
      <c r="E887" s="1">
        <f>IFERROR(__xludf.DUMMYFUNCTION("""COMPUTED_VALUE"""),1.0)</f>
        <v>1</v>
      </c>
      <c r="F887" s="1">
        <f>IFERROR(__xludf.DUMMYFUNCTION("""COMPUTED_VALUE"""),2569.0)</f>
        <v>2569</v>
      </c>
      <c r="G887" s="1">
        <f>IFERROR(__xludf.DUMMYFUNCTION("""COMPUTED_VALUE"""),1.0)</f>
        <v>1</v>
      </c>
      <c r="H887" s="1">
        <f>IFERROR(__xludf.DUMMYFUNCTION("""COMPUTED_VALUE"""),842.0)</f>
        <v>842</v>
      </c>
      <c r="I887" s="1" t="str">
        <f>IFERROR(__xludf.DUMMYFUNCTION("""COMPUTED_VALUE"""),"นางสาว")</f>
        <v>นางสาว</v>
      </c>
      <c r="J887" s="1" t="str">
        <f>IFERROR(__xludf.DUMMYFUNCTION("""COMPUTED_VALUE"""),"วิภา")</f>
        <v>วิภา</v>
      </c>
      <c r="K887" s="1" t="str">
        <f>IFERROR(__xludf.DUMMYFUNCTION("""COMPUTED_VALUE"""),"ศรีไพร")</f>
        <v>ศรีไพร</v>
      </c>
      <c r="L887" s="1" t="str">
        <f>IFERROR(__xludf.DUMMYFUNCTION("""COMPUTED_VALUE"""),"ม.6")</f>
        <v>ม.6</v>
      </c>
      <c r="M887" s="1" t="str">
        <f>IFERROR(__xludf.DUMMYFUNCTION("""COMPUTED_VALUE"""),"ภาษาต่างประเทศ")</f>
        <v>ภาษาต่างประเทศ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>
        <f>IFERROR(__xludf.DUMMYFUNCTION("""COMPUTED_VALUE"""),6.0)</f>
        <v>6</v>
      </c>
      <c r="B888" s="1">
        <f>IFERROR(__xludf.DUMMYFUNCTION("""COMPUTED_VALUE"""),1.0)</f>
        <v>1</v>
      </c>
      <c r="C888" s="1" t="str">
        <f>IFERROR(__xludf.DUMMYFUNCTION("""COMPUTED_VALUE"""),"อ33101")</f>
        <v>อ33101</v>
      </c>
      <c r="D888" s="1" t="str">
        <f>IFERROR(__xludf.DUMMYFUNCTION("""COMPUTED_VALUE"""),"ภาษาอังกฤษ 5")</f>
        <v>ภาษาอังกฤษ 5</v>
      </c>
      <c r="E888" s="1">
        <f>IFERROR(__xludf.DUMMYFUNCTION("""COMPUTED_VALUE"""),1.0)</f>
        <v>1</v>
      </c>
      <c r="F888" s="1">
        <f>IFERROR(__xludf.DUMMYFUNCTION("""COMPUTED_VALUE"""),2569.0)</f>
        <v>2569</v>
      </c>
      <c r="G888" s="1">
        <f>IFERROR(__xludf.DUMMYFUNCTION("""COMPUTED_VALUE"""),1.0)</f>
        <v>1</v>
      </c>
      <c r="H888" s="1">
        <f>IFERROR(__xludf.DUMMYFUNCTION("""COMPUTED_VALUE"""),842.0)</f>
        <v>842</v>
      </c>
      <c r="I888" s="1" t="str">
        <f>IFERROR(__xludf.DUMMYFUNCTION("""COMPUTED_VALUE"""),"นางสาว")</f>
        <v>นางสาว</v>
      </c>
      <c r="J888" s="1" t="str">
        <f>IFERROR(__xludf.DUMMYFUNCTION("""COMPUTED_VALUE"""),"วิภา")</f>
        <v>วิภา</v>
      </c>
      <c r="K888" s="1" t="str">
        <f>IFERROR(__xludf.DUMMYFUNCTION("""COMPUTED_VALUE"""),"ศรีไพร")</f>
        <v>ศรีไพร</v>
      </c>
      <c r="L888" s="1" t="str">
        <f>IFERROR(__xludf.DUMMYFUNCTION("""COMPUTED_VALUE"""),"ม.6")</f>
        <v>ม.6</v>
      </c>
      <c r="M888" s="1" t="str">
        <f>IFERROR(__xludf.DUMMYFUNCTION("""COMPUTED_VALUE"""),"ภาษาต่างประเทศ")</f>
        <v>ภาษาต่างประเทศ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>
        <f>IFERROR(__xludf.DUMMYFUNCTION("""COMPUTED_VALUE"""),7.0)</f>
        <v>7</v>
      </c>
      <c r="B889" s="1">
        <f>IFERROR(__xludf.DUMMYFUNCTION("""COMPUTED_VALUE"""),1.0)</f>
        <v>1</v>
      </c>
      <c r="C889" s="1" t="str">
        <f>IFERROR(__xludf.DUMMYFUNCTION("""COMPUTED_VALUE"""),"อ33101")</f>
        <v>อ33101</v>
      </c>
      <c r="D889" s="1" t="str">
        <f>IFERROR(__xludf.DUMMYFUNCTION("""COMPUTED_VALUE"""),"ภาษาอังกฤษ 5")</f>
        <v>ภาษาอังกฤษ 5</v>
      </c>
      <c r="E889" s="1">
        <f>IFERROR(__xludf.DUMMYFUNCTION("""COMPUTED_VALUE"""),1.0)</f>
        <v>1</v>
      </c>
      <c r="F889" s="1">
        <f>IFERROR(__xludf.DUMMYFUNCTION("""COMPUTED_VALUE"""),2569.0)</f>
        <v>2569</v>
      </c>
      <c r="G889" s="1">
        <f>IFERROR(__xludf.DUMMYFUNCTION("""COMPUTED_VALUE"""),1.0)</f>
        <v>1</v>
      </c>
      <c r="H889" s="1">
        <f>IFERROR(__xludf.DUMMYFUNCTION("""COMPUTED_VALUE"""),842.0)</f>
        <v>842</v>
      </c>
      <c r="I889" s="1" t="str">
        <f>IFERROR(__xludf.DUMMYFUNCTION("""COMPUTED_VALUE"""),"นางสาว")</f>
        <v>นางสาว</v>
      </c>
      <c r="J889" s="1" t="str">
        <f>IFERROR(__xludf.DUMMYFUNCTION("""COMPUTED_VALUE"""),"วิภา")</f>
        <v>วิภา</v>
      </c>
      <c r="K889" s="1" t="str">
        <f>IFERROR(__xludf.DUMMYFUNCTION("""COMPUTED_VALUE"""),"ศรีไพร")</f>
        <v>ศรีไพร</v>
      </c>
      <c r="L889" s="1" t="str">
        <f>IFERROR(__xludf.DUMMYFUNCTION("""COMPUTED_VALUE"""),"ม.6")</f>
        <v>ม.6</v>
      </c>
      <c r="M889" s="1" t="str">
        <f>IFERROR(__xludf.DUMMYFUNCTION("""COMPUTED_VALUE"""),"ภาษาต่างประเทศ")</f>
        <v>ภาษาต่างประเทศ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>
        <f>IFERROR(__xludf.DUMMYFUNCTION("""COMPUTED_VALUE"""),9.0)</f>
        <v>9</v>
      </c>
      <c r="B890" s="1">
        <f>IFERROR(__xludf.DUMMYFUNCTION("""COMPUTED_VALUE"""),1.0)</f>
        <v>1</v>
      </c>
      <c r="C890" s="1" t="str">
        <f>IFERROR(__xludf.DUMMYFUNCTION("""COMPUTED_VALUE"""),"อ33101")</f>
        <v>อ33101</v>
      </c>
      <c r="D890" s="1" t="str">
        <f>IFERROR(__xludf.DUMMYFUNCTION("""COMPUTED_VALUE"""),"ภาษาอังกฤษ 5")</f>
        <v>ภาษาอังกฤษ 5</v>
      </c>
      <c r="E890" s="1">
        <f>IFERROR(__xludf.DUMMYFUNCTION("""COMPUTED_VALUE"""),1.0)</f>
        <v>1</v>
      </c>
      <c r="F890" s="1">
        <f>IFERROR(__xludf.DUMMYFUNCTION("""COMPUTED_VALUE"""),2569.0)</f>
        <v>2569</v>
      </c>
      <c r="G890" s="1">
        <f>IFERROR(__xludf.DUMMYFUNCTION("""COMPUTED_VALUE"""),1.0)</f>
        <v>1</v>
      </c>
      <c r="H890" s="1">
        <f>IFERROR(__xludf.DUMMYFUNCTION("""COMPUTED_VALUE"""),842.0)</f>
        <v>842</v>
      </c>
      <c r="I890" s="1" t="str">
        <f>IFERROR(__xludf.DUMMYFUNCTION("""COMPUTED_VALUE"""),"นางสาว")</f>
        <v>นางสาว</v>
      </c>
      <c r="J890" s="1" t="str">
        <f>IFERROR(__xludf.DUMMYFUNCTION("""COMPUTED_VALUE"""),"วิภา")</f>
        <v>วิภา</v>
      </c>
      <c r="K890" s="1" t="str">
        <f>IFERROR(__xludf.DUMMYFUNCTION("""COMPUTED_VALUE"""),"ศรีไพร")</f>
        <v>ศรีไพร</v>
      </c>
      <c r="L890" s="1" t="str">
        <f>IFERROR(__xludf.DUMMYFUNCTION("""COMPUTED_VALUE"""),"ม.6")</f>
        <v>ม.6</v>
      </c>
      <c r="M890" s="1" t="str">
        <f>IFERROR(__xludf.DUMMYFUNCTION("""COMPUTED_VALUE"""),"ภาษาต่างประเทศ")</f>
        <v>ภาษาต่างประเทศ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>
        <f>IFERROR(__xludf.DUMMYFUNCTION("""COMPUTED_VALUE"""),5.0)</f>
        <v>5</v>
      </c>
      <c r="B891" s="1">
        <f>IFERROR(__xludf.DUMMYFUNCTION("""COMPUTED_VALUE"""),1.0)</f>
        <v>1</v>
      </c>
      <c r="C891" s="1" t="str">
        <f>IFERROR(__xludf.DUMMYFUNCTION("""COMPUTED_VALUE"""),"I30201")</f>
        <v>I30201</v>
      </c>
      <c r="D891" s="1" t="str">
        <f>IFERROR(__xludf.DUMMYFUNCTION("""COMPUTED_VALUE"""),"การศึกษาค้นคว้าฯ")</f>
        <v>การศึกษาค้นคว้าฯ</v>
      </c>
      <c r="E891" s="1">
        <f>IFERROR(__xludf.DUMMYFUNCTION("""COMPUTED_VALUE"""),1.0)</f>
        <v>1</v>
      </c>
      <c r="F891" s="1">
        <f>IFERROR(__xludf.DUMMYFUNCTION("""COMPUTED_VALUE"""),2569.0)</f>
        <v>2569</v>
      </c>
      <c r="G891" s="1">
        <f>IFERROR(__xludf.DUMMYFUNCTION("""COMPUTED_VALUE"""),1.0)</f>
        <v>1</v>
      </c>
      <c r="H891" s="1">
        <f>IFERROR(__xludf.DUMMYFUNCTION("""COMPUTED_VALUE"""),842.0)</f>
        <v>842</v>
      </c>
      <c r="I891" s="1" t="str">
        <f>IFERROR(__xludf.DUMMYFUNCTION("""COMPUTED_VALUE"""),"นางสาว")</f>
        <v>นางสาว</v>
      </c>
      <c r="J891" s="1" t="str">
        <f>IFERROR(__xludf.DUMMYFUNCTION("""COMPUTED_VALUE"""),"วิภา")</f>
        <v>วิภา</v>
      </c>
      <c r="K891" s="1" t="str">
        <f>IFERROR(__xludf.DUMMYFUNCTION("""COMPUTED_VALUE"""),"ศรีไพร")</f>
        <v>ศรีไพร</v>
      </c>
      <c r="L891" s="1" t="str">
        <f>IFERROR(__xludf.DUMMYFUNCTION("""COMPUTED_VALUE"""),"ม.5")</f>
        <v>ม.5</v>
      </c>
      <c r="M891" s="1" t="str">
        <f>IFERROR(__xludf.DUMMYFUNCTION("""COMPUTED_VALUE"""),"ภาษาต่างประเทศ")</f>
        <v>ภาษาต่างประเทศ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>
        <f>IFERROR(__xludf.DUMMYFUNCTION("""COMPUTED_VALUE"""),6.0)</f>
        <v>6</v>
      </c>
      <c r="B892" s="1">
        <f>IFERROR(__xludf.DUMMYFUNCTION("""COMPUTED_VALUE"""),1.0)</f>
        <v>1</v>
      </c>
      <c r="C892" s="1" t="str">
        <f>IFERROR(__xludf.DUMMYFUNCTION("""COMPUTED_VALUE"""),"I30201")</f>
        <v>I30201</v>
      </c>
      <c r="D892" s="1" t="str">
        <f>IFERROR(__xludf.DUMMYFUNCTION("""COMPUTED_VALUE"""),"การศึกษาค้นคว้าฯ")</f>
        <v>การศึกษาค้นคว้าฯ</v>
      </c>
      <c r="E892" s="1">
        <f>IFERROR(__xludf.DUMMYFUNCTION("""COMPUTED_VALUE"""),1.0)</f>
        <v>1</v>
      </c>
      <c r="F892" s="1">
        <f>IFERROR(__xludf.DUMMYFUNCTION("""COMPUTED_VALUE"""),2569.0)</f>
        <v>2569</v>
      </c>
      <c r="G892" s="1">
        <f>IFERROR(__xludf.DUMMYFUNCTION("""COMPUTED_VALUE"""),1.0)</f>
        <v>1</v>
      </c>
      <c r="H892" s="1">
        <f>IFERROR(__xludf.DUMMYFUNCTION("""COMPUTED_VALUE"""),842.0)</f>
        <v>842</v>
      </c>
      <c r="I892" s="1" t="str">
        <f>IFERROR(__xludf.DUMMYFUNCTION("""COMPUTED_VALUE"""),"นางสาว")</f>
        <v>นางสาว</v>
      </c>
      <c r="J892" s="1" t="str">
        <f>IFERROR(__xludf.DUMMYFUNCTION("""COMPUTED_VALUE"""),"วิภา")</f>
        <v>วิภา</v>
      </c>
      <c r="K892" s="1" t="str">
        <f>IFERROR(__xludf.DUMMYFUNCTION("""COMPUTED_VALUE"""),"ศรีไพร")</f>
        <v>ศรีไพร</v>
      </c>
      <c r="L892" s="1" t="str">
        <f>IFERROR(__xludf.DUMMYFUNCTION("""COMPUTED_VALUE"""),"ม.5")</f>
        <v>ม.5</v>
      </c>
      <c r="M892" s="1" t="str">
        <f>IFERROR(__xludf.DUMMYFUNCTION("""COMPUTED_VALUE"""),"ภาษาต่างประเทศ")</f>
        <v>ภาษาต่างประเทศ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>
        <f>IFERROR(__xludf.DUMMYFUNCTION("""COMPUTED_VALUE"""),2.0)</f>
        <v>2</v>
      </c>
      <c r="B893" s="1">
        <f>IFERROR(__xludf.DUMMYFUNCTION("""COMPUTED_VALUE"""),1.0)</f>
        <v>1</v>
      </c>
      <c r="C893" s="1" t="str">
        <f>IFERROR(__xludf.DUMMYFUNCTION("""COMPUTED_VALUE"""),"อ20201")</f>
        <v>อ20201</v>
      </c>
      <c r="D893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93" s="1">
        <f>IFERROR(__xludf.DUMMYFUNCTION("""COMPUTED_VALUE"""),0.5)</f>
        <v>0.5</v>
      </c>
      <c r="F893" s="1">
        <f>IFERROR(__xludf.DUMMYFUNCTION("""COMPUTED_VALUE"""),2569.0)</f>
        <v>2569</v>
      </c>
      <c r="G893" s="1">
        <f>IFERROR(__xludf.DUMMYFUNCTION("""COMPUTED_VALUE"""),1.0)</f>
        <v>1</v>
      </c>
      <c r="H893" s="1">
        <f>IFERROR(__xludf.DUMMYFUNCTION("""COMPUTED_VALUE"""),843.0)</f>
        <v>843</v>
      </c>
      <c r="I893" s="1" t="str">
        <f>IFERROR(__xludf.DUMMYFUNCTION("""COMPUTED_VALUE"""),"นาง")</f>
        <v>นาง</v>
      </c>
      <c r="J893" s="1" t="str">
        <f>IFERROR(__xludf.DUMMYFUNCTION("""COMPUTED_VALUE"""),"วราภรณ์")</f>
        <v>วราภรณ์</v>
      </c>
      <c r="K893" s="1" t="str">
        <f>IFERROR(__xludf.DUMMYFUNCTION("""COMPUTED_VALUE"""),"พหลยุทธ")</f>
        <v>พหลยุทธ</v>
      </c>
      <c r="L893" s="1" t="str">
        <f>IFERROR(__xludf.DUMMYFUNCTION("""COMPUTED_VALUE"""),"ม.1")</f>
        <v>ม.1</v>
      </c>
      <c r="M893" s="1" t="str">
        <f>IFERROR(__xludf.DUMMYFUNCTION("""COMPUTED_VALUE"""),"ภาษาต่างประเทศ")</f>
        <v>ภาษาต่างประเทศ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>
        <f>IFERROR(__xludf.DUMMYFUNCTION("""COMPUTED_VALUE"""),3.0)</f>
        <v>3</v>
      </c>
      <c r="B894" s="1">
        <f>IFERROR(__xludf.DUMMYFUNCTION("""COMPUTED_VALUE"""),1.0)</f>
        <v>1</v>
      </c>
      <c r="C894" s="1" t="str">
        <f>IFERROR(__xludf.DUMMYFUNCTION("""COMPUTED_VALUE"""),"อ20201")</f>
        <v>อ20201</v>
      </c>
      <c r="D894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94" s="1">
        <f>IFERROR(__xludf.DUMMYFUNCTION("""COMPUTED_VALUE"""),0.5)</f>
        <v>0.5</v>
      </c>
      <c r="F894" s="1">
        <f>IFERROR(__xludf.DUMMYFUNCTION("""COMPUTED_VALUE"""),2569.0)</f>
        <v>2569</v>
      </c>
      <c r="G894" s="1">
        <f>IFERROR(__xludf.DUMMYFUNCTION("""COMPUTED_VALUE"""),1.0)</f>
        <v>1</v>
      </c>
      <c r="H894" s="1">
        <f>IFERROR(__xludf.DUMMYFUNCTION("""COMPUTED_VALUE"""),843.0)</f>
        <v>843</v>
      </c>
      <c r="I894" s="1" t="str">
        <f>IFERROR(__xludf.DUMMYFUNCTION("""COMPUTED_VALUE"""),"นาง")</f>
        <v>นาง</v>
      </c>
      <c r="J894" s="1" t="str">
        <f>IFERROR(__xludf.DUMMYFUNCTION("""COMPUTED_VALUE"""),"วราภรณ์")</f>
        <v>วราภรณ์</v>
      </c>
      <c r="K894" s="1" t="str">
        <f>IFERROR(__xludf.DUMMYFUNCTION("""COMPUTED_VALUE"""),"พหลยุทธ")</f>
        <v>พหลยุทธ</v>
      </c>
      <c r="L894" s="1" t="str">
        <f>IFERROR(__xludf.DUMMYFUNCTION("""COMPUTED_VALUE"""),"ม.1")</f>
        <v>ม.1</v>
      </c>
      <c r="M894" s="1" t="str">
        <f>IFERROR(__xludf.DUMMYFUNCTION("""COMPUTED_VALUE"""),"ภาษาต่างประเทศ")</f>
        <v>ภาษาต่างประเทศ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>
        <f>IFERROR(__xludf.DUMMYFUNCTION("""COMPUTED_VALUE"""),4.0)</f>
        <v>4</v>
      </c>
      <c r="B895" s="1">
        <f>IFERROR(__xludf.DUMMYFUNCTION("""COMPUTED_VALUE"""),1.0)</f>
        <v>1</v>
      </c>
      <c r="C895" s="1" t="str">
        <f>IFERROR(__xludf.DUMMYFUNCTION("""COMPUTED_VALUE"""),"อ20201")</f>
        <v>อ20201</v>
      </c>
      <c r="D895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95" s="1">
        <f>IFERROR(__xludf.DUMMYFUNCTION("""COMPUTED_VALUE"""),0.5)</f>
        <v>0.5</v>
      </c>
      <c r="F895" s="1">
        <f>IFERROR(__xludf.DUMMYFUNCTION("""COMPUTED_VALUE"""),2569.0)</f>
        <v>2569</v>
      </c>
      <c r="G895" s="1">
        <f>IFERROR(__xludf.DUMMYFUNCTION("""COMPUTED_VALUE"""),1.0)</f>
        <v>1</v>
      </c>
      <c r="H895" s="1">
        <f>IFERROR(__xludf.DUMMYFUNCTION("""COMPUTED_VALUE"""),843.0)</f>
        <v>843</v>
      </c>
      <c r="I895" s="1" t="str">
        <f>IFERROR(__xludf.DUMMYFUNCTION("""COMPUTED_VALUE"""),"นาง")</f>
        <v>นาง</v>
      </c>
      <c r="J895" s="1" t="str">
        <f>IFERROR(__xludf.DUMMYFUNCTION("""COMPUTED_VALUE"""),"วราภรณ์")</f>
        <v>วราภรณ์</v>
      </c>
      <c r="K895" s="1" t="str">
        <f>IFERROR(__xludf.DUMMYFUNCTION("""COMPUTED_VALUE"""),"พหลยุทธ")</f>
        <v>พหลยุทธ</v>
      </c>
      <c r="L895" s="1" t="str">
        <f>IFERROR(__xludf.DUMMYFUNCTION("""COMPUTED_VALUE"""),"ม.1")</f>
        <v>ม.1</v>
      </c>
      <c r="M895" s="1" t="str">
        <f>IFERROR(__xludf.DUMMYFUNCTION("""COMPUTED_VALUE"""),"ภาษาต่างประเทศ")</f>
        <v>ภาษาต่างประเทศ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>
        <f>IFERROR(__xludf.DUMMYFUNCTION("""COMPUTED_VALUE"""),5.0)</f>
        <v>5</v>
      </c>
      <c r="B896" s="1">
        <f>IFERROR(__xludf.DUMMYFUNCTION("""COMPUTED_VALUE"""),1.0)</f>
        <v>1</v>
      </c>
      <c r="C896" s="1" t="str">
        <f>IFERROR(__xludf.DUMMYFUNCTION("""COMPUTED_VALUE"""),"อ20201")</f>
        <v>อ20201</v>
      </c>
      <c r="D896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96" s="1">
        <f>IFERROR(__xludf.DUMMYFUNCTION("""COMPUTED_VALUE"""),0.5)</f>
        <v>0.5</v>
      </c>
      <c r="F896" s="1">
        <f>IFERROR(__xludf.DUMMYFUNCTION("""COMPUTED_VALUE"""),2569.0)</f>
        <v>2569</v>
      </c>
      <c r="G896" s="1">
        <f>IFERROR(__xludf.DUMMYFUNCTION("""COMPUTED_VALUE"""),1.0)</f>
        <v>1</v>
      </c>
      <c r="H896" s="1">
        <f>IFERROR(__xludf.DUMMYFUNCTION("""COMPUTED_VALUE"""),843.0)</f>
        <v>843</v>
      </c>
      <c r="I896" s="1" t="str">
        <f>IFERROR(__xludf.DUMMYFUNCTION("""COMPUTED_VALUE"""),"นาง")</f>
        <v>นาง</v>
      </c>
      <c r="J896" s="1" t="str">
        <f>IFERROR(__xludf.DUMMYFUNCTION("""COMPUTED_VALUE"""),"วราภรณ์")</f>
        <v>วราภรณ์</v>
      </c>
      <c r="K896" s="1" t="str">
        <f>IFERROR(__xludf.DUMMYFUNCTION("""COMPUTED_VALUE"""),"พหลยุทธ")</f>
        <v>พหลยุทธ</v>
      </c>
      <c r="L896" s="1" t="str">
        <f>IFERROR(__xludf.DUMMYFUNCTION("""COMPUTED_VALUE"""),"ม.1")</f>
        <v>ม.1</v>
      </c>
      <c r="M896" s="1" t="str">
        <f>IFERROR(__xludf.DUMMYFUNCTION("""COMPUTED_VALUE"""),"ภาษาต่างประเทศ")</f>
        <v>ภาษาต่างประเทศ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>
        <f>IFERROR(__xludf.DUMMYFUNCTION("""COMPUTED_VALUE"""),6.0)</f>
        <v>6</v>
      </c>
      <c r="B897" s="1">
        <f>IFERROR(__xludf.DUMMYFUNCTION("""COMPUTED_VALUE"""),1.0)</f>
        <v>1</v>
      </c>
      <c r="C897" s="1" t="str">
        <f>IFERROR(__xludf.DUMMYFUNCTION("""COMPUTED_VALUE"""),"อ20201")</f>
        <v>อ20201</v>
      </c>
      <c r="D897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97" s="1">
        <f>IFERROR(__xludf.DUMMYFUNCTION("""COMPUTED_VALUE"""),0.5)</f>
        <v>0.5</v>
      </c>
      <c r="F897" s="1">
        <f>IFERROR(__xludf.DUMMYFUNCTION("""COMPUTED_VALUE"""),2569.0)</f>
        <v>2569</v>
      </c>
      <c r="G897" s="1">
        <f>IFERROR(__xludf.DUMMYFUNCTION("""COMPUTED_VALUE"""),1.0)</f>
        <v>1</v>
      </c>
      <c r="H897" s="1">
        <f>IFERROR(__xludf.DUMMYFUNCTION("""COMPUTED_VALUE"""),843.0)</f>
        <v>843</v>
      </c>
      <c r="I897" s="1" t="str">
        <f>IFERROR(__xludf.DUMMYFUNCTION("""COMPUTED_VALUE"""),"นาง")</f>
        <v>นาง</v>
      </c>
      <c r="J897" s="1" t="str">
        <f>IFERROR(__xludf.DUMMYFUNCTION("""COMPUTED_VALUE"""),"วราภรณ์")</f>
        <v>วราภรณ์</v>
      </c>
      <c r="K897" s="1" t="str">
        <f>IFERROR(__xludf.DUMMYFUNCTION("""COMPUTED_VALUE"""),"พหลยุทธ")</f>
        <v>พหลยุทธ</v>
      </c>
      <c r="L897" s="1" t="str">
        <f>IFERROR(__xludf.DUMMYFUNCTION("""COMPUTED_VALUE"""),"ม.1")</f>
        <v>ม.1</v>
      </c>
      <c r="M897" s="1" t="str">
        <f>IFERROR(__xludf.DUMMYFUNCTION("""COMPUTED_VALUE"""),"ภาษาต่างประเทศ")</f>
        <v>ภาษาต่างประเทศ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>
        <f>IFERROR(__xludf.DUMMYFUNCTION("""COMPUTED_VALUE"""),7.0)</f>
        <v>7</v>
      </c>
      <c r="B898" s="1">
        <f>IFERROR(__xludf.DUMMYFUNCTION("""COMPUTED_VALUE"""),1.0)</f>
        <v>1</v>
      </c>
      <c r="C898" s="1" t="str">
        <f>IFERROR(__xludf.DUMMYFUNCTION("""COMPUTED_VALUE"""),"อ20201")</f>
        <v>อ20201</v>
      </c>
      <c r="D898" s="1" t="str">
        <f>IFERROR(__xludf.DUMMYFUNCTION("""COMPUTED_VALUE"""),"ภาษาอังกฤษเพื่อการสื่อสาร 1")</f>
        <v>ภาษาอังกฤษเพื่อการสื่อสาร 1</v>
      </c>
      <c r="E898" s="1">
        <f>IFERROR(__xludf.DUMMYFUNCTION("""COMPUTED_VALUE"""),0.5)</f>
        <v>0.5</v>
      </c>
      <c r="F898" s="1">
        <f>IFERROR(__xludf.DUMMYFUNCTION("""COMPUTED_VALUE"""),2569.0)</f>
        <v>2569</v>
      </c>
      <c r="G898" s="1">
        <f>IFERROR(__xludf.DUMMYFUNCTION("""COMPUTED_VALUE"""),1.0)</f>
        <v>1</v>
      </c>
      <c r="H898" s="1">
        <f>IFERROR(__xludf.DUMMYFUNCTION("""COMPUTED_VALUE"""),843.0)</f>
        <v>843</v>
      </c>
      <c r="I898" s="1" t="str">
        <f>IFERROR(__xludf.DUMMYFUNCTION("""COMPUTED_VALUE"""),"นาง")</f>
        <v>นาง</v>
      </c>
      <c r="J898" s="1" t="str">
        <f>IFERROR(__xludf.DUMMYFUNCTION("""COMPUTED_VALUE"""),"วราภรณ์")</f>
        <v>วราภรณ์</v>
      </c>
      <c r="K898" s="1" t="str">
        <f>IFERROR(__xludf.DUMMYFUNCTION("""COMPUTED_VALUE"""),"พหลยุทธ")</f>
        <v>พหลยุทธ</v>
      </c>
      <c r="L898" s="1" t="str">
        <f>IFERROR(__xludf.DUMMYFUNCTION("""COMPUTED_VALUE"""),"ม.1")</f>
        <v>ม.1</v>
      </c>
      <c r="M898" s="1" t="str">
        <f>IFERROR(__xludf.DUMMYFUNCTION("""COMPUTED_VALUE"""),"ภาษาต่างประเทศ")</f>
        <v>ภาษาต่างประเทศ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>
        <f>IFERROR(__xludf.DUMMYFUNCTION("""COMPUTED_VALUE"""),4.0)</f>
        <v>4</v>
      </c>
      <c r="B899" s="1">
        <f>IFERROR(__xludf.DUMMYFUNCTION("""COMPUTED_VALUE"""),1.0)</f>
        <v>1</v>
      </c>
      <c r="C899" s="1" t="str">
        <f>IFERROR(__xludf.DUMMYFUNCTION("""COMPUTED_VALUE"""),"อ20226")</f>
        <v>อ20226</v>
      </c>
      <c r="D899" s="1" t="str">
        <f>IFERROR(__xludf.DUMMYFUNCTION("""COMPUTED_VALUE"""),"พัฒนาคำศัพท์ภาษาอังกฤษ1")</f>
        <v>พัฒนาคำศัพท์ภาษาอังกฤษ1</v>
      </c>
      <c r="E899" s="1">
        <f>IFERROR(__xludf.DUMMYFUNCTION("""COMPUTED_VALUE"""),1.0)</f>
        <v>1</v>
      </c>
      <c r="F899" s="1">
        <f>IFERROR(__xludf.DUMMYFUNCTION("""COMPUTED_VALUE"""),2569.0)</f>
        <v>2569</v>
      </c>
      <c r="G899" s="1">
        <f>IFERROR(__xludf.DUMMYFUNCTION("""COMPUTED_VALUE"""),1.0)</f>
        <v>1</v>
      </c>
      <c r="H899" s="1">
        <f>IFERROR(__xludf.DUMMYFUNCTION("""COMPUTED_VALUE"""),843.0)</f>
        <v>843</v>
      </c>
      <c r="I899" s="1" t="str">
        <f>IFERROR(__xludf.DUMMYFUNCTION("""COMPUTED_VALUE"""),"นาง")</f>
        <v>นาง</v>
      </c>
      <c r="J899" s="1" t="str">
        <f>IFERROR(__xludf.DUMMYFUNCTION("""COMPUTED_VALUE"""),"วราภรณ์")</f>
        <v>วราภรณ์</v>
      </c>
      <c r="K899" s="1" t="str">
        <f>IFERROR(__xludf.DUMMYFUNCTION("""COMPUTED_VALUE"""),"พหลยุทธ")</f>
        <v>พหลยุทธ</v>
      </c>
      <c r="L899" s="1" t="str">
        <f>IFERROR(__xludf.DUMMYFUNCTION("""COMPUTED_VALUE"""),"ม.1")</f>
        <v>ม.1</v>
      </c>
      <c r="M899" s="1" t="str">
        <f>IFERROR(__xludf.DUMMYFUNCTION("""COMPUTED_VALUE"""),"ภาษาต่างประเทศ")</f>
        <v>ภาษาต่างประเทศ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>
        <f>IFERROR(__xludf.DUMMYFUNCTION("""COMPUTED_VALUE"""),4.0)</f>
        <v>4</v>
      </c>
      <c r="B900" s="1">
        <f>IFERROR(__xludf.DUMMYFUNCTION("""COMPUTED_VALUE"""),1.0)</f>
        <v>1</v>
      </c>
      <c r="C900" s="1" t="str">
        <f>IFERROR(__xludf.DUMMYFUNCTION("""COMPUTED_VALUE"""),"อ23101")</f>
        <v>อ23101</v>
      </c>
      <c r="D900" s="1" t="str">
        <f>IFERROR(__xludf.DUMMYFUNCTION("""COMPUTED_VALUE"""),"ภาษาอังกฤษ 5")</f>
        <v>ภาษาอังกฤษ 5</v>
      </c>
      <c r="E900" s="1">
        <f>IFERROR(__xludf.DUMMYFUNCTION("""COMPUTED_VALUE"""),1.5)</f>
        <v>1.5</v>
      </c>
      <c r="F900" s="1">
        <f>IFERROR(__xludf.DUMMYFUNCTION("""COMPUTED_VALUE"""),2569.0)</f>
        <v>2569</v>
      </c>
      <c r="G900" s="1">
        <f>IFERROR(__xludf.DUMMYFUNCTION("""COMPUTED_VALUE"""),1.0)</f>
        <v>1</v>
      </c>
      <c r="H900" s="1">
        <f>IFERROR(__xludf.DUMMYFUNCTION("""COMPUTED_VALUE"""),843.0)</f>
        <v>843</v>
      </c>
      <c r="I900" s="1" t="str">
        <f>IFERROR(__xludf.DUMMYFUNCTION("""COMPUTED_VALUE"""),"นาง")</f>
        <v>นาง</v>
      </c>
      <c r="J900" s="1" t="str">
        <f>IFERROR(__xludf.DUMMYFUNCTION("""COMPUTED_VALUE"""),"วราภรณ์")</f>
        <v>วราภรณ์</v>
      </c>
      <c r="K900" s="1" t="str">
        <f>IFERROR(__xludf.DUMMYFUNCTION("""COMPUTED_VALUE"""),"พหลยุทธ")</f>
        <v>พหลยุทธ</v>
      </c>
      <c r="L900" s="1" t="str">
        <f>IFERROR(__xludf.DUMMYFUNCTION("""COMPUTED_VALUE"""),"ม.3")</f>
        <v>ม.3</v>
      </c>
      <c r="M900" s="1" t="str">
        <f>IFERROR(__xludf.DUMMYFUNCTION("""COMPUTED_VALUE"""),"ภาษาต่างประเทศ")</f>
        <v>ภาษาต่างประเทศ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>
        <f>IFERROR(__xludf.DUMMYFUNCTION("""COMPUTED_VALUE"""),5.0)</f>
        <v>5</v>
      </c>
      <c r="B901" s="1">
        <f>IFERROR(__xludf.DUMMYFUNCTION("""COMPUTED_VALUE"""),1.0)</f>
        <v>1</v>
      </c>
      <c r="C901" s="1" t="str">
        <f>IFERROR(__xludf.DUMMYFUNCTION("""COMPUTED_VALUE"""),"อ23101")</f>
        <v>อ23101</v>
      </c>
      <c r="D901" s="1" t="str">
        <f>IFERROR(__xludf.DUMMYFUNCTION("""COMPUTED_VALUE"""),"ภาษาอังกฤษ 5")</f>
        <v>ภาษาอังกฤษ 5</v>
      </c>
      <c r="E901" s="1">
        <f>IFERROR(__xludf.DUMMYFUNCTION("""COMPUTED_VALUE"""),1.5)</f>
        <v>1.5</v>
      </c>
      <c r="F901" s="1">
        <f>IFERROR(__xludf.DUMMYFUNCTION("""COMPUTED_VALUE"""),2569.0)</f>
        <v>2569</v>
      </c>
      <c r="G901" s="1">
        <f>IFERROR(__xludf.DUMMYFUNCTION("""COMPUTED_VALUE"""),1.0)</f>
        <v>1</v>
      </c>
      <c r="H901" s="1">
        <f>IFERROR(__xludf.DUMMYFUNCTION("""COMPUTED_VALUE"""),843.0)</f>
        <v>843</v>
      </c>
      <c r="I901" s="1" t="str">
        <f>IFERROR(__xludf.DUMMYFUNCTION("""COMPUTED_VALUE"""),"นาง")</f>
        <v>นาง</v>
      </c>
      <c r="J901" s="1" t="str">
        <f>IFERROR(__xludf.DUMMYFUNCTION("""COMPUTED_VALUE"""),"วราภรณ์")</f>
        <v>วราภรณ์</v>
      </c>
      <c r="K901" s="1" t="str">
        <f>IFERROR(__xludf.DUMMYFUNCTION("""COMPUTED_VALUE"""),"พหลยุทธ")</f>
        <v>พหลยุทธ</v>
      </c>
      <c r="L901" s="1" t="str">
        <f>IFERROR(__xludf.DUMMYFUNCTION("""COMPUTED_VALUE"""),"ม.3")</f>
        <v>ม.3</v>
      </c>
      <c r="M901" s="1" t="str">
        <f>IFERROR(__xludf.DUMMYFUNCTION("""COMPUTED_VALUE"""),"ภาษาต่างประเทศ")</f>
        <v>ภาษาต่างประเทศ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>
        <f>IFERROR(__xludf.DUMMYFUNCTION("""COMPUTED_VALUE"""),6.0)</f>
        <v>6</v>
      </c>
      <c r="B902" s="1">
        <f>IFERROR(__xludf.DUMMYFUNCTION("""COMPUTED_VALUE"""),1.0)</f>
        <v>1</v>
      </c>
      <c r="C902" s="1" t="str">
        <f>IFERROR(__xludf.DUMMYFUNCTION("""COMPUTED_VALUE"""),"อ23101")</f>
        <v>อ23101</v>
      </c>
      <c r="D902" s="1" t="str">
        <f>IFERROR(__xludf.DUMMYFUNCTION("""COMPUTED_VALUE"""),"ภาษาอังกฤษ 5")</f>
        <v>ภาษาอังกฤษ 5</v>
      </c>
      <c r="E902" s="1">
        <f>IFERROR(__xludf.DUMMYFUNCTION("""COMPUTED_VALUE"""),1.5)</f>
        <v>1.5</v>
      </c>
      <c r="F902" s="1">
        <f>IFERROR(__xludf.DUMMYFUNCTION("""COMPUTED_VALUE"""),2569.0)</f>
        <v>2569</v>
      </c>
      <c r="G902" s="1">
        <f>IFERROR(__xludf.DUMMYFUNCTION("""COMPUTED_VALUE"""),1.0)</f>
        <v>1</v>
      </c>
      <c r="H902" s="1">
        <f>IFERROR(__xludf.DUMMYFUNCTION("""COMPUTED_VALUE"""),843.0)</f>
        <v>843</v>
      </c>
      <c r="I902" s="1" t="str">
        <f>IFERROR(__xludf.DUMMYFUNCTION("""COMPUTED_VALUE"""),"นาง")</f>
        <v>นาง</v>
      </c>
      <c r="J902" s="1" t="str">
        <f>IFERROR(__xludf.DUMMYFUNCTION("""COMPUTED_VALUE"""),"วราภรณ์")</f>
        <v>วราภรณ์</v>
      </c>
      <c r="K902" s="1" t="str">
        <f>IFERROR(__xludf.DUMMYFUNCTION("""COMPUTED_VALUE"""),"พหลยุทธ")</f>
        <v>พหลยุทธ</v>
      </c>
      <c r="L902" s="1" t="str">
        <f>IFERROR(__xludf.DUMMYFUNCTION("""COMPUTED_VALUE"""),"ม.3")</f>
        <v>ม.3</v>
      </c>
      <c r="M902" s="1" t="str">
        <f>IFERROR(__xludf.DUMMYFUNCTION("""COMPUTED_VALUE"""),"ภาษาต่างประเทศ")</f>
        <v>ภาษาต่างประเทศ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C2" s="1" t="s">
        <v>36</v>
      </c>
      <c r="D2" s="1">
        <v>1.5</v>
      </c>
      <c r="E2" s="1" t="s">
        <v>37</v>
      </c>
      <c r="F2" s="1">
        <v>10.0</v>
      </c>
      <c r="G2" s="1">
        <v>10.0</v>
      </c>
      <c r="H2" s="1">
        <v>15.0</v>
      </c>
      <c r="O2" s="1">
        <f t="shared" ref="O2:O214" si="1">SUM(F2:N2)</f>
        <v>35</v>
      </c>
      <c r="P2" s="1">
        <v>15.0</v>
      </c>
      <c r="Q2" s="1">
        <f t="shared" ref="Q2:Q214" si="2">SUM(O2:P2)</f>
        <v>50</v>
      </c>
      <c r="R2" s="1">
        <v>10.0</v>
      </c>
      <c r="S2" s="1">
        <v>10.0</v>
      </c>
      <c r="T2" s="1">
        <v>15.0</v>
      </c>
      <c r="AA2" s="1">
        <f t="shared" ref="AA2:AA214" si="3">SUM(R2:Z2)</f>
        <v>35</v>
      </c>
      <c r="AB2" s="1">
        <v>15.0</v>
      </c>
      <c r="AC2" s="1">
        <f t="shared" ref="AC2:AC214" si="4">SUM(AA2:AB2)</f>
        <v>50</v>
      </c>
      <c r="AD2" s="1">
        <v>70.0</v>
      </c>
      <c r="AE2" s="1">
        <v>30.0</v>
      </c>
      <c r="AF2" s="1">
        <f t="shared" ref="AF2:AF214" si="5">SUM(Q2+AC2)</f>
        <v>100</v>
      </c>
      <c r="AG2" s="1">
        <v>60.0</v>
      </c>
      <c r="AH2" s="1">
        <v>60.0</v>
      </c>
      <c r="AI2" s="1" t="b">
        <v>1</v>
      </c>
      <c r="AK2" s="1" t="b">
        <v>1</v>
      </c>
    </row>
    <row r="3">
      <c r="A3" s="1" t="s">
        <v>38</v>
      </c>
      <c r="B3" s="1" t="s">
        <v>39</v>
      </c>
      <c r="C3" s="1" t="s">
        <v>40</v>
      </c>
      <c r="D3" s="1">
        <v>1.5</v>
      </c>
      <c r="E3" s="1" t="s">
        <v>41</v>
      </c>
      <c r="F3" s="1">
        <v>10.0</v>
      </c>
      <c r="G3" s="1">
        <v>10.0</v>
      </c>
      <c r="H3" s="1">
        <v>15.0</v>
      </c>
      <c r="O3" s="1">
        <f t="shared" si="1"/>
        <v>35</v>
      </c>
      <c r="P3" s="1">
        <v>15.0</v>
      </c>
      <c r="Q3" s="1">
        <f t="shared" si="2"/>
        <v>50</v>
      </c>
      <c r="R3" s="1">
        <v>15.0</v>
      </c>
      <c r="S3" s="1">
        <v>10.0</v>
      </c>
      <c r="T3" s="1">
        <v>10.0</v>
      </c>
      <c r="AA3" s="1">
        <f t="shared" si="3"/>
        <v>35</v>
      </c>
      <c r="AB3" s="1">
        <v>15.0</v>
      </c>
      <c r="AC3" s="1">
        <f t="shared" si="4"/>
        <v>50</v>
      </c>
      <c r="AD3" s="1">
        <v>70.0</v>
      </c>
      <c r="AE3" s="1">
        <v>30.0</v>
      </c>
      <c r="AF3" s="1">
        <f t="shared" si="5"/>
        <v>100</v>
      </c>
      <c r="AG3" s="1">
        <v>60.0</v>
      </c>
      <c r="AH3" s="1">
        <v>60.0</v>
      </c>
      <c r="AI3" s="1" t="b">
        <v>1</v>
      </c>
      <c r="AK3" s="1" t="b">
        <v>1</v>
      </c>
    </row>
    <row r="4">
      <c r="A4" s="1" t="s">
        <v>42</v>
      </c>
      <c r="B4" s="1" t="s">
        <v>43</v>
      </c>
      <c r="C4" s="1" t="s">
        <v>44</v>
      </c>
      <c r="D4" s="1">
        <v>1.5</v>
      </c>
      <c r="E4" s="1" t="s">
        <v>45</v>
      </c>
      <c r="F4" s="1">
        <v>10.0</v>
      </c>
      <c r="G4" s="1">
        <v>10.0</v>
      </c>
      <c r="H4" s="1">
        <v>15.0</v>
      </c>
      <c r="O4" s="1">
        <f t="shared" si="1"/>
        <v>35</v>
      </c>
      <c r="P4" s="1">
        <v>15.0</v>
      </c>
      <c r="Q4" s="1">
        <f t="shared" si="2"/>
        <v>50</v>
      </c>
      <c r="R4" s="1">
        <v>15.0</v>
      </c>
      <c r="S4" s="1">
        <v>10.0</v>
      </c>
      <c r="T4" s="1">
        <v>10.0</v>
      </c>
      <c r="AA4" s="1">
        <f t="shared" si="3"/>
        <v>35</v>
      </c>
      <c r="AB4" s="1">
        <v>15.0</v>
      </c>
      <c r="AC4" s="1">
        <f t="shared" si="4"/>
        <v>50</v>
      </c>
      <c r="AD4" s="1">
        <v>70.0</v>
      </c>
      <c r="AE4" s="1">
        <v>30.0</v>
      </c>
      <c r="AF4" s="1">
        <f t="shared" si="5"/>
        <v>100</v>
      </c>
      <c r="AG4" s="1">
        <v>50.0</v>
      </c>
      <c r="AH4" s="1">
        <v>50.0</v>
      </c>
      <c r="AI4" s="1" t="b">
        <v>1</v>
      </c>
      <c r="AK4" s="1" t="b">
        <v>1</v>
      </c>
    </row>
    <row r="5">
      <c r="A5" s="1" t="s">
        <v>46</v>
      </c>
      <c r="B5" s="1" t="s">
        <v>47</v>
      </c>
      <c r="C5" s="1" t="s">
        <v>36</v>
      </c>
      <c r="D5" s="1">
        <v>1.0</v>
      </c>
      <c r="E5" s="1" t="s">
        <v>48</v>
      </c>
      <c r="F5" s="1">
        <v>10.0</v>
      </c>
      <c r="G5" s="1">
        <v>15.0</v>
      </c>
      <c r="H5" s="1">
        <v>10.0</v>
      </c>
      <c r="O5" s="1">
        <f t="shared" si="1"/>
        <v>35</v>
      </c>
      <c r="P5" s="1">
        <v>15.0</v>
      </c>
      <c r="Q5" s="1">
        <f t="shared" si="2"/>
        <v>50</v>
      </c>
      <c r="R5" s="1">
        <v>15.0</v>
      </c>
      <c r="S5" s="1">
        <v>10.0</v>
      </c>
      <c r="T5" s="1">
        <v>10.0</v>
      </c>
      <c r="AA5" s="1">
        <f t="shared" si="3"/>
        <v>35</v>
      </c>
      <c r="AB5" s="1">
        <v>15.0</v>
      </c>
      <c r="AC5" s="1">
        <f t="shared" si="4"/>
        <v>50</v>
      </c>
      <c r="AD5" s="1">
        <v>70.0</v>
      </c>
      <c r="AE5" s="1">
        <v>30.0</v>
      </c>
      <c r="AF5" s="1">
        <f t="shared" si="5"/>
        <v>100</v>
      </c>
      <c r="AG5" s="1">
        <v>60.0</v>
      </c>
      <c r="AH5" s="1">
        <v>60.0</v>
      </c>
      <c r="AI5" s="1" t="b">
        <v>1</v>
      </c>
      <c r="AK5" s="1" t="b">
        <v>1</v>
      </c>
    </row>
    <row r="6">
      <c r="B6" s="1" t="s">
        <v>49</v>
      </c>
      <c r="C6" s="1" t="s">
        <v>50</v>
      </c>
      <c r="D6" s="1">
        <v>1.0</v>
      </c>
      <c r="E6" s="1" t="s">
        <v>51</v>
      </c>
      <c r="F6" s="1">
        <v>10.0</v>
      </c>
      <c r="G6" s="1">
        <v>15.0</v>
      </c>
      <c r="H6" s="1">
        <v>10.0</v>
      </c>
      <c r="O6" s="1">
        <f t="shared" si="1"/>
        <v>35</v>
      </c>
      <c r="P6" s="1">
        <v>15.0</v>
      </c>
      <c r="Q6" s="1">
        <f t="shared" si="2"/>
        <v>50</v>
      </c>
      <c r="R6" s="1">
        <v>10.0</v>
      </c>
      <c r="S6" s="1">
        <v>15.0</v>
      </c>
      <c r="T6" s="1">
        <v>10.0</v>
      </c>
      <c r="AA6" s="1">
        <f t="shared" si="3"/>
        <v>35</v>
      </c>
      <c r="AB6" s="1">
        <v>15.0</v>
      </c>
      <c r="AC6" s="1">
        <f t="shared" si="4"/>
        <v>50</v>
      </c>
      <c r="AD6" s="1">
        <v>70.0</v>
      </c>
      <c r="AE6" s="1">
        <v>30.0</v>
      </c>
      <c r="AF6" s="1">
        <f t="shared" si="5"/>
        <v>100</v>
      </c>
      <c r="AG6" s="1">
        <v>60.0</v>
      </c>
      <c r="AH6" s="1">
        <v>60.0</v>
      </c>
      <c r="AI6" s="1" t="b">
        <v>1</v>
      </c>
      <c r="AK6" s="1" t="b">
        <v>1</v>
      </c>
    </row>
    <row r="7">
      <c r="B7" s="1" t="s">
        <v>52</v>
      </c>
      <c r="C7" s="1" t="s">
        <v>53</v>
      </c>
      <c r="D7" s="1">
        <v>1.0</v>
      </c>
      <c r="E7" s="1" t="s">
        <v>51</v>
      </c>
      <c r="F7" s="1">
        <v>10.0</v>
      </c>
      <c r="G7" s="1">
        <v>10.0</v>
      </c>
      <c r="H7" s="1">
        <v>15.0</v>
      </c>
      <c r="O7" s="1">
        <f t="shared" si="1"/>
        <v>35</v>
      </c>
      <c r="P7" s="1">
        <v>15.0</v>
      </c>
      <c r="Q7" s="1">
        <f t="shared" si="2"/>
        <v>50</v>
      </c>
      <c r="R7" s="1">
        <v>15.0</v>
      </c>
      <c r="S7" s="1">
        <v>10.0</v>
      </c>
      <c r="T7" s="1">
        <v>10.0</v>
      </c>
      <c r="AA7" s="1">
        <f t="shared" si="3"/>
        <v>35</v>
      </c>
      <c r="AB7" s="1">
        <v>15.0</v>
      </c>
      <c r="AC7" s="1">
        <f t="shared" si="4"/>
        <v>50</v>
      </c>
      <c r="AD7" s="1">
        <v>70.0</v>
      </c>
      <c r="AE7" s="1">
        <v>30.0</v>
      </c>
      <c r="AF7" s="1">
        <f t="shared" si="5"/>
        <v>100</v>
      </c>
      <c r="AG7" s="1">
        <v>40.0</v>
      </c>
      <c r="AH7" s="1">
        <v>40.0</v>
      </c>
      <c r="AI7" s="1" t="b">
        <v>1</v>
      </c>
      <c r="AK7" s="1" t="b">
        <v>1</v>
      </c>
    </row>
    <row r="8">
      <c r="A8" s="1" t="s">
        <v>54</v>
      </c>
      <c r="B8" s="1" t="s">
        <v>55</v>
      </c>
      <c r="C8" s="1" t="s">
        <v>40</v>
      </c>
      <c r="D8" s="1">
        <v>1.0</v>
      </c>
      <c r="E8" s="1" t="s">
        <v>56</v>
      </c>
      <c r="F8" s="1">
        <v>15.0</v>
      </c>
      <c r="G8" s="1">
        <v>10.0</v>
      </c>
      <c r="H8" s="1">
        <v>10.0</v>
      </c>
      <c r="O8" s="1">
        <f t="shared" si="1"/>
        <v>35</v>
      </c>
      <c r="P8" s="1">
        <v>15.0</v>
      </c>
      <c r="Q8" s="1">
        <f t="shared" si="2"/>
        <v>50</v>
      </c>
      <c r="R8" s="1">
        <v>15.0</v>
      </c>
      <c r="S8" s="1">
        <v>10.0</v>
      </c>
      <c r="T8" s="1">
        <v>10.0</v>
      </c>
      <c r="AA8" s="1">
        <f t="shared" si="3"/>
        <v>35</v>
      </c>
      <c r="AB8" s="1">
        <v>15.0</v>
      </c>
      <c r="AC8" s="1">
        <f t="shared" si="4"/>
        <v>50</v>
      </c>
      <c r="AD8" s="1">
        <v>70.0</v>
      </c>
      <c r="AE8" s="1">
        <v>30.0</v>
      </c>
      <c r="AF8" s="1">
        <f t="shared" si="5"/>
        <v>100</v>
      </c>
      <c r="AG8" s="1">
        <v>50.0</v>
      </c>
      <c r="AH8" s="1">
        <v>50.0</v>
      </c>
      <c r="AI8" s="1" t="b">
        <v>1</v>
      </c>
      <c r="AK8" s="1" t="b">
        <v>1</v>
      </c>
    </row>
    <row r="9">
      <c r="B9" s="1" t="s">
        <v>57</v>
      </c>
      <c r="C9" s="1" t="s">
        <v>58</v>
      </c>
      <c r="D9" s="1">
        <v>1.0</v>
      </c>
      <c r="E9" s="1" t="s">
        <v>59</v>
      </c>
      <c r="F9" s="1">
        <v>10.0</v>
      </c>
      <c r="G9" s="1">
        <v>10.0</v>
      </c>
      <c r="H9" s="1">
        <v>15.0</v>
      </c>
      <c r="O9" s="1">
        <f t="shared" si="1"/>
        <v>35</v>
      </c>
      <c r="P9" s="1">
        <v>15.0</v>
      </c>
      <c r="Q9" s="1">
        <f t="shared" si="2"/>
        <v>50</v>
      </c>
      <c r="R9" s="1">
        <v>10.0</v>
      </c>
      <c r="S9" s="1">
        <v>15.0</v>
      </c>
      <c r="T9" s="1">
        <v>10.0</v>
      </c>
      <c r="AA9" s="1">
        <f t="shared" si="3"/>
        <v>35</v>
      </c>
      <c r="AB9" s="1">
        <v>15.0</v>
      </c>
      <c r="AC9" s="1">
        <f t="shared" si="4"/>
        <v>50</v>
      </c>
      <c r="AD9" s="1">
        <v>70.0</v>
      </c>
      <c r="AE9" s="1">
        <v>30.0</v>
      </c>
      <c r="AF9" s="1">
        <f t="shared" si="5"/>
        <v>100</v>
      </c>
      <c r="AG9" s="1">
        <v>60.0</v>
      </c>
      <c r="AH9" s="1">
        <v>60.0</v>
      </c>
      <c r="AI9" s="1" t="b">
        <v>1</v>
      </c>
      <c r="AK9" s="1" t="b">
        <v>0</v>
      </c>
    </row>
    <row r="10">
      <c r="B10" s="1" t="s">
        <v>60</v>
      </c>
      <c r="C10" s="1" t="s">
        <v>61</v>
      </c>
      <c r="D10" s="1">
        <v>1.0</v>
      </c>
      <c r="E10" s="1" t="s">
        <v>59</v>
      </c>
      <c r="F10" s="1">
        <v>10.0</v>
      </c>
      <c r="G10" s="1">
        <v>10.0</v>
      </c>
      <c r="H10" s="1">
        <v>15.0</v>
      </c>
      <c r="O10" s="1">
        <f t="shared" si="1"/>
        <v>35</v>
      </c>
      <c r="P10" s="1">
        <v>15.0</v>
      </c>
      <c r="Q10" s="1">
        <f t="shared" si="2"/>
        <v>50</v>
      </c>
      <c r="R10" s="1">
        <v>10.0</v>
      </c>
      <c r="S10" s="1">
        <v>15.0</v>
      </c>
      <c r="T10" s="1">
        <v>10.0</v>
      </c>
      <c r="AA10" s="1">
        <f t="shared" si="3"/>
        <v>35</v>
      </c>
      <c r="AB10" s="1">
        <v>15.0</v>
      </c>
      <c r="AC10" s="1">
        <f t="shared" si="4"/>
        <v>50</v>
      </c>
      <c r="AD10" s="1">
        <v>70.0</v>
      </c>
      <c r="AE10" s="1">
        <v>30.0</v>
      </c>
      <c r="AF10" s="1">
        <f t="shared" si="5"/>
        <v>100</v>
      </c>
      <c r="AG10" s="1">
        <v>60.0</v>
      </c>
      <c r="AH10" s="1">
        <v>60.0</v>
      </c>
      <c r="AI10" s="1" t="b">
        <v>1</v>
      </c>
      <c r="AK10" s="1" t="b">
        <v>1</v>
      </c>
    </row>
    <row r="11">
      <c r="A11" s="1" t="s">
        <v>62</v>
      </c>
      <c r="B11" s="1" t="s">
        <v>63</v>
      </c>
      <c r="C11" s="1" t="s">
        <v>44</v>
      </c>
      <c r="D11" s="1">
        <v>1.0</v>
      </c>
      <c r="E11" s="1" t="s">
        <v>64</v>
      </c>
      <c r="F11" s="1">
        <v>5.0</v>
      </c>
      <c r="G11" s="1">
        <v>10.0</v>
      </c>
      <c r="H11" s="1">
        <v>10.0</v>
      </c>
      <c r="I11" s="1">
        <v>10.0</v>
      </c>
      <c r="O11" s="1">
        <f t="shared" si="1"/>
        <v>35</v>
      </c>
      <c r="P11" s="1">
        <v>15.0</v>
      </c>
      <c r="Q11" s="1">
        <f t="shared" si="2"/>
        <v>50</v>
      </c>
      <c r="R11" s="1">
        <v>10.0</v>
      </c>
      <c r="S11" s="1">
        <v>10.0</v>
      </c>
      <c r="T11" s="1">
        <v>10.0</v>
      </c>
      <c r="U11" s="1">
        <v>5.0</v>
      </c>
      <c r="AA11" s="1">
        <f t="shared" si="3"/>
        <v>35</v>
      </c>
      <c r="AB11" s="1">
        <v>15.0</v>
      </c>
      <c r="AC11" s="1">
        <f t="shared" si="4"/>
        <v>50</v>
      </c>
      <c r="AD11" s="1">
        <v>70.0</v>
      </c>
      <c r="AE11" s="1">
        <v>30.0</v>
      </c>
      <c r="AF11" s="1">
        <f t="shared" si="5"/>
        <v>100</v>
      </c>
      <c r="AG11" s="1">
        <v>60.0</v>
      </c>
      <c r="AH11" s="1">
        <v>60.0</v>
      </c>
      <c r="AI11" s="1" t="b">
        <v>1</v>
      </c>
      <c r="AK11" s="1" t="b">
        <v>1</v>
      </c>
    </row>
    <row r="12">
      <c r="B12" s="1" t="s">
        <v>65</v>
      </c>
      <c r="C12" s="1" t="s">
        <v>66</v>
      </c>
      <c r="D12" s="1">
        <v>1.0</v>
      </c>
      <c r="E12" s="1" t="s">
        <v>67</v>
      </c>
      <c r="F12" s="1">
        <v>15.0</v>
      </c>
      <c r="G12" s="1">
        <v>10.0</v>
      </c>
      <c r="H12" s="1">
        <v>10.0</v>
      </c>
      <c r="O12" s="1">
        <f t="shared" si="1"/>
        <v>35</v>
      </c>
      <c r="P12" s="1">
        <v>15.0</v>
      </c>
      <c r="Q12" s="1">
        <f t="shared" si="2"/>
        <v>50</v>
      </c>
      <c r="R12" s="1">
        <v>10.0</v>
      </c>
      <c r="S12" s="1">
        <v>10.0</v>
      </c>
      <c r="T12" s="1">
        <v>15.0</v>
      </c>
      <c r="AA12" s="1">
        <f t="shared" si="3"/>
        <v>35</v>
      </c>
      <c r="AB12" s="1">
        <v>15.0</v>
      </c>
      <c r="AC12" s="1">
        <f t="shared" si="4"/>
        <v>50</v>
      </c>
      <c r="AD12" s="1">
        <v>70.0</v>
      </c>
      <c r="AE12" s="1">
        <v>30.0</v>
      </c>
      <c r="AF12" s="1">
        <f t="shared" si="5"/>
        <v>100</v>
      </c>
      <c r="AG12" s="1">
        <v>60.0</v>
      </c>
      <c r="AH12" s="1">
        <v>60.0</v>
      </c>
      <c r="AI12" s="1" t="b">
        <v>1</v>
      </c>
      <c r="AK12" s="1" t="b">
        <v>1</v>
      </c>
    </row>
    <row r="13">
      <c r="B13" s="1" t="s">
        <v>68</v>
      </c>
      <c r="C13" s="1" t="s">
        <v>69</v>
      </c>
      <c r="D13" s="1">
        <v>1.0</v>
      </c>
      <c r="E13" s="1" t="s">
        <v>70</v>
      </c>
      <c r="F13" s="1">
        <v>10.0</v>
      </c>
      <c r="G13" s="1">
        <v>10.0</v>
      </c>
      <c r="H13" s="1">
        <v>15.0</v>
      </c>
      <c r="O13" s="1">
        <f t="shared" si="1"/>
        <v>35</v>
      </c>
      <c r="P13" s="1">
        <v>15.0</v>
      </c>
      <c r="Q13" s="1">
        <f t="shared" si="2"/>
        <v>50</v>
      </c>
      <c r="R13" s="1">
        <v>10.0</v>
      </c>
      <c r="S13" s="1">
        <v>10.0</v>
      </c>
      <c r="T13" s="1">
        <v>15.0</v>
      </c>
      <c r="AA13" s="1">
        <f t="shared" si="3"/>
        <v>35</v>
      </c>
      <c r="AB13" s="1">
        <v>15.0</v>
      </c>
      <c r="AC13" s="1">
        <f t="shared" si="4"/>
        <v>50</v>
      </c>
      <c r="AD13" s="1">
        <v>70.0</v>
      </c>
      <c r="AE13" s="1">
        <v>30.0</v>
      </c>
      <c r="AF13" s="1">
        <f t="shared" si="5"/>
        <v>100</v>
      </c>
      <c r="AG13" s="1">
        <v>60.0</v>
      </c>
      <c r="AH13" s="1">
        <v>60.0</v>
      </c>
      <c r="AI13" s="1" t="b">
        <v>1</v>
      </c>
      <c r="AK13" s="1" t="b">
        <v>1</v>
      </c>
    </row>
    <row r="14">
      <c r="A14" s="1" t="s">
        <v>34</v>
      </c>
      <c r="B14" s="1" t="s">
        <v>71</v>
      </c>
      <c r="C14" s="1" t="s">
        <v>72</v>
      </c>
      <c r="D14" s="1">
        <v>1.5</v>
      </c>
      <c r="E14" s="1" t="s">
        <v>37</v>
      </c>
      <c r="F14" s="1">
        <v>10.0</v>
      </c>
      <c r="G14" s="1">
        <v>10.0</v>
      </c>
      <c r="H14" s="1">
        <v>10.0</v>
      </c>
      <c r="I14" s="1">
        <v>5.0</v>
      </c>
      <c r="O14" s="1">
        <f t="shared" si="1"/>
        <v>35</v>
      </c>
      <c r="P14" s="1">
        <v>15.0</v>
      </c>
      <c r="Q14" s="1">
        <f t="shared" si="2"/>
        <v>50</v>
      </c>
      <c r="R14" s="1">
        <v>10.0</v>
      </c>
      <c r="S14" s="1">
        <v>10.0</v>
      </c>
      <c r="T14" s="1">
        <v>10.0</v>
      </c>
      <c r="U14" s="1">
        <v>5.0</v>
      </c>
      <c r="AA14" s="1">
        <f t="shared" si="3"/>
        <v>35</v>
      </c>
      <c r="AB14" s="1">
        <v>15.0</v>
      </c>
      <c r="AC14" s="1">
        <f t="shared" si="4"/>
        <v>50</v>
      </c>
      <c r="AD14" s="1">
        <v>70.0</v>
      </c>
      <c r="AE14" s="1">
        <v>30.0</v>
      </c>
      <c r="AF14" s="1">
        <f t="shared" si="5"/>
        <v>100</v>
      </c>
      <c r="AG14" s="1">
        <v>60.0</v>
      </c>
      <c r="AH14" s="1">
        <v>60.0</v>
      </c>
      <c r="AI14" s="1" t="b">
        <v>1</v>
      </c>
      <c r="AK14" s="1" t="b">
        <v>1</v>
      </c>
    </row>
    <row r="15">
      <c r="B15" s="1" t="s">
        <v>73</v>
      </c>
      <c r="C15" s="1" t="s">
        <v>74</v>
      </c>
      <c r="D15" s="1">
        <v>1.0</v>
      </c>
      <c r="E15" s="1" t="s">
        <v>75</v>
      </c>
      <c r="F15" s="1">
        <v>10.0</v>
      </c>
      <c r="G15" s="1">
        <v>10.0</v>
      </c>
      <c r="H15" s="1">
        <v>5.0</v>
      </c>
      <c r="I15" s="1">
        <v>10.0</v>
      </c>
      <c r="O15" s="1">
        <f t="shared" si="1"/>
        <v>35</v>
      </c>
      <c r="P15" s="1">
        <v>15.0</v>
      </c>
      <c r="Q15" s="1">
        <f t="shared" si="2"/>
        <v>50</v>
      </c>
      <c r="R15" s="1">
        <v>10.0</v>
      </c>
      <c r="S15" s="1">
        <v>10.0</v>
      </c>
      <c r="T15" s="1">
        <v>5.0</v>
      </c>
      <c r="U15" s="1">
        <v>10.0</v>
      </c>
      <c r="AA15" s="1">
        <f t="shared" si="3"/>
        <v>35</v>
      </c>
      <c r="AB15" s="1">
        <v>15.0</v>
      </c>
      <c r="AC15" s="1">
        <f t="shared" si="4"/>
        <v>50</v>
      </c>
      <c r="AD15" s="1">
        <v>70.0</v>
      </c>
      <c r="AE15" s="1">
        <v>30.0</v>
      </c>
      <c r="AF15" s="1">
        <f t="shared" si="5"/>
        <v>100</v>
      </c>
      <c r="AG15" s="1">
        <v>60.0</v>
      </c>
      <c r="AH15" s="1">
        <v>60.0</v>
      </c>
      <c r="AI15" s="1" t="b">
        <v>1</v>
      </c>
      <c r="AK15" s="1" t="b">
        <v>1</v>
      </c>
    </row>
    <row r="16">
      <c r="B16" s="1" t="s">
        <v>76</v>
      </c>
      <c r="C16" s="1" t="s">
        <v>77</v>
      </c>
      <c r="D16" s="1">
        <v>0.5</v>
      </c>
      <c r="E16" s="1" t="s">
        <v>78</v>
      </c>
      <c r="F16" s="1">
        <v>10.0</v>
      </c>
      <c r="G16" s="1">
        <v>5.0</v>
      </c>
      <c r="H16" s="1">
        <v>10.0</v>
      </c>
      <c r="I16" s="1">
        <v>10.0</v>
      </c>
      <c r="O16" s="1">
        <f t="shared" si="1"/>
        <v>35</v>
      </c>
      <c r="P16" s="1">
        <v>15.0</v>
      </c>
      <c r="Q16" s="1">
        <f t="shared" si="2"/>
        <v>50</v>
      </c>
      <c r="R16" s="1">
        <v>10.0</v>
      </c>
      <c r="S16" s="1">
        <v>10.0</v>
      </c>
      <c r="T16" s="1">
        <v>10.0</v>
      </c>
      <c r="U16" s="1">
        <v>5.0</v>
      </c>
      <c r="AA16" s="1">
        <f t="shared" si="3"/>
        <v>35</v>
      </c>
      <c r="AB16" s="1">
        <v>15.0</v>
      </c>
      <c r="AC16" s="1">
        <f t="shared" si="4"/>
        <v>50</v>
      </c>
      <c r="AD16" s="1">
        <v>70.0</v>
      </c>
      <c r="AE16" s="1">
        <v>30.0</v>
      </c>
      <c r="AF16" s="1">
        <f t="shared" si="5"/>
        <v>100</v>
      </c>
      <c r="AG16" s="1">
        <v>60.0</v>
      </c>
      <c r="AH16" s="1">
        <v>60.0</v>
      </c>
      <c r="AI16" s="1" t="b">
        <v>1</v>
      </c>
      <c r="AK16" s="1" t="b">
        <v>1</v>
      </c>
    </row>
    <row r="17">
      <c r="B17" s="1" t="s">
        <v>79</v>
      </c>
      <c r="C17" s="1" t="s">
        <v>80</v>
      </c>
      <c r="D17" s="1">
        <v>0.5</v>
      </c>
      <c r="E17" s="1" t="s">
        <v>81</v>
      </c>
      <c r="F17" s="1">
        <v>15.0</v>
      </c>
      <c r="G17" s="1">
        <v>10.0</v>
      </c>
      <c r="H17" s="1">
        <v>10.0</v>
      </c>
      <c r="O17" s="1">
        <f t="shared" si="1"/>
        <v>35</v>
      </c>
      <c r="P17" s="1">
        <v>15.0</v>
      </c>
      <c r="Q17" s="1">
        <f t="shared" si="2"/>
        <v>50</v>
      </c>
      <c r="R17" s="1">
        <v>15.0</v>
      </c>
      <c r="S17" s="1">
        <v>10.0</v>
      </c>
      <c r="T17" s="1">
        <v>10.0</v>
      </c>
      <c r="AA17" s="1">
        <f t="shared" si="3"/>
        <v>35</v>
      </c>
      <c r="AB17" s="1">
        <v>15.0</v>
      </c>
      <c r="AC17" s="1">
        <f t="shared" si="4"/>
        <v>50</v>
      </c>
      <c r="AD17" s="1">
        <v>70.0</v>
      </c>
      <c r="AE17" s="1">
        <v>30.0</v>
      </c>
      <c r="AF17" s="1">
        <f t="shared" si="5"/>
        <v>100</v>
      </c>
      <c r="AG17" s="1">
        <v>60.0</v>
      </c>
      <c r="AH17" s="1">
        <v>60.0</v>
      </c>
      <c r="AI17" s="1" t="b">
        <v>1</v>
      </c>
      <c r="AK17" s="1" t="b">
        <v>1</v>
      </c>
    </row>
    <row r="18">
      <c r="A18" s="1" t="s">
        <v>38</v>
      </c>
      <c r="B18" s="1" t="s">
        <v>82</v>
      </c>
      <c r="C18" s="1" t="s">
        <v>83</v>
      </c>
      <c r="D18" s="1">
        <v>1.5</v>
      </c>
      <c r="E18" s="1" t="s">
        <v>41</v>
      </c>
      <c r="F18" s="1">
        <v>10.0</v>
      </c>
      <c r="G18" s="1">
        <v>15.0</v>
      </c>
      <c r="H18" s="1">
        <v>10.0</v>
      </c>
      <c r="O18" s="1">
        <f t="shared" si="1"/>
        <v>35</v>
      </c>
      <c r="P18" s="1">
        <v>15.0</v>
      </c>
      <c r="Q18" s="1">
        <f t="shared" si="2"/>
        <v>50</v>
      </c>
      <c r="R18" s="1">
        <v>10.0</v>
      </c>
      <c r="S18" s="1">
        <v>10.0</v>
      </c>
      <c r="T18" s="1">
        <v>15.0</v>
      </c>
      <c r="AA18" s="1">
        <f t="shared" si="3"/>
        <v>35</v>
      </c>
      <c r="AB18" s="1">
        <v>15.0</v>
      </c>
      <c r="AC18" s="1">
        <f t="shared" si="4"/>
        <v>50</v>
      </c>
      <c r="AD18" s="1">
        <v>70.0</v>
      </c>
      <c r="AE18" s="1">
        <v>30.0</v>
      </c>
      <c r="AF18" s="1">
        <f t="shared" si="5"/>
        <v>100</v>
      </c>
      <c r="AG18" s="1">
        <v>60.0</v>
      </c>
      <c r="AH18" s="1">
        <v>60.0</v>
      </c>
      <c r="AI18" s="1" t="b">
        <v>1</v>
      </c>
      <c r="AK18" s="1" t="b">
        <v>1</v>
      </c>
    </row>
    <row r="19">
      <c r="B19" s="1" t="s">
        <v>84</v>
      </c>
      <c r="C19" s="1" t="s">
        <v>85</v>
      </c>
      <c r="D19" s="1">
        <v>1.0</v>
      </c>
      <c r="E19" s="1" t="s">
        <v>86</v>
      </c>
      <c r="F19" s="1">
        <v>10.0</v>
      </c>
      <c r="G19" s="1">
        <v>10.0</v>
      </c>
      <c r="H19" s="1">
        <v>15.0</v>
      </c>
      <c r="O19" s="1">
        <f t="shared" si="1"/>
        <v>35</v>
      </c>
      <c r="P19" s="1">
        <v>15.0</v>
      </c>
      <c r="Q19" s="1">
        <f t="shared" si="2"/>
        <v>50</v>
      </c>
      <c r="R19" s="1">
        <v>10.0</v>
      </c>
      <c r="S19" s="1">
        <v>15.0</v>
      </c>
      <c r="T19" s="1">
        <v>10.0</v>
      </c>
      <c r="AA19" s="1">
        <f t="shared" si="3"/>
        <v>35</v>
      </c>
      <c r="AB19" s="1">
        <v>15.0</v>
      </c>
      <c r="AC19" s="1">
        <f t="shared" si="4"/>
        <v>50</v>
      </c>
      <c r="AD19" s="1">
        <v>70.0</v>
      </c>
      <c r="AE19" s="1">
        <v>30.0</v>
      </c>
      <c r="AF19" s="1">
        <f t="shared" si="5"/>
        <v>100</v>
      </c>
      <c r="AG19" s="1">
        <v>60.0</v>
      </c>
      <c r="AH19" s="1">
        <v>60.0</v>
      </c>
      <c r="AI19" s="1" t="b">
        <v>1</v>
      </c>
      <c r="AK19" s="1" t="b">
        <v>1</v>
      </c>
    </row>
    <row r="20">
      <c r="B20" s="1" t="s">
        <v>87</v>
      </c>
      <c r="C20" s="1" t="s">
        <v>88</v>
      </c>
      <c r="D20" s="1">
        <v>0.5</v>
      </c>
      <c r="E20" s="1" t="s">
        <v>89</v>
      </c>
      <c r="F20" s="1">
        <v>10.0</v>
      </c>
      <c r="G20" s="1">
        <v>15.0</v>
      </c>
      <c r="H20" s="1">
        <v>10.0</v>
      </c>
      <c r="O20" s="1">
        <f t="shared" si="1"/>
        <v>35</v>
      </c>
      <c r="P20" s="1">
        <v>15.0</v>
      </c>
      <c r="Q20" s="1">
        <f t="shared" si="2"/>
        <v>50</v>
      </c>
      <c r="R20" s="1">
        <v>10.0</v>
      </c>
      <c r="S20" s="1">
        <v>15.0</v>
      </c>
      <c r="T20" s="1">
        <v>10.0</v>
      </c>
      <c r="AA20" s="1">
        <f t="shared" si="3"/>
        <v>35</v>
      </c>
      <c r="AB20" s="1">
        <v>15.0</v>
      </c>
      <c r="AC20" s="1">
        <f t="shared" si="4"/>
        <v>50</v>
      </c>
      <c r="AD20" s="1">
        <v>70.0</v>
      </c>
      <c r="AE20" s="1">
        <v>30.0</v>
      </c>
      <c r="AF20" s="1">
        <f t="shared" si="5"/>
        <v>100</v>
      </c>
      <c r="AG20" s="1">
        <v>60.0</v>
      </c>
      <c r="AH20" s="1">
        <v>60.0</v>
      </c>
      <c r="AI20" s="1" t="b">
        <v>1</v>
      </c>
      <c r="AK20" s="1" t="b">
        <v>1</v>
      </c>
    </row>
    <row r="21" ht="15.75" customHeight="1">
      <c r="A21" s="1" t="s">
        <v>42</v>
      </c>
      <c r="B21" s="1" t="s">
        <v>90</v>
      </c>
      <c r="C21" s="1" t="s">
        <v>91</v>
      </c>
      <c r="D21" s="1">
        <v>1.5</v>
      </c>
      <c r="E21" s="1" t="s">
        <v>45</v>
      </c>
      <c r="F21" s="1">
        <v>10.0</v>
      </c>
      <c r="G21" s="1">
        <v>10.0</v>
      </c>
      <c r="H21" s="1">
        <v>15.0</v>
      </c>
      <c r="O21" s="1">
        <f t="shared" si="1"/>
        <v>35</v>
      </c>
      <c r="P21" s="1">
        <v>15.0</v>
      </c>
      <c r="Q21" s="1">
        <f t="shared" si="2"/>
        <v>50</v>
      </c>
      <c r="R21" s="1">
        <v>15.0</v>
      </c>
      <c r="S21" s="1">
        <v>10.0</v>
      </c>
      <c r="T21" s="1">
        <v>10.0</v>
      </c>
      <c r="AA21" s="1">
        <f t="shared" si="3"/>
        <v>35</v>
      </c>
      <c r="AB21" s="1">
        <v>15.0</v>
      </c>
      <c r="AC21" s="1">
        <f t="shared" si="4"/>
        <v>50</v>
      </c>
      <c r="AD21" s="1">
        <v>70.0</v>
      </c>
      <c r="AE21" s="1">
        <v>30.0</v>
      </c>
      <c r="AF21" s="1">
        <f t="shared" si="5"/>
        <v>100</v>
      </c>
      <c r="AG21" s="1">
        <v>60.0</v>
      </c>
      <c r="AH21" s="1">
        <v>60.0</v>
      </c>
      <c r="AI21" s="1" t="b">
        <v>1</v>
      </c>
      <c r="AK21" s="1" t="b">
        <v>1</v>
      </c>
    </row>
    <row r="22" ht="15.75" customHeight="1">
      <c r="B22" s="1" t="s">
        <v>92</v>
      </c>
      <c r="C22" s="1" t="s">
        <v>93</v>
      </c>
      <c r="D22" s="1">
        <v>1.0</v>
      </c>
      <c r="E22" s="1" t="s">
        <v>94</v>
      </c>
      <c r="F22" s="1">
        <v>10.0</v>
      </c>
      <c r="G22" s="1">
        <v>10.0</v>
      </c>
      <c r="H22" s="1">
        <v>15.0</v>
      </c>
      <c r="O22" s="1">
        <f t="shared" si="1"/>
        <v>35</v>
      </c>
      <c r="P22" s="1">
        <v>15.0</v>
      </c>
      <c r="Q22" s="1">
        <f t="shared" si="2"/>
        <v>50</v>
      </c>
      <c r="R22" s="1">
        <v>10.0</v>
      </c>
      <c r="S22" s="1">
        <v>10.0</v>
      </c>
      <c r="T22" s="1">
        <v>15.0</v>
      </c>
      <c r="AA22" s="1">
        <f t="shared" si="3"/>
        <v>35</v>
      </c>
      <c r="AB22" s="1">
        <v>15.0</v>
      </c>
      <c r="AC22" s="1">
        <f t="shared" si="4"/>
        <v>50</v>
      </c>
      <c r="AD22" s="1">
        <v>70.0</v>
      </c>
      <c r="AE22" s="1">
        <v>30.0</v>
      </c>
      <c r="AF22" s="1">
        <f t="shared" si="5"/>
        <v>100</v>
      </c>
      <c r="AG22" s="1">
        <v>60.0</v>
      </c>
      <c r="AH22" s="1">
        <v>60.0</v>
      </c>
      <c r="AI22" s="1" t="b">
        <v>1</v>
      </c>
      <c r="AK22" s="1" t="b">
        <v>1</v>
      </c>
    </row>
    <row r="23" ht="15.75" customHeight="1">
      <c r="B23" s="1" t="s">
        <v>95</v>
      </c>
      <c r="C23" s="1" t="s">
        <v>96</v>
      </c>
      <c r="D23" s="1">
        <v>0.5</v>
      </c>
      <c r="E23" s="1" t="s">
        <v>97</v>
      </c>
      <c r="F23" s="1">
        <v>10.0</v>
      </c>
      <c r="G23" s="1">
        <v>5.0</v>
      </c>
      <c r="H23" s="1">
        <v>10.0</v>
      </c>
      <c r="I23" s="1">
        <v>10.0</v>
      </c>
      <c r="O23" s="1">
        <f t="shared" si="1"/>
        <v>35</v>
      </c>
      <c r="P23" s="1">
        <v>15.0</v>
      </c>
      <c r="Q23" s="1">
        <f t="shared" si="2"/>
        <v>50</v>
      </c>
      <c r="R23" s="1">
        <v>10.0</v>
      </c>
      <c r="S23" s="1">
        <v>10.0</v>
      </c>
      <c r="T23" s="1">
        <v>15.0</v>
      </c>
      <c r="AA23" s="1">
        <f t="shared" si="3"/>
        <v>35</v>
      </c>
      <c r="AB23" s="1">
        <v>15.0</v>
      </c>
      <c r="AC23" s="1">
        <f t="shared" si="4"/>
        <v>50</v>
      </c>
      <c r="AD23" s="1">
        <v>70.0</v>
      </c>
      <c r="AE23" s="1">
        <v>30.0</v>
      </c>
      <c r="AF23" s="1">
        <f t="shared" si="5"/>
        <v>100</v>
      </c>
      <c r="AG23" s="1">
        <v>60.0</v>
      </c>
      <c r="AH23" s="1">
        <v>60.0</v>
      </c>
      <c r="AI23" s="1" t="b">
        <v>1</v>
      </c>
      <c r="AK23" s="1" t="b">
        <v>1</v>
      </c>
    </row>
    <row r="24" ht="15.75" customHeight="1">
      <c r="A24" s="1" t="s">
        <v>46</v>
      </c>
      <c r="B24" s="1" t="s">
        <v>98</v>
      </c>
      <c r="C24" s="1" t="s">
        <v>72</v>
      </c>
      <c r="D24" s="1">
        <v>1.0</v>
      </c>
      <c r="E24" s="1" t="s">
        <v>48</v>
      </c>
      <c r="F24" s="1">
        <v>10.0</v>
      </c>
      <c r="G24" s="1">
        <v>10.0</v>
      </c>
      <c r="H24" s="1">
        <v>15.0</v>
      </c>
      <c r="O24" s="1">
        <f t="shared" si="1"/>
        <v>35</v>
      </c>
      <c r="P24" s="1">
        <v>15.0</v>
      </c>
      <c r="Q24" s="1">
        <f t="shared" si="2"/>
        <v>50</v>
      </c>
      <c r="R24" s="1">
        <v>15.0</v>
      </c>
      <c r="S24" s="1">
        <v>10.0</v>
      </c>
      <c r="T24" s="1">
        <v>10.0</v>
      </c>
      <c r="AA24" s="1">
        <f t="shared" si="3"/>
        <v>35</v>
      </c>
      <c r="AB24" s="1">
        <v>15.0</v>
      </c>
      <c r="AC24" s="1">
        <f t="shared" si="4"/>
        <v>50</v>
      </c>
      <c r="AD24" s="1">
        <v>70.0</v>
      </c>
      <c r="AE24" s="1">
        <v>30.0</v>
      </c>
      <c r="AF24" s="1">
        <f t="shared" si="5"/>
        <v>100</v>
      </c>
      <c r="AG24" s="1">
        <v>60.0</v>
      </c>
      <c r="AH24" s="1">
        <v>60.0</v>
      </c>
      <c r="AI24" s="1" t="b">
        <v>1</v>
      </c>
      <c r="AK24" s="1" t="b">
        <v>1</v>
      </c>
    </row>
    <row r="25" ht="15.75" customHeight="1">
      <c r="B25" s="1" t="s">
        <v>99</v>
      </c>
      <c r="C25" s="1" t="s">
        <v>74</v>
      </c>
      <c r="D25" s="1">
        <v>2.0</v>
      </c>
      <c r="E25" s="1" t="s">
        <v>100</v>
      </c>
      <c r="F25" s="1">
        <v>10.0</v>
      </c>
      <c r="G25" s="1">
        <v>10.0</v>
      </c>
      <c r="H25" s="1">
        <v>15.0</v>
      </c>
      <c r="O25" s="1">
        <f t="shared" si="1"/>
        <v>35</v>
      </c>
      <c r="P25" s="1">
        <v>15.0</v>
      </c>
      <c r="Q25" s="1">
        <f t="shared" si="2"/>
        <v>50</v>
      </c>
      <c r="R25" s="1">
        <v>15.0</v>
      </c>
      <c r="S25" s="1">
        <v>10.0</v>
      </c>
      <c r="T25" s="1">
        <v>10.0</v>
      </c>
      <c r="AA25" s="1">
        <f t="shared" si="3"/>
        <v>35</v>
      </c>
      <c r="AB25" s="1">
        <v>15.0</v>
      </c>
      <c r="AC25" s="1">
        <f t="shared" si="4"/>
        <v>50</v>
      </c>
      <c r="AD25" s="1">
        <v>70.0</v>
      </c>
      <c r="AE25" s="1">
        <v>30.0</v>
      </c>
      <c r="AF25" s="1">
        <f t="shared" si="5"/>
        <v>100</v>
      </c>
      <c r="AG25" s="1">
        <v>60.0</v>
      </c>
      <c r="AH25" s="1">
        <v>60.0</v>
      </c>
      <c r="AI25" s="1" t="b">
        <v>1</v>
      </c>
      <c r="AK25" s="1" t="b">
        <v>1</v>
      </c>
    </row>
    <row r="26" ht="15.75" customHeight="1">
      <c r="B26" s="1" t="s">
        <v>101</v>
      </c>
      <c r="C26" s="1" t="s">
        <v>102</v>
      </c>
      <c r="D26" s="1">
        <v>2.0</v>
      </c>
      <c r="E26" s="1" t="s">
        <v>103</v>
      </c>
      <c r="F26" s="1">
        <v>15.0</v>
      </c>
      <c r="G26" s="1">
        <v>10.0</v>
      </c>
      <c r="H26" s="1">
        <v>10.0</v>
      </c>
      <c r="O26" s="1">
        <f t="shared" si="1"/>
        <v>35</v>
      </c>
      <c r="P26" s="1">
        <v>15.0</v>
      </c>
      <c r="Q26" s="1">
        <f t="shared" si="2"/>
        <v>50</v>
      </c>
      <c r="R26" s="1">
        <v>15.0</v>
      </c>
      <c r="S26" s="1">
        <v>10.0</v>
      </c>
      <c r="T26" s="1">
        <v>10.0</v>
      </c>
      <c r="AA26" s="1">
        <f t="shared" si="3"/>
        <v>35</v>
      </c>
      <c r="AB26" s="1">
        <v>15.0</v>
      </c>
      <c r="AC26" s="1">
        <f t="shared" si="4"/>
        <v>50</v>
      </c>
      <c r="AD26" s="1">
        <v>70.0</v>
      </c>
      <c r="AE26" s="1">
        <v>30.0</v>
      </c>
      <c r="AF26" s="1">
        <f t="shared" si="5"/>
        <v>100</v>
      </c>
      <c r="AG26" s="1">
        <v>60.0</v>
      </c>
      <c r="AH26" s="1">
        <v>60.0</v>
      </c>
      <c r="AI26" s="1" t="b">
        <v>1</v>
      </c>
      <c r="AK26" s="1" t="b">
        <v>1</v>
      </c>
    </row>
    <row r="27" ht="15.75" customHeight="1">
      <c r="A27" s="1" t="s">
        <v>54</v>
      </c>
      <c r="B27" s="1" t="s">
        <v>104</v>
      </c>
      <c r="C27" s="1" t="s">
        <v>83</v>
      </c>
      <c r="D27" s="1">
        <v>1.0</v>
      </c>
      <c r="E27" s="1" t="s">
        <v>56</v>
      </c>
      <c r="F27" s="1">
        <v>10.0</v>
      </c>
      <c r="G27" s="1">
        <v>15.0</v>
      </c>
      <c r="H27" s="1">
        <v>10.0</v>
      </c>
      <c r="O27" s="1">
        <f t="shared" si="1"/>
        <v>35</v>
      </c>
      <c r="P27" s="1">
        <v>15.0</v>
      </c>
      <c r="Q27" s="1">
        <f t="shared" si="2"/>
        <v>50</v>
      </c>
      <c r="R27" s="1">
        <v>15.0</v>
      </c>
      <c r="S27" s="1">
        <v>10.0</v>
      </c>
      <c r="T27" s="1">
        <v>10.0</v>
      </c>
      <c r="AA27" s="1">
        <f t="shared" si="3"/>
        <v>35</v>
      </c>
      <c r="AB27" s="1">
        <v>15.0</v>
      </c>
      <c r="AC27" s="1">
        <f t="shared" si="4"/>
        <v>50</v>
      </c>
      <c r="AD27" s="1">
        <f t="shared" ref="AD27:AD28" si="6">O27+AA27</f>
        <v>70</v>
      </c>
      <c r="AE27" s="1">
        <f t="shared" ref="AE27:AE28" si="7">AB27+P27</f>
        <v>30</v>
      </c>
      <c r="AF27" s="1">
        <f t="shared" si="5"/>
        <v>100</v>
      </c>
      <c r="AG27" s="1">
        <v>60.0</v>
      </c>
      <c r="AH27" s="1">
        <v>60.0</v>
      </c>
      <c r="AI27" s="1" t="b">
        <v>1</v>
      </c>
      <c r="AK27" s="1" t="b">
        <v>1</v>
      </c>
    </row>
    <row r="28" ht="15.75" customHeight="1">
      <c r="B28" s="1" t="s">
        <v>105</v>
      </c>
      <c r="C28" s="1" t="s">
        <v>85</v>
      </c>
      <c r="D28" s="1">
        <v>2.0</v>
      </c>
      <c r="E28" s="1" t="s">
        <v>106</v>
      </c>
      <c r="F28" s="1">
        <v>10.0</v>
      </c>
      <c r="G28" s="1">
        <v>10.0</v>
      </c>
      <c r="H28" s="1">
        <v>15.0</v>
      </c>
      <c r="O28" s="1">
        <f t="shared" si="1"/>
        <v>35</v>
      </c>
      <c r="P28" s="1">
        <v>15.0</v>
      </c>
      <c r="Q28" s="1">
        <f t="shared" si="2"/>
        <v>50</v>
      </c>
      <c r="R28" s="1">
        <v>15.0</v>
      </c>
      <c r="S28" s="1">
        <v>10.0</v>
      </c>
      <c r="T28" s="1">
        <v>10.0</v>
      </c>
      <c r="AA28" s="1">
        <f t="shared" si="3"/>
        <v>35</v>
      </c>
      <c r="AB28" s="1">
        <v>15.0</v>
      </c>
      <c r="AC28" s="1">
        <f t="shared" si="4"/>
        <v>50</v>
      </c>
      <c r="AD28" s="1">
        <f t="shared" si="6"/>
        <v>70</v>
      </c>
      <c r="AE28" s="1">
        <f t="shared" si="7"/>
        <v>30</v>
      </c>
      <c r="AF28" s="1">
        <f t="shared" si="5"/>
        <v>100</v>
      </c>
      <c r="AG28" s="1">
        <v>60.0</v>
      </c>
      <c r="AH28" s="1">
        <v>60.0</v>
      </c>
      <c r="AI28" s="1" t="b">
        <v>1</v>
      </c>
      <c r="AK28" s="1" t="b">
        <v>1</v>
      </c>
    </row>
    <row r="29" ht="15.75" customHeight="1">
      <c r="B29" s="1" t="s">
        <v>107</v>
      </c>
      <c r="C29" s="1" t="s">
        <v>108</v>
      </c>
      <c r="D29" s="1">
        <v>0.5</v>
      </c>
      <c r="E29" s="1" t="s">
        <v>109</v>
      </c>
      <c r="F29" s="1">
        <v>10.0</v>
      </c>
      <c r="G29" s="1">
        <v>10.0</v>
      </c>
      <c r="H29" s="1">
        <v>15.0</v>
      </c>
      <c r="O29" s="1">
        <f t="shared" si="1"/>
        <v>35</v>
      </c>
      <c r="P29" s="1">
        <v>15.0</v>
      </c>
      <c r="Q29" s="1">
        <f t="shared" si="2"/>
        <v>50</v>
      </c>
      <c r="R29" s="1">
        <v>15.0</v>
      </c>
      <c r="S29" s="1">
        <v>10.0</v>
      </c>
      <c r="T29" s="1">
        <v>10.0</v>
      </c>
      <c r="AA29" s="1">
        <f t="shared" si="3"/>
        <v>35</v>
      </c>
      <c r="AB29" s="1">
        <v>15.0</v>
      </c>
      <c r="AC29" s="1">
        <f t="shared" si="4"/>
        <v>50</v>
      </c>
      <c r="AD29" s="1">
        <v>70.0</v>
      </c>
      <c r="AE29" s="1">
        <v>30.0</v>
      </c>
      <c r="AF29" s="1">
        <f t="shared" si="5"/>
        <v>100</v>
      </c>
      <c r="AG29" s="1">
        <v>60.0</v>
      </c>
      <c r="AH29" s="1">
        <v>60.0</v>
      </c>
      <c r="AI29" s="1" t="b">
        <v>1</v>
      </c>
      <c r="AK29" s="1" t="b">
        <v>1</v>
      </c>
    </row>
    <row r="30" ht="15.75" customHeight="1">
      <c r="B30" s="1" t="s">
        <v>110</v>
      </c>
      <c r="C30" s="1" t="s">
        <v>111</v>
      </c>
      <c r="D30" s="1">
        <v>2.0</v>
      </c>
      <c r="E30" s="1" t="s">
        <v>112</v>
      </c>
      <c r="F30" s="1">
        <v>10.0</v>
      </c>
      <c r="G30" s="1">
        <v>10.0</v>
      </c>
      <c r="H30" s="1">
        <v>15.0</v>
      </c>
      <c r="O30" s="1">
        <f t="shared" si="1"/>
        <v>35</v>
      </c>
      <c r="P30" s="1">
        <v>15.0</v>
      </c>
      <c r="Q30" s="1">
        <f t="shared" si="2"/>
        <v>50</v>
      </c>
      <c r="R30" s="1">
        <v>15.0</v>
      </c>
      <c r="S30" s="1">
        <v>10.0</v>
      </c>
      <c r="T30" s="1">
        <v>10.0</v>
      </c>
      <c r="AA30" s="1">
        <f t="shared" si="3"/>
        <v>35</v>
      </c>
      <c r="AB30" s="1">
        <v>15.0</v>
      </c>
      <c r="AC30" s="1">
        <f t="shared" si="4"/>
        <v>50</v>
      </c>
      <c r="AD30" s="1">
        <f>O30+AA30</f>
        <v>70</v>
      </c>
      <c r="AE30" s="1">
        <f>AB30+P30</f>
        <v>30</v>
      </c>
      <c r="AF30" s="1">
        <f t="shared" si="5"/>
        <v>100</v>
      </c>
      <c r="AG30" s="1">
        <v>60.0</v>
      </c>
      <c r="AH30" s="1">
        <v>60.0</v>
      </c>
      <c r="AI30" s="1" t="b">
        <v>1</v>
      </c>
      <c r="AK30" s="1" t="b">
        <v>1</v>
      </c>
    </row>
    <row r="31" ht="15.75" customHeight="1">
      <c r="A31" s="1" t="s">
        <v>62</v>
      </c>
      <c r="B31" s="1" t="s">
        <v>113</v>
      </c>
      <c r="C31" s="1" t="s">
        <v>91</v>
      </c>
      <c r="D31" s="1">
        <v>1.0</v>
      </c>
      <c r="E31" s="1" t="s">
        <v>64</v>
      </c>
      <c r="F31" s="1">
        <v>15.0</v>
      </c>
      <c r="G31" s="1">
        <v>10.0</v>
      </c>
      <c r="H31" s="1">
        <v>10.0</v>
      </c>
      <c r="O31" s="1">
        <f t="shared" si="1"/>
        <v>35</v>
      </c>
      <c r="P31" s="1">
        <v>15.0</v>
      </c>
      <c r="Q31" s="1">
        <f t="shared" si="2"/>
        <v>50</v>
      </c>
      <c r="R31" s="1">
        <v>15.0</v>
      </c>
      <c r="S31" s="1">
        <v>10.0</v>
      </c>
      <c r="T31" s="1">
        <v>10.0</v>
      </c>
      <c r="AA31" s="1">
        <f t="shared" si="3"/>
        <v>35</v>
      </c>
      <c r="AB31" s="1">
        <v>15.0</v>
      </c>
      <c r="AC31" s="1">
        <f t="shared" si="4"/>
        <v>50</v>
      </c>
      <c r="AD31" s="1">
        <v>70.0</v>
      </c>
      <c r="AE31" s="1">
        <v>30.0</v>
      </c>
      <c r="AF31" s="1">
        <f t="shared" si="5"/>
        <v>100</v>
      </c>
      <c r="AG31" s="1">
        <v>60.0</v>
      </c>
      <c r="AH31" s="1">
        <v>60.0</v>
      </c>
      <c r="AI31" s="1" t="b">
        <v>1</v>
      </c>
      <c r="AK31" s="1" t="b">
        <v>1</v>
      </c>
    </row>
    <row r="32" ht="15.75" customHeight="1">
      <c r="B32" s="1" t="s">
        <v>114</v>
      </c>
      <c r="C32" s="1" t="s">
        <v>93</v>
      </c>
      <c r="D32" s="1">
        <v>2.0</v>
      </c>
      <c r="E32" s="1" t="s">
        <v>115</v>
      </c>
      <c r="F32" s="1">
        <v>15.0</v>
      </c>
      <c r="G32" s="1">
        <v>10.0</v>
      </c>
      <c r="H32" s="1">
        <v>10.0</v>
      </c>
      <c r="O32" s="1">
        <f t="shared" si="1"/>
        <v>35</v>
      </c>
      <c r="P32" s="1">
        <v>15.0</v>
      </c>
      <c r="Q32" s="1">
        <f t="shared" si="2"/>
        <v>50</v>
      </c>
      <c r="R32" s="1">
        <v>10.0</v>
      </c>
      <c r="S32" s="1">
        <v>15.0</v>
      </c>
      <c r="T32" s="1">
        <v>10.0</v>
      </c>
      <c r="AA32" s="1">
        <f t="shared" si="3"/>
        <v>35</v>
      </c>
      <c r="AB32" s="1">
        <v>15.0</v>
      </c>
      <c r="AC32" s="1">
        <f t="shared" si="4"/>
        <v>50</v>
      </c>
      <c r="AD32" s="1">
        <v>70.0</v>
      </c>
      <c r="AE32" s="1">
        <v>30.0</v>
      </c>
      <c r="AF32" s="1">
        <f t="shared" si="5"/>
        <v>100</v>
      </c>
      <c r="AG32" s="1">
        <v>60.0</v>
      </c>
      <c r="AH32" s="1">
        <v>60.0</v>
      </c>
      <c r="AI32" s="1" t="b">
        <v>1</v>
      </c>
      <c r="AK32" s="1" t="b">
        <v>1</v>
      </c>
    </row>
    <row r="33" ht="15.75" customHeight="1">
      <c r="B33" s="1" t="s">
        <v>116</v>
      </c>
      <c r="C33" s="1" t="s">
        <v>117</v>
      </c>
      <c r="D33" s="1">
        <v>1.0</v>
      </c>
      <c r="E33" s="1" t="s">
        <v>118</v>
      </c>
      <c r="F33" s="1">
        <v>15.0</v>
      </c>
      <c r="G33" s="1">
        <v>10.0</v>
      </c>
      <c r="H33" s="1">
        <v>10.0</v>
      </c>
      <c r="O33" s="1">
        <f t="shared" si="1"/>
        <v>35</v>
      </c>
      <c r="P33" s="1">
        <v>15.0</v>
      </c>
      <c r="Q33" s="1">
        <f t="shared" si="2"/>
        <v>50</v>
      </c>
      <c r="R33" s="1">
        <v>10.0</v>
      </c>
      <c r="S33" s="1">
        <v>10.0</v>
      </c>
      <c r="T33" s="1">
        <v>15.0</v>
      </c>
      <c r="AA33" s="1">
        <f t="shared" si="3"/>
        <v>35</v>
      </c>
      <c r="AB33" s="1">
        <v>15.0</v>
      </c>
      <c r="AC33" s="1">
        <f t="shared" si="4"/>
        <v>50</v>
      </c>
      <c r="AD33" s="1">
        <v>70.0</v>
      </c>
      <c r="AE33" s="1">
        <v>30.0</v>
      </c>
      <c r="AF33" s="1">
        <f t="shared" si="5"/>
        <v>100</v>
      </c>
      <c r="AG33" s="1">
        <v>60.0</v>
      </c>
      <c r="AH33" s="1">
        <v>60.0</v>
      </c>
      <c r="AI33" s="1" t="b">
        <v>1</v>
      </c>
      <c r="AK33" s="1" t="b">
        <v>1</v>
      </c>
    </row>
    <row r="34" ht="15.75" customHeight="1">
      <c r="B34" s="1" t="s">
        <v>119</v>
      </c>
      <c r="C34" s="1" t="s">
        <v>120</v>
      </c>
      <c r="D34" s="1">
        <v>2.0</v>
      </c>
      <c r="E34" s="1" t="s">
        <v>121</v>
      </c>
      <c r="F34" s="1">
        <v>15.0</v>
      </c>
      <c r="G34" s="1">
        <v>10.0</v>
      </c>
      <c r="H34" s="1">
        <v>10.0</v>
      </c>
      <c r="O34" s="1">
        <f t="shared" si="1"/>
        <v>35</v>
      </c>
      <c r="P34" s="1">
        <v>15.0</v>
      </c>
      <c r="Q34" s="1">
        <f t="shared" si="2"/>
        <v>50</v>
      </c>
      <c r="R34" s="1">
        <v>10.0</v>
      </c>
      <c r="S34" s="1">
        <v>10.0</v>
      </c>
      <c r="T34" s="1">
        <v>15.0</v>
      </c>
      <c r="AA34" s="1">
        <f t="shared" si="3"/>
        <v>35</v>
      </c>
      <c r="AB34" s="1">
        <v>15.0</v>
      </c>
      <c r="AC34" s="1">
        <f t="shared" si="4"/>
        <v>50</v>
      </c>
      <c r="AD34" s="1">
        <v>70.0</v>
      </c>
      <c r="AE34" s="1">
        <v>30.0</v>
      </c>
      <c r="AF34" s="1">
        <f t="shared" si="5"/>
        <v>100</v>
      </c>
      <c r="AG34" s="1">
        <v>60.0</v>
      </c>
      <c r="AH34" s="1">
        <v>60.0</v>
      </c>
      <c r="AI34" s="1" t="b">
        <v>1</v>
      </c>
      <c r="AK34" s="1" t="b">
        <v>1</v>
      </c>
    </row>
    <row r="35" ht="15.75" customHeight="1">
      <c r="A35" s="1" t="s">
        <v>34</v>
      </c>
      <c r="B35" s="1" t="s">
        <v>122</v>
      </c>
      <c r="C35" s="1" t="s">
        <v>123</v>
      </c>
      <c r="D35" s="1">
        <v>0.5</v>
      </c>
      <c r="E35" s="1" t="s">
        <v>37</v>
      </c>
      <c r="F35" s="1">
        <v>10.0</v>
      </c>
      <c r="G35" s="1">
        <v>10.0</v>
      </c>
      <c r="H35" s="1">
        <v>10.0</v>
      </c>
      <c r="I35" s="1">
        <v>10.0</v>
      </c>
      <c r="O35" s="1">
        <f t="shared" si="1"/>
        <v>40</v>
      </c>
      <c r="P35" s="1">
        <v>10.0</v>
      </c>
      <c r="Q35" s="1">
        <f t="shared" si="2"/>
        <v>50</v>
      </c>
      <c r="R35" s="1">
        <v>15.0</v>
      </c>
      <c r="S35" s="1">
        <v>10.0</v>
      </c>
      <c r="T35" s="1">
        <v>15.0</v>
      </c>
      <c r="AA35" s="1">
        <f t="shared" si="3"/>
        <v>40</v>
      </c>
      <c r="AB35" s="1">
        <v>10.0</v>
      </c>
      <c r="AC35" s="1">
        <f t="shared" si="4"/>
        <v>50</v>
      </c>
      <c r="AD35" s="1">
        <v>80.0</v>
      </c>
      <c r="AE35" s="1">
        <v>20.0</v>
      </c>
      <c r="AF35" s="1">
        <f t="shared" si="5"/>
        <v>100</v>
      </c>
      <c r="AG35" s="1">
        <v>40.0</v>
      </c>
      <c r="AH35" s="1">
        <v>40.0</v>
      </c>
      <c r="AI35" s="1" t="b">
        <v>1</v>
      </c>
      <c r="AK35" s="1" t="b">
        <v>1</v>
      </c>
    </row>
    <row r="36" ht="15.75" customHeight="1">
      <c r="B36" s="1" t="s">
        <v>124</v>
      </c>
      <c r="C36" s="1" t="s">
        <v>125</v>
      </c>
      <c r="D36" s="1">
        <v>1.0</v>
      </c>
      <c r="E36" s="1" t="s">
        <v>37</v>
      </c>
      <c r="F36" s="1">
        <v>10.0</v>
      </c>
      <c r="G36" s="1">
        <v>15.0</v>
      </c>
      <c r="H36" s="1">
        <v>15.0</v>
      </c>
      <c r="O36" s="1">
        <f t="shared" si="1"/>
        <v>40</v>
      </c>
      <c r="P36" s="1">
        <v>10.0</v>
      </c>
      <c r="Q36" s="1">
        <f t="shared" si="2"/>
        <v>50</v>
      </c>
      <c r="R36" s="1">
        <v>10.0</v>
      </c>
      <c r="S36" s="1">
        <v>15.0</v>
      </c>
      <c r="T36" s="1">
        <v>15.0</v>
      </c>
      <c r="AA36" s="1">
        <f t="shared" si="3"/>
        <v>40</v>
      </c>
      <c r="AB36" s="1">
        <v>10.0</v>
      </c>
      <c r="AC36" s="1">
        <f t="shared" si="4"/>
        <v>50</v>
      </c>
      <c r="AD36" s="1">
        <v>80.0</v>
      </c>
      <c r="AE36" s="1">
        <v>20.0</v>
      </c>
      <c r="AF36" s="1">
        <f t="shared" si="5"/>
        <v>100</v>
      </c>
      <c r="AG36" s="1">
        <v>30.0</v>
      </c>
      <c r="AH36" s="1">
        <v>30.0</v>
      </c>
      <c r="AI36" s="1" t="b">
        <v>1</v>
      </c>
      <c r="AK36" s="1" t="b">
        <v>1</v>
      </c>
    </row>
    <row r="37" ht="15.75" customHeight="1">
      <c r="A37" s="1" t="s">
        <v>38</v>
      </c>
      <c r="B37" s="1" t="s">
        <v>126</v>
      </c>
      <c r="C37" s="1" t="s">
        <v>127</v>
      </c>
      <c r="D37" s="1">
        <v>0.5</v>
      </c>
      <c r="E37" s="1" t="s">
        <v>41</v>
      </c>
      <c r="F37" s="1">
        <v>5.0</v>
      </c>
      <c r="G37" s="1">
        <v>15.0</v>
      </c>
      <c r="H37" s="1">
        <v>10.0</v>
      </c>
      <c r="I37" s="1">
        <v>10.0</v>
      </c>
      <c r="O37" s="1">
        <f t="shared" si="1"/>
        <v>40</v>
      </c>
      <c r="P37" s="1">
        <v>10.0</v>
      </c>
      <c r="Q37" s="1">
        <f t="shared" si="2"/>
        <v>50</v>
      </c>
      <c r="R37" s="1">
        <v>10.0</v>
      </c>
      <c r="S37" s="1">
        <v>15.0</v>
      </c>
      <c r="T37" s="1">
        <v>15.0</v>
      </c>
      <c r="AA37" s="1">
        <f t="shared" si="3"/>
        <v>40</v>
      </c>
      <c r="AB37" s="1">
        <v>10.0</v>
      </c>
      <c r="AC37" s="1">
        <f t="shared" si="4"/>
        <v>50</v>
      </c>
      <c r="AD37" s="1">
        <v>80.0</v>
      </c>
      <c r="AE37" s="1">
        <v>20.0</v>
      </c>
      <c r="AF37" s="1">
        <f t="shared" si="5"/>
        <v>100</v>
      </c>
      <c r="AG37" s="1">
        <v>30.0</v>
      </c>
      <c r="AH37" s="1">
        <v>30.0</v>
      </c>
      <c r="AI37" s="1" t="b">
        <v>1</v>
      </c>
      <c r="AK37" s="1" t="b">
        <v>1</v>
      </c>
    </row>
    <row r="38" ht="15.75" customHeight="1">
      <c r="B38" s="1" t="s">
        <v>128</v>
      </c>
      <c r="C38" s="1" t="s">
        <v>129</v>
      </c>
      <c r="D38" s="1">
        <v>1.0</v>
      </c>
      <c r="E38" s="1" t="s">
        <v>89</v>
      </c>
      <c r="F38" s="1">
        <v>10.0</v>
      </c>
      <c r="G38" s="1">
        <v>10.0</v>
      </c>
      <c r="H38" s="1">
        <v>10.0</v>
      </c>
      <c r="I38" s="1">
        <v>10.0</v>
      </c>
      <c r="O38" s="1">
        <f t="shared" si="1"/>
        <v>40</v>
      </c>
      <c r="P38" s="1">
        <v>10.0</v>
      </c>
      <c r="Q38" s="1">
        <f t="shared" si="2"/>
        <v>50</v>
      </c>
      <c r="R38" s="1">
        <v>10.0</v>
      </c>
      <c r="S38" s="1">
        <v>10.0</v>
      </c>
      <c r="T38" s="1">
        <v>10.0</v>
      </c>
      <c r="U38" s="1">
        <v>10.0</v>
      </c>
      <c r="AA38" s="1">
        <f t="shared" si="3"/>
        <v>40</v>
      </c>
      <c r="AB38" s="1">
        <v>10.0</v>
      </c>
      <c r="AC38" s="1">
        <f t="shared" si="4"/>
        <v>50</v>
      </c>
      <c r="AD38" s="1">
        <v>80.0</v>
      </c>
      <c r="AE38" s="1">
        <v>20.0</v>
      </c>
      <c r="AF38" s="1">
        <f t="shared" si="5"/>
        <v>100</v>
      </c>
      <c r="AG38" s="1">
        <v>30.0</v>
      </c>
      <c r="AH38" s="1">
        <v>30.0</v>
      </c>
      <c r="AI38" s="1" t="b">
        <v>1</v>
      </c>
      <c r="AK38" s="1" t="b">
        <v>1</v>
      </c>
    </row>
    <row r="39" ht="15.75" customHeight="1">
      <c r="A39" s="1" t="s">
        <v>42</v>
      </c>
      <c r="B39" s="1" t="s">
        <v>130</v>
      </c>
      <c r="C39" s="1" t="s">
        <v>131</v>
      </c>
      <c r="D39" s="1">
        <v>0.5</v>
      </c>
      <c r="E39" s="1" t="s">
        <v>45</v>
      </c>
      <c r="F39" s="1">
        <v>10.0</v>
      </c>
      <c r="G39" s="1">
        <v>10.0</v>
      </c>
      <c r="H39" s="1">
        <v>10.0</v>
      </c>
      <c r="I39" s="1">
        <v>10.0</v>
      </c>
      <c r="O39" s="1">
        <f t="shared" si="1"/>
        <v>40</v>
      </c>
      <c r="P39" s="1">
        <v>10.0</v>
      </c>
      <c r="Q39" s="1">
        <f t="shared" si="2"/>
        <v>50</v>
      </c>
      <c r="R39" s="1">
        <v>10.0</v>
      </c>
      <c r="S39" s="1">
        <v>10.0</v>
      </c>
      <c r="T39" s="1">
        <v>10.0</v>
      </c>
      <c r="U39" s="1">
        <v>10.0</v>
      </c>
      <c r="AA39" s="1">
        <f t="shared" si="3"/>
        <v>40</v>
      </c>
      <c r="AB39" s="1">
        <v>10.0</v>
      </c>
      <c r="AC39" s="1">
        <f t="shared" si="4"/>
        <v>50</v>
      </c>
      <c r="AD39" s="1">
        <v>80.0</v>
      </c>
      <c r="AE39" s="1">
        <v>20.0</v>
      </c>
      <c r="AF39" s="1">
        <f t="shared" si="5"/>
        <v>100</v>
      </c>
      <c r="AG39" s="1">
        <v>30.0</v>
      </c>
      <c r="AH39" s="1">
        <v>30.0</v>
      </c>
      <c r="AI39" s="1" t="b">
        <v>1</v>
      </c>
      <c r="AK39" s="1" t="b">
        <v>1</v>
      </c>
    </row>
    <row r="40" ht="15.75" customHeight="1">
      <c r="B40" s="1" t="s">
        <v>132</v>
      </c>
      <c r="C40" s="1" t="s">
        <v>133</v>
      </c>
      <c r="D40" s="1">
        <v>1.0</v>
      </c>
      <c r="E40" s="1" t="s">
        <v>97</v>
      </c>
      <c r="F40" s="1">
        <v>10.0</v>
      </c>
      <c r="G40" s="1">
        <v>10.0</v>
      </c>
      <c r="H40" s="1">
        <v>10.0</v>
      </c>
      <c r="I40" s="1">
        <v>10.0</v>
      </c>
      <c r="O40" s="1">
        <f t="shared" si="1"/>
        <v>40</v>
      </c>
      <c r="P40" s="1">
        <v>10.0</v>
      </c>
      <c r="Q40" s="1">
        <f t="shared" si="2"/>
        <v>50</v>
      </c>
      <c r="R40" s="1">
        <v>10.0</v>
      </c>
      <c r="S40" s="1">
        <v>15.0</v>
      </c>
      <c r="T40" s="1">
        <v>15.0</v>
      </c>
      <c r="AA40" s="1">
        <f t="shared" si="3"/>
        <v>40</v>
      </c>
      <c r="AB40" s="1">
        <v>10.0</v>
      </c>
      <c r="AC40" s="1">
        <f t="shared" si="4"/>
        <v>50</v>
      </c>
      <c r="AD40" s="1">
        <v>80.0</v>
      </c>
      <c r="AE40" s="1">
        <v>20.0</v>
      </c>
      <c r="AF40" s="1">
        <f t="shared" si="5"/>
        <v>100</v>
      </c>
      <c r="AG40" s="1">
        <v>30.0</v>
      </c>
      <c r="AH40" s="1">
        <v>30.0</v>
      </c>
      <c r="AI40" s="1" t="b">
        <v>1</v>
      </c>
      <c r="AK40" s="1" t="b">
        <v>1</v>
      </c>
    </row>
    <row r="41" ht="15.75" customHeight="1">
      <c r="A41" s="1" t="s">
        <v>46</v>
      </c>
      <c r="B41" s="1" t="s">
        <v>134</v>
      </c>
      <c r="C41" s="1" t="s">
        <v>135</v>
      </c>
      <c r="D41" s="1">
        <v>0.5</v>
      </c>
      <c r="E41" s="1" t="s">
        <v>48</v>
      </c>
      <c r="F41" s="1">
        <v>10.0</v>
      </c>
      <c r="G41" s="1">
        <v>15.0</v>
      </c>
      <c r="H41" s="1">
        <v>15.0</v>
      </c>
      <c r="O41" s="1">
        <f t="shared" si="1"/>
        <v>40</v>
      </c>
      <c r="P41" s="1">
        <v>10.0</v>
      </c>
      <c r="Q41" s="1">
        <f t="shared" si="2"/>
        <v>50</v>
      </c>
      <c r="R41" s="1">
        <v>10.0</v>
      </c>
      <c r="S41" s="1">
        <v>15.0</v>
      </c>
      <c r="T41" s="1">
        <v>15.0</v>
      </c>
      <c r="AA41" s="1">
        <f t="shared" si="3"/>
        <v>40</v>
      </c>
      <c r="AB41" s="1">
        <v>10.0</v>
      </c>
      <c r="AC41" s="1">
        <f t="shared" si="4"/>
        <v>50</v>
      </c>
      <c r="AD41" s="1">
        <v>80.0</v>
      </c>
      <c r="AE41" s="1">
        <v>20.0</v>
      </c>
      <c r="AF41" s="1">
        <f t="shared" si="5"/>
        <v>100</v>
      </c>
      <c r="AG41" s="1">
        <v>30.0</v>
      </c>
      <c r="AH41" s="1">
        <v>30.0</v>
      </c>
      <c r="AI41" s="1" t="b">
        <v>1</v>
      </c>
      <c r="AK41" s="1" t="b">
        <v>1</v>
      </c>
    </row>
    <row r="42" ht="15.75" customHeight="1">
      <c r="B42" s="1" t="s">
        <v>136</v>
      </c>
      <c r="C42" s="1" t="s">
        <v>137</v>
      </c>
      <c r="D42" s="1">
        <v>1.0</v>
      </c>
      <c r="E42" s="1" t="s">
        <v>48</v>
      </c>
      <c r="F42" s="1">
        <v>10.0</v>
      </c>
      <c r="G42" s="1">
        <v>15.0</v>
      </c>
      <c r="H42" s="1">
        <v>15.0</v>
      </c>
      <c r="O42" s="1">
        <f t="shared" si="1"/>
        <v>40</v>
      </c>
      <c r="P42" s="1">
        <v>10.0</v>
      </c>
      <c r="Q42" s="1">
        <f t="shared" si="2"/>
        <v>50</v>
      </c>
      <c r="R42" s="1">
        <v>10.0</v>
      </c>
      <c r="S42" s="1">
        <v>15.0</v>
      </c>
      <c r="T42" s="1">
        <v>15.0</v>
      </c>
      <c r="AA42" s="1">
        <f t="shared" si="3"/>
        <v>40</v>
      </c>
      <c r="AB42" s="1">
        <v>10.0</v>
      </c>
      <c r="AC42" s="1">
        <f t="shared" si="4"/>
        <v>50</v>
      </c>
      <c r="AD42" s="1">
        <v>80.0</v>
      </c>
      <c r="AE42" s="1">
        <v>20.0</v>
      </c>
      <c r="AF42" s="1">
        <f t="shared" si="5"/>
        <v>100</v>
      </c>
      <c r="AG42" s="1">
        <v>40.0</v>
      </c>
      <c r="AH42" s="1">
        <v>40.0</v>
      </c>
      <c r="AI42" s="1" t="b">
        <v>1</v>
      </c>
      <c r="AK42" s="1" t="b">
        <v>1</v>
      </c>
    </row>
    <row r="43" ht="15.75" customHeight="1">
      <c r="B43" s="1" t="s">
        <v>138</v>
      </c>
      <c r="C43" s="1" t="s">
        <v>139</v>
      </c>
      <c r="D43" s="1">
        <v>1.0</v>
      </c>
      <c r="E43" s="1" t="s">
        <v>103</v>
      </c>
      <c r="F43" s="1">
        <v>5.0</v>
      </c>
      <c r="G43" s="1">
        <v>10.0</v>
      </c>
      <c r="H43" s="1">
        <v>15.0</v>
      </c>
      <c r="I43" s="1">
        <v>10.0</v>
      </c>
      <c r="O43" s="1">
        <f t="shared" si="1"/>
        <v>40</v>
      </c>
      <c r="P43" s="1">
        <v>10.0</v>
      </c>
      <c r="Q43" s="1">
        <f t="shared" si="2"/>
        <v>50</v>
      </c>
      <c r="R43" s="1">
        <v>10.0</v>
      </c>
      <c r="S43" s="1">
        <v>15.0</v>
      </c>
      <c r="T43" s="1">
        <v>15.0</v>
      </c>
      <c r="AA43" s="1">
        <f t="shared" si="3"/>
        <v>40</v>
      </c>
      <c r="AB43" s="1">
        <v>10.0</v>
      </c>
      <c r="AC43" s="1">
        <f t="shared" si="4"/>
        <v>50</v>
      </c>
      <c r="AD43" s="1">
        <v>80.0</v>
      </c>
      <c r="AE43" s="1">
        <v>20.0</v>
      </c>
      <c r="AF43" s="1">
        <f t="shared" si="5"/>
        <v>100</v>
      </c>
      <c r="AG43" s="1">
        <v>40.0</v>
      </c>
      <c r="AH43" s="1">
        <v>40.0</v>
      </c>
      <c r="AI43" s="1" t="b">
        <v>1</v>
      </c>
      <c r="AK43" s="1" t="b">
        <v>1</v>
      </c>
    </row>
    <row r="44" ht="15.75" customHeight="1">
      <c r="A44" s="1" t="s">
        <v>54</v>
      </c>
      <c r="B44" s="1" t="s">
        <v>140</v>
      </c>
      <c r="C44" s="1" t="s">
        <v>141</v>
      </c>
      <c r="D44" s="1">
        <v>0.5</v>
      </c>
      <c r="E44" s="1" t="s">
        <v>142</v>
      </c>
      <c r="F44" s="1">
        <v>10.0</v>
      </c>
      <c r="G44" s="1">
        <v>15.0</v>
      </c>
      <c r="H44" s="1">
        <v>15.0</v>
      </c>
      <c r="O44" s="1">
        <f t="shared" si="1"/>
        <v>40</v>
      </c>
      <c r="P44" s="1">
        <v>10.0</v>
      </c>
      <c r="Q44" s="1">
        <f t="shared" si="2"/>
        <v>50</v>
      </c>
      <c r="R44" s="1">
        <v>15.0</v>
      </c>
      <c r="S44" s="1">
        <v>15.0</v>
      </c>
      <c r="T44" s="1">
        <v>10.0</v>
      </c>
      <c r="AA44" s="1">
        <f t="shared" si="3"/>
        <v>40</v>
      </c>
      <c r="AB44" s="1">
        <v>10.0</v>
      </c>
      <c r="AC44" s="1">
        <f t="shared" si="4"/>
        <v>50</v>
      </c>
      <c r="AD44" s="1">
        <v>80.0</v>
      </c>
      <c r="AE44" s="1">
        <v>20.0</v>
      </c>
      <c r="AF44" s="1">
        <f t="shared" si="5"/>
        <v>100</v>
      </c>
      <c r="AG44" s="1">
        <v>40.0</v>
      </c>
      <c r="AH44" s="1">
        <v>40.0</v>
      </c>
      <c r="AI44" s="1" t="b">
        <v>1</v>
      </c>
      <c r="AK44" s="1" t="b">
        <v>1</v>
      </c>
    </row>
    <row r="45" ht="15.75" customHeight="1">
      <c r="B45" s="1" t="s">
        <v>143</v>
      </c>
      <c r="C45" s="1" t="s">
        <v>144</v>
      </c>
      <c r="D45" s="1">
        <v>1.0</v>
      </c>
      <c r="E45" s="1" t="s">
        <v>145</v>
      </c>
      <c r="F45" s="1">
        <v>10.0</v>
      </c>
      <c r="G45" s="1">
        <v>15.0</v>
      </c>
      <c r="H45" s="1">
        <v>15.0</v>
      </c>
      <c r="O45" s="1">
        <f t="shared" si="1"/>
        <v>40</v>
      </c>
      <c r="P45" s="1">
        <v>10.0</v>
      </c>
      <c r="Q45" s="1">
        <f t="shared" si="2"/>
        <v>50</v>
      </c>
      <c r="R45" s="1">
        <v>10.0</v>
      </c>
      <c r="S45" s="1">
        <v>15.0</v>
      </c>
      <c r="T45" s="1">
        <v>15.0</v>
      </c>
      <c r="AA45" s="1">
        <f t="shared" si="3"/>
        <v>40</v>
      </c>
      <c r="AB45" s="1">
        <v>10.0</v>
      </c>
      <c r="AC45" s="1">
        <f t="shared" si="4"/>
        <v>50</v>
      </c>
      <c r="AD45" s="1">
        <v>30.0</v>
      </c>
      <c r="AE45" s="1">
        <v>20.0</v>
      </c>
      <c r="AF45" s="1">
        <f t="shared" si="5"/>
        <v>100</v>
      </c>
      <c r="AG45" s="1">
        <v>40.0</v>
      </c>
      <c r="AH45" s="1">
        <v>40.0</v>
      </c>
      <c r="AI45" s="1" t="b">
        <v>1</v>
      </c>
      <c r="AK45" s="1" t="b">
        <v>1</v>
      </c>
    </row>
    <row r="46" ht="15.75" customHeight="1">
      <c r="B46" s="1" t="s">
        <v>146</v>
      </c>
      <c r="C46" s="1" t="s">
        <v>147</v>
      </c>
      <c r="D46" s="1">
        <v>1.0</v>
      </c>
      <c r="E46" s="1" t="s">
        <v>112</v>
      </c>
      <c r="F46" s="1">
        <v>10.0</v>
      </c>
      <c r="G46" s="1">
        <v>15.0</v>
      </c>
      <c r="H46" s="1">
        <v>15.0</v>
      </c>
      <c r="O46" s="1">
        <f t="shared" si="1"/>
        <v>40</v>
      </c>
      <c r="P46" s="1">
        <v>10.0</v>
      </c>
      <c r="Q46" s="1">
        <f t="shared" si="2"/>
        <v>50</v>
      </c>
      <c r="R46" s="1">
        <v>10.0</v>
      </c>
      <c r="S46" s="1">
        <v>15.0</v>
      </c>
      <c r="T46" s="1">
        <v>15.0</v>
      </c>
      <c r="AA46" s="1">
        <f t="shared" si="3"/>
        <v>40</v>
      </c>
      <c r="AB46" s="1">
        <v>10.0</v>
      </c>
      <c r="AC46" s="1">
        <f t="shared" si="4"/>
        <v>50</v>
      </c>
      <c r="AD46" s="1">
        <v>80.0</v>
      </c>
      <c r="AE46" s="1">
        <v>20.0</v>
      </c>
      <c r="AF46" s="1">
        <f t="shared" si="5"/>
        <v>100</v>
      </c>
      <c r="AG46" s="1">
        <v>30.0</v>
      </c>
      <c r="AH46" s="1">
        <v>30.0</v>
      </c>
      <c r="AI46" s="1" t="b">
        <v>1</v>
      </c>
      <c r="AK46" s="1" t="b">
        <v>1</v>
      </c>
    </row>
    <row r="47" ht="15.75" customHeight="1">
      <c r="A47" s="1" t="s">
        <v>62</v>
      </c>
      <c r="B47" s="1" t="s">
        <v>148</v>
      </c>
      <c r="C47" s="1" t="s">
        <v>149</v>
      </c>
      <c r="D47" s="1">
        <v>1.0</v>
      </c>
      <c r="E47" s="1" t="s">
        <v>64</v>
      </c>
      <c r="F47" s="1">
        <v>10.0</v>
      </c>
      <c r="G47" s="1">
        <v>10.0</v>
      </c>
      <c r="H47" s="1">
        <v>10.0</v>
      </c>
      <c r="I47" s="1">
        <v>10.0</v>
      </c>
      <c r="O47" s="1">
        <f t="shared" si="1"/>
        <v>40</v>
      </c>
      <c r="P47" s="1">
        <v>10.0</v>
      </c>
      <c r="Q47" s="1">
        <f t="shared" si="2"/>
        <v>50</v>
      </c>
      <c r="R47" s="1">
        <v>10.0</v>
      </c>
      <c r="S47" s="1">
        <v>10.0</v>
      </c>
      <c r="T47" s="1">
        <v>10.0</v>
      </c>
      <c r="U47" s="1">
        <v>10.0</v>
      </c>
      <c r="AA47" s="1">
        <f t="shared" si="3"/>
        <v>40</v>
      </c>
      <c r="AB47" s="1">
        <v>10.0</v>
      </c>
      <c r="AC47" s="1">
        <f t="shared" si="4"/>
        <v>50</v>
      </c>
      <c r="AD47" s="1">
        <v>80.0</v>
      </c>
      <c r="AE47" s="1">
        <v>20.0</v>
      </c>
      <c r="AF47" s="1">
        <f t="shared" si="5"/>
        <v>100</v>
      </c>
      <c r="AG47" s="1">
        <v>60.0</v>
      </c>
      <c r="AH47" s="1">
        <v>60.0</v>
      </c>
      <c r="AI47" s="1" t="b">
        <v>1</v>
      </c>
      <c r="AK47" s="1" t="b">
        <v>1</v>
      </c>
    </row>
    <row r="48" ht="15.75" customHeight="1">
      <c r="B48" s="1" t="s">
        <v>150</v>
      </c>
      <c r="C48" s="1" t="s">
        <v>151</v>
      </c>
      <c r="D48" s="1">
        <v>1.0</v>
      </c>
      <c r="E48" s="1" t="s">
        <v>121</v>
      </c>
      <c r="F48" s="1">
        <v>10.0</v>
      </c>
      <c r="G48" s="1">
        <v>15.0</v>
      </c>
      <c r="H48" s="1">
        <v>15.0</v>
      </c>
      <c r="O48" s="1">
        <f t="shared" si="1"/>
        <v>40</v>
      </c>
      <c r="P48" s="1">
        <v>10.0</v>
      </c>
      <c r="Q48" s="1">
        <f t="shared" si="2"/>
        <v>50</v>
      </c>
      <c r="R48" s="1">
        <v>15.0</v>
      </c>
      <c r="S48" s="1">
        <v>15.0</v>
      </c>
      <c r="T48" s="1">
        <v>10.0</v>
      </c>
      <c r="AA48" s="1">
        <f t="shared" si="3"/>
        <v>40</v>
      </c>
      <c r="AB48" s="1">
        <v>10.0</v>
      </c>
      <c r="AC48" s="1">
        <f t="shared" si="4"/>
        <v>50</v>
      </c>
      <c r="AD48" s="1">
        <v>80.0</v>
      </c>
      <c r="AE48" s="1">
        <v>20.0</v>
      </c>
      <c r="AF48" s="1">
        <f t="shared" si="5"/>
        <v>100</v>
      </c>
      <c r="AG48" s="1">
        <v>40.0</v>
      </c>
      <c r="AH48" s="1">
        <v>40.0</v>
      </c>
      <c r="AI48" s="1" t="b">
        <v>1</v>
      </c>
      <c r="AK48" s="1" t="b">
        <v>1</v>
      </c>
    </row>
    <row r="49" ht="15.75" customHeight="1">
      <c r="A49" s="1" t="s">
        <v>34</v>
      </c>
      <c r="B49" s="1" t="s">
        <v>152</v>
      </c>
      <c r="C49" s="1" t="s">
        <v>153</v>
      </c>
      <c r="D49" s="1">
        <v>1.5</v>
      </c>
      <c r="E49" s="1" t="s">
        <v>37</v>
      </c>
      <c r="F49" s="1">
        <v>10.0</v>
      </c>
      <c r="G49" s="1">
        <v>10.0</v>
      </c>
      <c r="H49" s="1">
        <v>10.0</v>
      </c>
      <c r="I49" s="1">
        <v>5.0</v>
      </c>
      <c r="O49" s="1">
        <f t="shared" si="1"/>
        <v>35</v>
      </c>
      <c r="P49" s="1">
        <v>15.0</v>
      </c>
      <c r="Q49" s="1">
        <f t="shared" si="2"/>
        <v>50</v>
      </c>
      <c r="R49" s="1">
        <v>10.0</v>
      </c>
      <c r="S49" s="1">
        <v>10.0</v>
      </c>
      <c r="T49" s="1">
        <v>5.0</v>
      </c>
      <c r="U49" s="1">
        <v>5.0</v>
      </c>
      <c r="V49" s="1">
        <v>5.0</v>
      </c>
      <c r="AA49" s="1">
        <f t="shared" si="3"/>
        <v>35</v>
      </c>
      <c r="AB49" s="1">
        <v>15.0</v>
      </c>
      <c r="AC49" s="1">
        <f t="shared" si="4"/>
        <v>50</v>
      </c>
      <c r="AD49" s="1">
        <v>70.0</v>
      </c>
      <c r="AE49" s="1">
        <v>30.0</v>
      </c>
      <c r="AF49" s="1">
        <f t="shared" si="5"/>
        <v>100</v>
      </c>
      <c r="AG49" s="1">
        <v>40.0</v>
      </c>
      <c r="AH49" s="1">
        <v>40.0</v>
      </c>
      <c r="AI49" s="1" t="b">
        <v>1</v>
      </c>
      <c r="AK49" s="1" t="b">
        <v>1</v>
      </c>
    </row>
    <row r="50" ht="15.75" customHeight="1">
      <c r="B50" s="1" t="s">
        <v>154</v>
      </c>
      <c r="C50" s="1" t="s">
        <v>155</v>
      </c>
      <c r="D50" s="1">
        <v>0.5</v>
      </c>
      <c r="E50" s="1" t="s">
        <v>37</v>
      </c>
      <c r="F50" s="1">
        <v>10.0</v>
      </c>
      <c r="G50" s="1">
        <v>15.0</v>
      </c>
      <c r="H50" s="1">
        <v>10.0</v>
      </c>
      <c r="O50" s="1">
        <f t="shared" si="1"/>
        <v>35</v>
      </c>
      <c r="P50" s="1">
        <v>15.0</v>
      </c>
      <c r="Q50" s="1">
        <f t="shared" si="2"/>
        <v>50</v>
      </c>
      <c r="R50" s="1">
        <v>10.0</v>
      </c>
      <c r="S50" s="1">
        <v>15.0</v>
      </c>
      <c r="T50" s="1">
        <v>10.0</v>
      </c>
      <c r="AA50" s="1">
        <f t="shared" si="3"/>
        <v>35</v>
      </c>
      <c r="AB50" s="1">
        <v>15.0</v>
      </c>
      <c r="AC50" s="1">
        <f t="shared" si="4"/>
        <v>50</v>
      </c>
      <c r="AD50" s="1">
        <v>70.0</v>
      </c>
      <c r="AE50" s="1">
        <v>30.0</v>
      </c>
      <c r="AF50" s="1">
        <f t="shared" si="5"/>
        <v>100</v>
      </c>
      <c r="AG50" s="1">
        <v>40.0</v>
      </c>
      <c r="AH50" s="1">
        <v>40.0</v>
      </c>
      <c r="AI50" s="1" t="b">
        <v>1</v>
      </c>
      <c r="AK50" s="1" t="b">
        <v>1</v>
      </c>
    </row>
    <row r="51" ht="15.75" customHeight="1">
      <c r="B51" s="1" t="s">
        <v>156</v>
      </c>
      <c r="C51" s="1" t="s">
        <v>157</v>
      </c>
      <c r="D51" s="1">
        <v>1.0</v>
      </c>
      <c r="E51" s="1" t="s">
        <v>78</v>
      </c>
      <c r="F51" s="1">
        <v>10.0</v>
      </c>
      <c r="G51" s="1">
        <v>10.0</v>
      </c>
      <c r="H51" s="1">
        <v>15.0</v>
      </c>
      <c r="O51" s="1">
        <f t="shared" si="1"/>
        <v>35</v>
      </c>
      <c r="P51" s="1">
        <v>15.0</v>
      </c>
      <c r="Q51" s="1">
        <f t="shared" si="2"/>
        <v>50</v>
      </c>
      <c r="R51" s="1">
        <v>10.0</v>
      </c>
      <c r="S51" s="1">
        <v>15.0</v>
      </c>
      <c r="T51" s="1">
        <v>10.0</v>
      </c>
      <c r="AA51" s="1">
        <f t="shared" si="3"/>
        <v>35</v>
      </c>
      <c r="AB51" s="1">
        <v>15.0</v>
      </c>
      <c r="AC51" s="1">
        <f t="shared" si="4"/>
        <v>50</v>
      </c>
      <c r="AD51" s="1">
        <v>70.0</v>
      </c>
      <c r="AE51" s="1">
        <v>30.0</v>
      </c>
      <c r="AF51" s="1">
        <f t="shared" si="5"/>
        <v>100</v>
      </c>
      <c r="AG51" s="1">
        <v>40.0</v>
      </c>
      <c r="AH51" s="1">
        <v>40.0</v>
      </c>
      <c r="AI51" s="1" t="b">
        <v>1</v>
      </c>
      <c r="AK51" s="1" t="b">
        <v>1</v>
      </c>
    </row>
    <row r="52" ht="15.75" customHeight="1">
      <c r="A52" s="1" t="s">
        <v>38</v>
      </c>
      <c r="B52" s="1" t="s">
        <v>158</v>
      </c>
      <c r="C52" s="1" t="s">
        <v>159</v>
      </c>
      <c r="D52" s="1">
        <v>1.5</v>
      </c>
      <c r="E52" s="1" t="s">
        <v>41</v>
      </c>
      <c r="F52" s="1">
        <v>10.0</v>
      </c>
      <c r="G52" s="1">
        <v>10.0</v>
      </c>
      <c r="H52" s="1">
        <v>10.0</v>
      </c>
      <c r="I52" s="1">
        <v>5.0</v>
      </c>
      <c r="O52" s="1">
        <f t="shared" si="1"/>
        <v>35</v>
      </c>
      <c r="P52" s="1">
        <v>15.0</v>
      </c>
      <c r="Q52" s="1">
        <f t="shared" si="2"/>
        <v>50</v>
      </c>
      <c r="R52" s="1">
        <v>10.0</v>
      </c>
      <c r="S52" s="1">
        <v>5.0</v>
      </c>
      <c r="T52" s="1">
        <v>5.0</v>
      </c>
      <c r="U52" s="1">
        <v>10.0</v>
      </c>
      <c r="V52" s="1">
        <v>5.0</v>
      </c>
      <c r="AA52" s="1">
        <f t="shared" si="3"/>
        <v>35</v>
      </c>
      <c r="AB52" s="1">
        <v>15.0</v>
      </c>
      <c r="AC52" s="1">
        <f t="shared" si="4"/>
        <v>50</v>
      </c>
      <c r="AD52" s="1">
        <v>70.0</v>
      </c>
      <c r="AE52" s="1">
        <v>30.0</v>
      </c>
      <c r="AF52" s="1">
        <f t="shared" si="5"/>
        <v>100</v>
      </c>
      <c r="AG52" s="1">
        <v>40.0</v>
      </c>
      <c r="AH52" s="1">
        <v>40.0</v>
      </c>
      <c r="AI52" s="1" t="b">
        <v>1</v>
      </c>
      <c r="AK52" s="1" t="b">
        <v>1</v>
      </c>
    </row>
    <row r="53" ht="15.75" customHeight="1">
      <c r="B53" s="1" t="s">
        <v>160</v>
      </c>
      <c r="C53" s="1" t="s">
        <v>161</v>
      </c>
      <c r="D53" s="1">
        <v>0.5</v>
      </c>
      <c r="E53" s="1" t="s">
        <v>41</v>
      </c>
      <c r="F53" s="1">
        <v>10.0</v>
      </c>
      <c r="G53" s="1">
        <v>10.0</v>
      </c>
      <c r="H53" s="1">
        <v>10.0</v>
      </c>
      <c r="I53" s="1">
        <v>5.0</v>
      </c>
      <c r="O53" s="1">
        <f t="shared" si="1"/>
        <v>35</v>
      </c>
      <c r="P53" s="1">
        <v>15.0</v>
      </c>
      <c r="Q53" s="1">
        <f t="shared" si="2"/>
        <v>50</v>
      </c>
      <c r="R53" s="1">
        <v>10.0</v>
      </c>
      <c r="S53" s="1">
        <v>10.0</v>
      </c>
      <c r="T53" s="1">
        <v>10.0</v>
      </c>
      <c r="U53" s="1">
        <v>5.0</v>
      </c>
      <c r="AA53" s="1">
        <f t="shared" si="3"/>
        <v>35</v>
      </c>
      <c r="AB53" s="1">
        <v>15.0</v>
      </c>
      <c r="AC53" s="1">
        <f t="shared" si="4"/>
        <v>50</v>
      </c>
      <c r="AD53" s="1">
        <v>70.0</v>
      </c>
      <c r="AE53" s="1">
        <v>30.0</v>
      </c>
      <c r="AF53" s="1">
        <f t="shared" si="5"/>
        <v>100</v>
      </c>
      <c r="AG53" s="1">
        <v>30.0</v>
      </c>
      <c r="AH53" s="1">
        <v>30.0</v>
      </c>
      <c r="AI53" s="1" t="b">
        <v>1</v>
      </c>
      <c r="AK53" s="1" t="b">
        <v>1</v>
      </c>
    </row>
    <row r="54" ht="15.75" customHeight="1">
      <c r="B54" s="1" t="s">
        <v>162</v>
      </c>
      <c r="C54" s="1" t="s">
        <v>163</v>
      </c>
      <c r="D54" s="1">
        <v>0.5</v>
      </c>
      <c r="E54" s="1" t="s">
        <v>89</v>
      </c>
      <c r="F54" s="1">
        <v>10.0</v>
      </c>
      <c r="G54" s="1">
        <v>15.0</v>
      </c>
      <c r="H54" s="1">
        <v>10.0</v>
      </c>
      <c r="O54" s="1">
        <f t="shared" si="1"/>
        <v>35</v>
      </c>
      <c r="P54" s="1">
        <v>15.0</v>
      </c>
      <c r="Q54" s="1">
        <f t="shared" si="2"/>
        <v>50</v>
      </c>
      <c r="R54" s="1">
        <v>10.0</v>
      </c>
      <c r="S54" s="1">
        <v>10.0</v>
      </c>
      <c r="T54" s="1">
        <v>15.0</v>
      </c>
      <c r="AA54" s="1">
        <f t="shared" si="3"/>
        <v>35</v>
      </c>
      <c r="AB54" s="1">
        <v>15.0</v>
      </c>
      <c r="AC54" s="1">
        <f t="shared" si="4"/>
        <v>50</v>
      </c>
      <c r="AD54" s="1">
        <v>70.0</v>
      </c>
      <c r="AE54" s="1">
        <v>30.0</v>
      </c>
      <c r="AF54" s="1">
        <f t="shared" si="5"/>
        <v>100</v>
      </c>
      <c r="AG54" s="1">
        <v>40.0</v>
      </c>
      <c r="AH54" s="1">
        <v>40.0</v>
      </c>
      <c r="AI54" s="1" t="b">
        <v>1</v>
      </c>
      <c r="AK54" s="1" t="b">
        <v>1</v>
      </c>
    </row>
    <row r="55" ht="15.75" customHeight="1">
      <c r="A55" s="1" t="s">
        <v>42</v>
      </c>
      <c r="B55" s="1" t="s">
        <v>164</v>
      </c>
      <c r="C55" s="1" t="s">
        <v>165</v>
      </c>
      <c r="D55" s="1">
        <v>1.5</v>
      </c>
      <c r="E55" s="1" t="s">
        <v>45</v>
      </c>
      <c r="F55" s="1">
        <v>10.0</v>
      </c>
      <c r="G55" s="1">
        <v>10.0</v>
      </c>
      <c r="H55" s="1">
        <v>10.0</v>
      </c>
      <c r="I55" s="1">
        <v>5.0</v>
      </c>
      <c r="O55" s="1">
        <f t="shared" si="1"/>
        <v>35</v>
      </c>
      <c r="P55" s="1">
        <v>15.0</v>
      </c>
      <c r="Q55" s="1">
        <f t="shared" si="2"/>
        <v>50</v>
      </c>
      <c r="R55" s="1">
        <v>5.0</v>
      </c>
      <c r="S55" s="1">
        <v>10.0</v>
      </c>
      <c r="T55" s="1">
        <v>10.0</v>
      </c>
      <c r="U55" s="1">
        <v>5.0</v>
      </c>
      <c r="V55" s="1">
        <v>5.0</v>
      </c>
      <c r="AA55" s="1">
        <f t="shared" si="3"/>
        <v>35</v>
      </c>
      <c r="AB55" s="1">
        <v>15.0</v>
      </c>
      <c r="AC55" s="1">
        <f t="shared" si="4"/>
        <v>50</v>
      </c>
      <c r="AD55" s="1">
        <v>70.0</v>
      </c>
      <c r="AE55" s="1">
        <v>30.0</v>
      </c>
      <c r="AF55" s="1">
        <f t="shared" si="5"/>
        <v>100</v>
      </c>
      <c r="AG55" s="1">
        <v>40.0</v>
      </c>
      <c r="AH55" s="1">
        <v>40.0</v>
      </c>
      <c r="AI55" s="1" t="b">
        <v>1</v>
      </c>
      <c r="AK55" s="1" t="b">
        <v>1</v>
      </c>
    </row>
    <row r="56" ht="15.75" customHeight="1">
      <c r="B56" s="1" t="s">
        <v>166</v>
      </c>
      <c r="C56" s="1" t="s">
        <v>167</v>
      </c>
      <c r="D56" s="1">
        <v>0.5</v>
      </c>
      <c r="E56" s="1" t="s">
        <v>45</v>
      </c>
      <c r="F56" s="1">
        <v>15.0</v>
      </c>
      <c r="G56" s="1">
        <v>10.0</v>
      </c>
      <c r="H56" s="1">
        <v>10.0</v>
      </c>
      <c r="O56" s="1">
        <f t="shared" si="1"/>
        <v>35</v>
      </c>
      <c r="P56" s="1">
        <v>15.0</v>
      </c>
      <c r="Q56" s="1">
        <f t="shared" si="2"/>
        <v>50</v>
      </c>
      <c r="R56" s="1">
        <v>15.0</v>
      </c>
      <c r="S56" s="1">
        <v>10.0</v>
      </c>
      <c r="T56" s="1">
        <v>10.0</v>
      </c>
      <c r="AA56" s="1">
        <f t="shared" si="3"/>
        <v>35</v>
      </c>
      <c r="AB56" s="1">
        <v>15.0</v>
      </c>
      <c r="AC56" s="1">
        <f t="shared" si="4"/>
        <v>50</v>
      </c>
      <c r="AD56" s="1">
        <v>70.0</v>
      </c>
      <c r="AE56" s="1">
        <v>30.0</v>
      </c>
      <c r="AF56" s="1">
        <f t="shared" si="5"/>
        <v>100</v>
      </c>
      <c r="AG56" s="1">
        <v>40.0</v>
      </c>
      <c r="AH56" s="1">
        <v>40.0</v>
      </c>
      <c r="AI56" s="1" t="b">
        <v>1</v>
      </c>
      <c r="AK56" s="1" t="b">
        <v>1</v>
      </c>
    </row>
    <row r="57" ht="15.75" customHeight="1">
      <c r="B57" s="1" t="s">
        <v>168</v>
      </c>
      <c r="C57" s="1" t="s">
        <v>169</v>
      </c>
      <c r="D57" s="1">
        <v>0.5</v>
      </c>
      <c r="E57" s="1" t="s">
        <v>97</v>
      </c>
      <c r="F57" s="1">
        <v>10.0</v>
      </c>
      <c r="G57" s="1">
        <v>10.0</v>
      </c>
      <c r="H57" s="1">
        <v>15.0</v>
      </c>
      <c r="O57" s="1">
        <f t="shared" si="1"/>
        <v>35</v>
      </c>
      <c r="P57" s="1">
        <v>15.0</v>
      </c>
      <c r="Q57" s="1">
        <f t="shared" si="2"/>
        <v>50</v>
      </c>
      <c r="R57" s="1">
        <v>15.0</v>
      </c>
      <c r="S57" s="1">
        <v>10.0</v>
      </c>
      <c r="T57" s="1">
        <v>10.0</v>
      </c>
      <c r="AA57" s="1">
        <f t="shared" si="3"/>
        <v>35</v>
      </c>
      <c r="AB57" s="1">
        <v>15.0</v>
      </c>
      <c r="AC57" s="1">
        <f t="shared" si="4"/>
        <v>50</v>
      </c>
      <c r="AD57" s="1">
        <v>70.0</v>
      </c>
      <c r="AE57" s="1">
        <v>30.0</v>
      </c>
      <c r="AF57" s="1">
        <f t="shared" si="5"/>
        <v>100</v>
      </c>
      <c r="AG57" s="1">
        <v>50.0</v>
      </c>
      <c r="AH57" s="1">
        <v>50.0</v>
      </c>
      <c r="AI57" s="1" t="b">
        <v>1</v>
      </c>
      <c r="AK57" s="1" t="b">
        <v>1</v>
      </c>
    </row>
    <row r="58" ht="15.75" customHeight="1">
      <c r="A58" s="1" t="s">
        <v>46</v>
      </c>
      <c r="B58" s="1" t="s">
        <v>170</v>
      </c>
      <c r="C58" s="1" t="s">
        <v>153</v>
      </c>
      <c r="D58" s="1">
        <v>1.0</v>
      </c>
      <c r="E58" s="1" t="s">
        <v>48</v>
      </c>
      <c r="F58" s="1">
        <v>5.0</v>
      </c>
      <c r="G58" s="1">
        <v>10.0</v>
      </c>
      <c r="H58" s="1">
        <v>10.0</v>
      </c>
      <c r="I58" s="1">
        <v>10.0</v>
      </c>
      <c r="O58" s="1">
        <f t="shared" si="1"/>
        <v>35</v>
      </c>
      <c r="P58" s="1">
        <v>15.0</v>
      </c>
      <c r="Q58" s="1">
        <f t="shared" si="2"/>
        <v>50</v>
      </c>
      <c r="R58" s="1">
        <v>10.0</v>
      </c>
      <c r="S58" s="1">
        <v>10.0</v>
      </c>
      <c r="T58" s="1">
        <v>15.0</v>
      </c>
      <c r="AA58" s="1">
        <f t="shared" si="3"/>
        <v>35</v>
      </c>
      <c r="AB58" s="1">
        <v>15.0</v>
      </c>
      <c r="AC58" s="1">
        <f t="shared" si="4"/>
        <v>50</v>
      </c>
      <c r="AD58" s="1">
        <v>70.0</v>
      </c>
      <c r="AE58" s="1">
        <v>30.0</v>
      </c>
      <c r="AF58" s="1">
        <f t="shared" si="5"/>
        <v>100</v>
      </c>
      <c r="AG58" s="1">
        <v>40.0</v>
      </c>
      <c r="AH58" s="1">
        <v>40.0</v>
      </c>
      <c r="AI58" s="1" t="b">
        <v>1</v>
      </c>
      <c r="AK58" s="1" t="b">
        <v>1</v>
      </c>
    </row>
    <row r="59" ht="15.75" customHeight="1">
      <c r="B59" s="1" t="s">
        <v>171</v>
      </c>
      <c r="C59" s="1" t="s">
        <v>155</v>
      </c>
      <c r="D59" s="1">
        <v>0.5</v>
      </c>
      <c r="E59" s="1" t="s">
        <v>48</v>
      </c>
      <c r="F59" s="1">
        <v>10.0</v>
      </c>
      <c r="G59" s="1">
        <v>10.0</v>
      </c>
      <c r="H59" s="1">
        <v>15.0</v>
      </c>
      <c r="O59" s="1">
        <f t="shared" si="1"/>
        <v>35</v>
      </c>
      <c r="P59" s="1">
        <v>15.0</v>
      </c>
      <c r="Q59" s="1">
        <f t="shared" si="2"/>
        <v>50</v>
      </c>
      <c r="R59" s="1">
        <v>15.0</v>
      </c>
      <c r="S59" s="1">
        <v>10.0</v>
      </c>
      <c r="T59" s="1">
        <v>10.0</v>
      </c>
      <c r="AA59" s="1">
        <f t="shared" si="3"/>
        <v>35</v>
      </c>
      <c r="AB59" s="1">
        <v>15.0</v>
      </c>
      <c r="AC59" s="1">
        <f t="shared" si="4"/>
        <v>50</v>
      </c>
      <c r="AD59" s="1">
        <v>70.0</v>
      </c>
      <c r="AE59" s="1">
        <v>30.0</v>
      </c>
      <c r="AF59" s="1">
        <f t="shared" si="5"/>
        <v>100</v>
      </c>
      <c r="AG59" s="1">
        <v>40.0</v>
      </c>
      <c r="AH59" s="1">
        <v>40.0</v>
      </c>
      <c r="AI59" s="1" t="b">
        <v>1</v>
      </c>
      <c r="AK59" s="1" t="b">
        <v>1</v>
      </c>
    </row>
    <row r="60" ht="15.75" customHeight="1">
      <c r="B60" s="1" t="s">
        <v>172</v>
      </c>
      <c r="C60" s="1" t="s">
        <v>173</v>
      </c>
      <c r="D60" s="1">
        <v>0.5</v>
      </c>
      <c r="E60" s="1" t="s">
        <v>174</v>
      </c>
      <c r="F60" s="1">
        <v>15.0</v>
      </c>
      <c r="G60" s="1">
        <v>10.0</v>
      </c>
      <c r="H60" s="1">
        <v>10.0</v>
      </c>
      <c r="O60" s="1">
        <f t="shared" si="1"/>
        <v>35</v>
      </c>
      <c r="P60" s="1">
        <v>15.0</v>
      </c>
      <c r="Q60" s="1">
        <f t="shared" si="2"/>
        <v>50</v>
      </c>
      <c r="R60" s="1">
        <v>10.0</v>
      </c>
      <c r="S60" s="1">
        <v>10.0</v>
      </c>
      <c r="T60" s="1">
        <v>15.0</v>
      </c>
      <c r="AA60" s="1">
        <f t="shared" si="3"/>
        <v>35</v>
      </c>
      <c r="AB60" s="1">
        <v>15.0</v>
      </c>
      <c r="AC60" s="1">
        <f t="shared" si="4"/>
        <v>50</v>
      </c>
      <c r="AD60" s="1">
        <v>70.0</v>
      </c>
      <c r="AE60" s="1">
        <v>30.0</v>
      </c>
      <c r="AF60" s="1">
        <f t="shared" si="5"/>
        <v>100</v>
      </c>
      <c r="AG60" s="1">
        <v>30.0</v>
      </c>
      <c r="AH60" s="1">
        <v>30.0</v>
      </c>
      <c r="AI60" s="1" t="b">
        <v>1</v>
      </c>
      <c r="AK60" s="1" t="b">
        <v>1</v>
      </c>
    </row>
    <row r="61" ht="15.75" customHeight="1">
      <c r="B61" s="1" t="s">
        <v>175</v>
      </c>
      <c r="C61" s="1" t="s">
        <v>176</v>
      </c>
      <c r="D61" s="1">
        <v>1.0</v>
      </c>
      <c r="E61" s="1" t="s">
        <v>51</v>
      </c>
      <c r="F61" s="1">
        <v>5.0</v>
      </c>
      <c r="G61" s="1">
        <v>10.0</v>
      </c>
      <c r="H61" s="1">
        <v>10.0</v>
      </c>
      <c r="I61" s="1">
        <v>10.0</v>
      </c>
      <c r="O61" s="1">
        <f t="shared" si="1"/>
        <v>35</v>
      </c>
      <c r="P61" s="1">
        <v>15.0</v>
      </c>
      <c r="Q61" s="1">
        <f t="shared" si="2"/>
        <v>50</v>
      </c>
      <c r="R61" s="1">
        <v>10.0</v>
      </c>
      <c r="S61" s="1">
        <v>15.0</v>
      </c>
      <c r="T61" s="1">
        <v>10.0</v>
      </c>
      <c r="AA61" s="1">
        <f t="shared" si="3"/>
        <v>35</v>
      </c>
      <c r="AB61" s="1">
        <v>15.0</v>
      </c>
      <c r="AC61" s="1">
        <f t="shared" si="4"/>
        <v>50</v>
      </c>
      <c r="AD61" s="1">
        <v>70.0</v>
      </c>
      <c r="AE61" s="1">
        <v>30.0</v>
      </c>
      <c r="AF61" s="1">
        <f t="shared" si="5"/>
        <v>100</v>
      </c>
      <c r="AG61" s="1">
        <v>40.0</v>
      </c>
      <c r="AH61" s="1">
        <v>40.0</v>
      </c>
      <c r="AI61" s="1" t="b">
        <v>1</v>
      </c>
      <c r="AK61" s="1" t="b">
        <v>1</v>
      </c>
    </row>
    <row r="62" ht="15.75" customHeight="1">
      <c r="B62" s="1" t="s">
        <v>177</v>
      </c>
      <c r="C62" s="1" t="s">
        <v>178</v>
      </c>
      <c r="D62" s="1">
        <v>1.0</v>
      </c>
      <c r="E62" s="1" t="s">
        <v>51</v>
      </c>
      <c r="F62" s="1">
        <v>10.0</v>
      </c>
      <c r="G62" s="1">
        <v>10.0</v>
      </c>
      <c r="H62" s="1">
        <v>15.0</v>
      </c>
      <c r="O62" s="1">
        <f t="shared" si="1"/>
        <v>35</v>
      </c>
      <c r="P62" s="1">
        <v>15.0</v>
      </c>
      <c r="Q62" s="1">
        <f t="shared" si="2"/>
        <v>50</v>
      </c>
      <c r="R62" s="1">
        <v>10.0</v>
      </c>
      <c r="S62" s="1">
        <v>10.0</v>
      </c>
      <c r="T62" s="1">
        <v>15.0</v>
      </c>
      <c r="AA62" s="1">
        <f t="shared" si="3"/>
        <v>35</v>
      </c>
      <c r="AB62" s="1">
        <v>15.0</v>
      </c>
      <c r="AC62" s="1">
        <f t="shared" si="4"/>
        <v>50</v>
      </c>
      <c r="AD62" s="1">
        <v>70.0</v>
      </c>
      <c r="AE62" s="1">
        <v>30.0</v>
      </c>
      <c r="AF62" s="1">
        <f t="shared" si="5"/>
        <v>100</v>
      </c>
      <c r="AG62" s="1">
        <v>40.0</v>
      </c>
      <c r="AH62" s="1">
        <v>40.0</v>
      </c>
      <c r="AI62" s="1" t="b">
        <v>1</v>
      </c>
      <c r="AK62" s="1" t="b">
        <v>1</v>
      </c>
    </row>
    <row r="63" ht="15.75" customHeight="1">
      <c r="B63" s="1" t="s">
        <v>179</v>
      </c>
      <c r="C63" s="1" t="s">
        <v>180</v>
      </c>
      <c r="D63" s="1">
        <v>1.0</v>
      </c>
      <c r="E63" s="1" t="s">
        <v>51</v>
      </c>
      <c r="F63" s="1">
        <v>10.0</v>
      </c>
      <c r="G63" s="1">
        <v>10.0</v>
      </c>
      <c r="H63" s="1">
        <v>15.0</v>
      </c>
      <c r="O63" s="1">
        <f t="shared" si="1"/>
        <v>35</v>
      </c>
      <c r="P63" s="1">
        <v>15.0</v>
      </c>
      <c r="Q63" s="1">
        <f t="shared" si="2"/>
        <v>50</v>
      </c>
      <c r="R63" s="1">
        <v>10.0</v>
      </c>
      <c r="S63" s="1">
        <v>10.0</v>
      </c>
      <c r="T63" s="1">
        <v>15.0</v>
      </c>
      <c r="AA63" s="1">
        <f t="shared" si="3"/>
        <v>35</v>
      </c>
      <c r="AB63" s="1">
        <v>15.0</v>
      </c>
      <c r="AC63" s="1">
        <f t="shared" si="4"/>
        <v>50</v>
      </c>
      <c r="AD63" s="1">
        <v>70.0</v>
      </c>
      <c r="AE63" s="1">
        <v>30.0</v>
      </c>
      <c r="AF63" s="1">
        <f t="shared" si="5"/>
        <v>100</v>
      </c>
      <c r="AG63" s="1">
        <v>30.0</v>
      </c>
      <c r="AH63" s="1">
        <v>30.0</v>
      </c>
      <c r="AI63" s="1" t="b">
        <v>1</v>
      </c>
      <c r="AK63" s="1" t="b">
        <v>1</v>
      </c>
    </row>
    <row r="64" ht="15.75" customHeight="1">
      <c r="B64" s="1" t="s">
        <v>181</v>
      </c>
      <c r="C64" s="1" t="s">
        <v>182</v>
      </c>
      <c r="D64" s="1">
        <v>1.0</v>
      </c>
      <c r="E64" s="1" t="s">
        <v>183</v>
      </c>
      <c r="F64" s="1">
        <v>5.0</v>
      </c>
      <c r="G64" s="1">
        <v>10.0</v>
      </c>
      <c r="H64" s="1">
        <v>10.0</v>
      </c>
      <c r="I64" s="1">
        <v>10.0</v>
      </c>
      <c r="O64" s="1">
        <f t="shared" si="1"/>
        <v>35</v>
      </c>
      <c r="P64" s="1">
        <v>15.0</v>
      </c>
      <c r="Q64" s="1">
        <f t="shared" si="2"/>
        <v>50</v>
      </c>
      <c r="R64" s="1">
        <v>5.0</v>
      </c>
      <c r="S64" s="1">
        <v>10.0</v>
      </c>
      <c r="T64" s="1">
        <v>10.0</v>
      </c>
      <c r="U64" s="1">
        <v>10.0</v>
      </c>
      <c r="AA64" s="1">
        <f t="shared" si="3"/>
        <v>35</v>
      </c>
      <c r="AB64" s="1">
        <v>15.0</v>
      </c>
      <c r="AC64" s="1">
        <f t="shared" si="4"/>
        <v>50</v>
      </c>
      <c r="AD64" s="1">
        <v>70.0</v>
      </c>
      <c r="AE64" s="1">
        <v>30.0</v>
      </c>
      <c r="AF64" s="1">
        <f t="shared" si="5"/>
        <v>100</v>
      </c>
      <c r="AG64" s="1">
        <v>40.0</v>
      </c>
      <c r="AH64" s="1">
        <v>40.0</v>
      </c>
      <c r="AI64" s="1" t="b">
        <v>1</v>
      </c>
      <c r="AK64" s="1" t="b">
        <v>1</v>
      </c>
    </row>
    <row r="65" ht="15.75" customHeight="1">
      <c r="B65" s="1" t="s">
        <v>184</v>
      </c>
      <c r="C65" s="1" t="s">
        <v>185</v>
      </c>
      <c r="D65" s="1">
        <v>1.0</v>
      </c>
      <c r="E65" s="1" t="s">
        <v>183</v>
      </c>
      <c r="F65" s="1">
        <v>10.0</v>
      </c>
      <c r="G65" s="1">
        <v>10.0</v>
      </c>
      <c r="H65" s="1">
        <v>10.0</v>
      </c>
      <c r="I65" s="1">
        <v>5.0</v>
      </c>
      <c r="O65" s="1">
        <f t="shared" si="1"/>
        <v>35</v>
      </c>
      <c r="P65" s="1">
        <v>15.0</v>
      </c>
      <c r="Q65" s="1">
        <f t="shared" si="2"/>
        <v>50</v>
      </c>
      <c r="R65" s="1">
        <v>10.0</v>
      </c>
      <c r="S65" s="1">
        <v>10.0</v>
      </c>
      <c r="T65" s="1">
        <v>10.0</v>
      </c>
      <c r="U65" s="1">
        <v>5.0</v>
      </c>
      <c r="AA65" s="1">
        <f t="shared" si="3"/>
        <v>35</v>
      </c>
      <c r="AB65" s="1">
        <v>15.0</v>
      </c>
      <c r="AC65" s="1">
        <f t="shared" si="4"/>
        <v>50</v>
      </c>
      <c r="AD65" s="1">
        <v>70.0</v>
      </c>
      <c r="AE65" s="1">
        <v>30.0</v>
      </c>
      <c r="AF65" s="1">
        <f t="shared" si="5"/>
        <v>100</v>
      </c>
      <c r="AG65" s="1">
        <v>30.0</v>
      </c>
      <c r="AH65" s="1">
        <v>30.0</v>
      </c>
      <c r="AI65" s="1" t="b">
        <v>1</v>
      </c>
      <c r="AK65" s="1" t="b">
        <v>1</v>
      </c>
    </row>
    <row r="66" ht="15.75" customHeight="1">
      <c r="B66" s="1" t="s">
        <v>186</v>
      </c>
      <c r="C66" s="1" t="s">
        <v>187</v>
      </c>
      <c r="D66" s="1">
        <v>1.0</v>
      </c>
      <c r="E66" s="1" t="s">
        <v>183</v>
      </c>
      <c r="F66" s="1">
        <v>10.0</v>
      </c>
      <c r="G66" s="1">
        <v>12.0</v>
      </c>
      <c r="H66" s="1">
        <v>13.0</v>
      </c>
      <c r="O66" s="1">
        <f t="shared" si="1"/>
        <v>35</v>
      </c>
      <c r="P66" s="1">
        <v>15.0</v>
      </c>
      <c r="Q66" s="1">
        <f t="shared" si="2"/>
        <v>50</v>
      </c>
      <c r="R66" s="1">
        <v>12.0</v>
      </c>
      <c r="S66" s="1">
        <v>13.0</v>
      </c>
      <c r="T66" s="1">
        <v>10.0</v>
      </c>
      <c r="AA66" s="1">
        <f t="shared" si="3"/>
        <v>35</v>
      </c>
      <c r="AB66" s="1">
        <v>15.0</v>
      </c>
      <c r="AC66" s="1">
        <f t="shared" si="4"/>
        <v>50</v>
      </c>
      <c r="AD66" s="1">
        <v>70.0</v>
      </c>
      <c r="AE66" s="1">
        <v>30.0</v>
      </c>
      <c r="AF66" s="1">
        <f t="shared" si="5"/>
        <v>100</v>
      </c>
      <c r="AG66" s="1">
        <v>40.0</v>
      </c>
      <c r="AH66" s="1">
        <v>40.0</v>
      </c>
      <c r="AI66" s="1" t="b">
        <v>1</v>
      </c>
      <c r="AK66" s="1" t="b">
        <v>1</v>
      </c>
    </row>
    <row r="67" ht="15.75" customHeight="1">
      <c r="A67" s="1" t="s">
        <v>54</v>
      </c>
      <c r="B67" s="1" t="s">
        <v>188</v>
      </c>
      <c r="C67" s="1" t="s">
        <v>159</v>
      </c>
      <c r="D67" s="1">
        <v>1.0</v>
      </c>
      <c r="E67" s="1" t="s">
        <v>56</v>
      </c>
      <c r="F67" s="1">
        <v>5.0</v>
      </c>
      <c r="G67" s="1">
        <v>10.0</v>
      </c>
      <c r="H67" s="1">
        <v>10.0</v>
      </c>
      <c r="I67" s="1">
        <v>10.0</v>
      </c>
      <c r="O67" s="1">
        <f t="shared" si="1"/>
        <v>35</v>
      </c>
      <c r="P67" s="1">
        <v>15.0</v>
      </c>
      <c r="Q67" s="1">
        <f t="shared" si="2"/>
        <v>50</v>
      </c>
      <c r="R67" s="1">
        <v>10.0</v>
      </c>
      <c r="S67" s="1">
        <v>10.0</v>
      </c>
      <c r="T67" s="1">
        <v>10.0</v>
      </c>
      <c r="U67" s="1">
        <v>5.0</v>
      </c>
      <c r="AA67" s="1">
        <f t="shared" si="3"/>
        <v>35</v>
      </c>
      <c r="AB67" s="1">
        <v>15.0</v>
      </c>
      <c r="AC67" s="1">
        <f t="shared" si="4"/>
        <v>50</v>
      </c>
      <c r="AD67" s="1">
        <v>70.0</v>
      </c>
      <c r="AE67" s="1">
        <v>30.0</v>
      </c>
      <c r="AF67" s="1">
        <f t="shared" si="5"/>
        <v>100</v>
      </c>
      <c r="AG67" s="1">
        <v>40.0</v>
      </c>
      <c r="AH67" s="1">
        <v>40.0</v>
      </c>
      <c r="AI67" s="1" t="b">
        <v>1</v>
      </c>
      <c r="AK67" s="1" t="b">
        <v>1</v>
      </c>
    </row>
    <row r="68" ht="15.75" customHeight="1">
      <c r="B68" s="1" t="s">
        <v>189</v>
      </c>
      <c r="C68" s="1" t="s">
        <v>161</v>
      </c>
      <c r="D68" s="1">
        <v>0.5</v>
      </c>
      <c r="E68" s="1" t="s">
        <v>56</v>
      </c>
      <c r="F68" s="1">
        <v>15.0</v>
      </c>
      <c r="G68" s="1">
        <v>10.0</v>
      </c>
      <c r="H68" s="1">
        <v>10.0</v>
      </c>
      <c r="O68" s="1">
        <f t="shared" si="1"/>
        <v>35</v>
      </c>
      <c r="P68" s="1">
        <v>15.0</v>
      </c>
      <c r="Q68" s="1">
        <f t="shared" si="2"/>
        <v>50</v>
      </c>
      <c r="R68" s="1">
        <v>15.0</v>
      </c>
      <c r="S68" s="1">
        <v>10.0</v>
      </c>
      <c r="T68" s="1">
        <v>10.0</v>
      </c>
      <c r="AA68" s="1">
        <f t="shared" si="3"/>
        <v>35</v>
      </c>
      <c r="AB68" s="1">
        <v>15.0</v>
      </c>
      <c r="AC68" s="1">
        <f t="shared" si="4"/>
        <v>50</v>
      </c>
      <c r="AD68" s="1">
        <v>70.0</v>
      </c>
      <c r="AE68" s="1">
        <v>30.0</v>
      </c>
      <c r="AF68" s="1">
        <f t="shared" si="5"/>
        <v>100</v>
      </c>
      <c r="AG68" s="1">
        <v>40.0</v>
      </c>
      <c r="AH68" s="1">
        <v>40.0</v>
      </c>
      <c r="AI68" s="1" t="b">
        <v>1</v>
      </c>
      <c r="AK68" s="1" t="b">
        <v>1</v>
      </c>
    </row>
    <row r="69" ht="15.75" customHeight="1">
      <c r="B69" s="1" t="s">
        <v>190</v>
      </c>
      <c r="C69" s="1" t="s">
        <v>191</v>
      </c>
      <c r="D69" s="1">
        <v>0.5</v>
      </c>
      <c r="E69" s="1" t="s">
        <v>109</v>
      </c>
      <c r="F69" s="1">
        <v>15.0</v>
      </c>
      <c r="G69" s="1">
        <v>10.0</v>
      </c>
      <c r="H69" s="1">
        <v>10.0</v>
      </c>
      <c r="O69" s="1">
        <f t="shared" si="1"/>
        <v>35</v>
      </c>
      <c r="P69" s="1">
        <v>15.0</v>
      </c>
      <c r="Q69" s="1">
        <f t="shared" si="2"/>
        <v>50</v>
      </c>
      <c r="R69" s="1">
        <v>10.0</v>
      </c>
      <c r="S69" s="1">
        <v>15.0</v>
      </c>
      <c r="T69" s="1">
        <v>10.0</v>
      </c>
      <c r="AA69" s="1">
        <f t="shared" si="3"/>
        <v>35</v>
      </c>
      <c r="AB69" s="1">
        <v>15.0</v>
      </c>
      <c r="AC69" s="1">
        <f t="shared" si="4"/>
        <v>50</v>
      </c>
      <c r="AD69" s="1">
        <v>70.0</v>
      </c>
      <c r="AE69" s="1">
        <v>30.0</v>
      </c>
      <c r="AF69" s="1">
        <f t="shared" si="5"/>
        <v>100</v>
      </c>
      <c r="AG69" s="1">
        <v>40.0</v>
      </c>
      <c r="AH69" s="1">
        <v>40.0</v>
      </c>
      <c r="AI69" s="1" t="b">
        <v>1</v>
      </c>
      <c r="AK69" s="1" t="b">
        <v>1</v>
      </c>
    </row>
    <row r="70" ht="15.75" customHeight="1">
      <c r="B70" s="1" t="s">
        <v>192</v>
      </c>
      <c r="C70" s="1" t="s">
        <v>193</v>
      </c>
      <c r="D70" s="1">
        <v>1.0</v>
      </c>
      <c r="E70" s="1" t="s">
        <v>59</v>
      </c>
      <c r="F70" s="1">
        <v>5.0</v>
      </c>
      <c r="G70" s="1">
        <v>10.0</v>
      </c>
      <c r="H70" s="1">
        <v>10.0</v>
      </c>
      <c r="I70" s="1">
        <v>10.0</v>
      </c>
      <c r="O70" s="1">
        <f t="shared" si="1"/>
        <v>35</v>
      </c>
      <c r="P70" s="1">
        <v>15.0</v>
      </c>
      <c r="Q70" s="1">
        <f t="shared" si="2"/>
        <v>50</v>
      </c>
      <c r="R70" s="1">
        <v>10.0</v>
      </c>
      <c r="S70" s="1">
        <v>10.0</v>
      </c>
      <c r="T70" s="1">
        <v>10.0</v>
      </c>
      <c r="U70" s="1">
        <v>5.0</v>
      </c>
      <c r="AA70" s="1">
        <f t="shared" si="3"/>
        <v>35</v>
      </c>
      <c r="AB70" s="1">
        <v>15.0</v>
      </c>
      <c r="AC70" s="1">
        <f t="shared" si="4"/>
        <v>50</v>
      </c>
      <c r="AD70" s="1">
        <v>70.0</v>
      </c>
      <c r="AE70" s="1">
        <v>30.0</v>
      </c>
      <c r="AF70" s="1">
        <f t="shared" si="5"/>
        <v>100</v>
      </c>
      <c r="AG70" s="1">
        <v>40.0</v>
      </c>
      <c r="AH70" s="1">
        <v>40.0</v>
      </c>
      <c r="AI70" s="1" t="b">
        <v>1</v>
      </c>
      <c r="AK70" s="1" t="b">
        <v>1</v>
      </c>
    </row>
    <row r="71" ht="15.75" customHeight="1">
      <c r="B71" s="1" t="s">
        <v>194</v>
      </c>
      <c r="C71" s="1" t="s">
        <v>195</v>
      </c>
      <c r="D71" s="1">
        <v>1.0</v>
      </c>
      <c r="E71" s="1" t="s">
        <v>59</v>
      </c>
      <c r="F71" s="1">
        <v>15.0</v>
      </c>
      <c r="G71" s="1">
        <v>10.0</v>
      </c>
      <c r="H71" s="1">
        <v>10.0</v>
      </c>
      <c r="O71" s="1">
        <f t="shared" si="1"/>
        <v>35</v>
      </c>
      <c r="P71" s="1">
        <v>15.0</v>
      </c>
      <c r="Q71" s="1">
        <f t="shared" si="2"/>
        <v>50</v>
      </c>
      <c r="R71" s="1">
        <v>10.0</v>
      </c>
      <c r="S71" s="1">
        <v>10.0</v>
      </c>
      <c r="T71" s="1">
        <v>15.0</v>
      </c>
      <c r="AA71" s="1">
        <f t="shared" si="3"/>
        <v>35</v>
      </c>
      <c r="AB71" s="1">
        <v>15.0</v>
      </c>
      <c r="AC71" s="1">
        <f t="shared" si="4"/>
        <v>50</v>
      </c>
      <c r="AD71" s="1">
        <v>70.0</v>
      </c>
      <c r="AE71" s="1">
        <v>30.0</v>
      </c>
      <c r="AF71" s="1">
        <f t="shared" si="5"/>
        <v>100</v>
      </c>
      <c r="AG71" s="1">
        <v>40.0</v>
      </c>
      <c r="AH71" s="1">
        <v>40.0</v>
      </c>
      <c r="AI71" s="1" t="b">
        <v>1</v>
      </c>
      <c r="AK71" s="1" t="b">
        <v>1</v>
      </c>
    </row>
    <row r="72" ht="15.75" customHeight="1">
      <c r="A72" s="1" t="s">
        <v>62</v>
      </c>
      <c r="B72" s="1" t="s">
        <v>196</v>
      </c>
      <c r="C72" s="1" t="s">
        <v>165</v>
      </c>
      <c r="D72" s="1">
        <v>1.0</v>
      </c>
      <c r="E72" s="1" t="s">
        <v>64</v>
      </c>
      <c r="F72" s="1">
        <v>15.0</v>
      </c>
      <c r="G72" s="1">
        <v>10.0</v>
      </c>
      <c r="H72" s="1">
        <v>10.0</v>
      </c>
      <c r="O72" s="1">
        <f t="shared" si="1"/>
        <v>35</v>
      </c>
      <c r="P72" s="1">
        <v>15.0</v>
      </c>
      <c r="Q72" s="1">
        <f t="shared" si="2"/>
        <v>50</v>
      </c>
      <c r="R72" s="1">
        <v>15.0</v>
      </c>
      <c r="S72" s="1">
        <v>10.0</v>
      </c>
      <c r="T72" s="1">
        <v>10.0</v>
      </c>
      <c r="AA72" s="1">
        <f t="shared" si="3"/>
        <v>35</v>
      </c>
      <c r="AB72" s="1">
        <v>15.0</v>
      </c>
      <c r="AC72" s="1">
        <f t="shared" si="4"/>
        <v>50</v>
      </c>
      <c r="AD72" s="1">
        <v>70.0</v>
      </c>
      <c r="AE72" s="1">
        <v>30.0</v>
      </c>
      <c r="AF72" s="1">
        <f t="shared" si="5"/>
        <v>100</v>
      </c>
      <c r="AG72" s="1">
        <v>50.0</v>
      </c>
      <c r="AH72" s="1">
        <v>50.0</v>
      </c>
      <c r="AI72" s="1" t="b">
        <v>1</v>
      </c>
      <c r="AK72" s="1" t="b">
        <v>1</v>
      </c>
    </row>
    <row r="73" ht="15.75" customHeight="1">
      <c r="B73" s="1" t="s">
        <v>197</v>
      </c>
      <c r="C73" s="1" t="s">
        <v>198</v>
      </c>
      <c r="D73" s="1">
        <v>0.5</v>
      </c>
      <c r="E73" s="1" t="s">
        <v>118</v>
      </c>
      <c r="F73" s="1">
        <v>15.0</v>
      </c>
      <c r="G73" s="1">
        <v>10.0</v>
      </c>
      <c r="H73" s="1">
        <v>10.0</v>
      </c>
      <c r="O73" s="1">
        <f t="shared" si="1"/>
        <v>35</v>
      </c>
      <c r="P73" s="1">
        <v>15.0</v>
      </c>
      <c r="Q73" s="1">
        <f t="shared" si="2"/>
        <v>50</v>
      </c>
      <c r="R73" s="1">
        <v>15.0</v>
      </c>
      <c r="S73" s="1">
        <v>10.0</v>
      </c>
      <c r="T73" s="1">
        <v>10.0</v>
      </c>
      <c r="AA73" s="1">
        <f t="shared" si="3"/>
        <v>35</v>
      </c>
      <c r="AB73" s="1">
        <v>15.0</v>
      </c>
      <c r="AC73" s="1">
        <f t="shared" si="4"/>
        <v>50</v>
      </c>
      <c r="AD73" s="1">
        <v>70.0</v>
      </c>
      <c r="AE73" s="1">
        <v>30.0</v>
      </c>
      <c r="AF73" s="1">
        <f t="shared" si="5"/>
        <v>100</v>
      </c>
      <c r="AG73" s="1">
        <v>40.0</v>
      </c>
      <c r="AH73" s="1">
        <v>40.0</v>
      </c>
      <c r="AI73" s="1" t="b">
        <v>1</v>
      </c>
      <c r="AK73" s="1" t="b">
        <v>1</v>
      </c>
    </row>
    <row r="74" ht="15.75" customHeight="1">
      <c r="B74" s="1" t="s">
        <v>199</v>
      </c>
      <c r="C74" s="1" t="s">
        <v>200</v>
      </c>
      <c r="D74" s="1">
        <v>1.0</v>
      </c>
      <c r="E74" s="1" t="s">
        <v>70</v>
      </c>
      <c r="F74" s="1">
        <v>10.0</v>
      </c>
      <c r="G74" s="1">
        <v>10.0</v>
      </c>
      <c r="H74" s="1">
        <v>15.0</v>
      </c>
      <c r="O74" s="1">
        <f t="shared" si="1"/>
        <v>35</v>
      </c>
      <c r="P74" s="1">
        <v>15.0</v>
      </c>
      <c r="Q74" s="1">
        <f t="shared" si="2"/>
        <v>50</v>
      </c>
      <c r="R74" s="1">
        <v>15.0</v>
      </c>
      <c r="S74" s="1">
        <v>10.0</v>
      </c>
      <c r="T74" s="1">
        <v>10.0</v>
      </c>
      <c r="AA74" s="1">
        <f t="shared" si="3"/>
        <v>35</v>
      </c>
      <c r="AB74" s="1">
        <v>15.0</v>
      </c>
      <c r="AC74" s="1">
        <f t="shared" si="4"/>
        <v>50</v>
      </c>
      <c r="AD74" s="1">
        <v>70.0</v>
      </c>
      <c r="AE74" s="1">
        <v>30.0</v>
      </c>
      <c r="AF74" s="1">
        <f t="shared" si="5"/>
        <v>100</v>
      </c>
      <c r="AG74" s="1">
        <v>50.0</v>
      </c>
      <c r="AH74" s="1">
        <v>50.0</v>
      </c>
      <c r="AI74" s="1" t="b">
        <v>1</v>
      </c>
      <c r="AK74" s="1" t="b">
        <v>1</v>
      </c>
    </row>
    <row r="75" ht="15.75" customHeight="1">
      <c r="B75" s="1" t="s">
        <v>201</v>
      </c>
      <c r="C75" s="1" t="s">
        <v>202</v>
      </c>
      <c r="D75" s="1">
        <v>1.0</v>
      </c>
      <c r="E75" s="1" t="s">
        <v>70</v>
      </c>
      <c r="F75" s="1">
        <v>15.0</v>
      </c>
      <c r="G75" s="1">
        <v>10.0</v>
      </c>
      <c r="H75" s="1">
        <v>10.0</v>
      </c>
      <c r="O75" s="1">
        <f t="shared" si="1"/>
        <v>35</v>
      </c>
      <c r="P75" s="1">
        <v>15.0</v>
      </c>
      <c r="Q75" s="1">
        <f t="shared" si="2"/>
        <v>50</v>
      </c>
      <c r="R75" s="1">
        <v>10.0</v>
      </c>
      <c r="S75" s="1">
        <v>10.0</v>
      </c>
      <c r="T75" s="1">
        <v>10.0</v>
      </c>
      <c r="U75" s="1">
        <v>5.0</v>
      </c>
      <c r="AA75" s="1">
        <f t="shared" si="3"/>
        <v>35</v>
      </c>
      <c r="AB75" s="1">
        <v>15.0</v>
      </c>
      <c r="AC75" s="1">
        <f t="shared" si="4"/>
        <v>50</v>
      </c>
      <c r="AD75" s="1">
        <v>70.0</v>
      </c>
      <c r="AE75" s="1">
        <v>30.0</v>
      </c>
      <c r="AF75" s="1">
        <f t="shared" si="5"/>
        <v>100</v>
      </c>
      <c r="AG75" s="1">
        <v>40.0</v>
      </c>
      <c r="AH75" s="1">
        <v>40.0</v>
      </c>
      <c r="AI75" s="1" t="b">
        <v>1</v>
      </c>
      <c r="AK75" s="1" t="b">
        <v>1</v>
      </c>
    </row>
    <row r="76" ht="15.75" customHeight="1">
      <c r="A76" s="1" t="s">
        <v>34</v>
      </c>
      <c r="B76" s="1" t="s">
        <v>203</v>
      </c>
      <c r="C76" s="1" t="s">
        <v>204</v>
      </c>
      <c r="D76" s="1">
        <v>1.5</v>
      </c>
      <c r="E76" s="1" t="s">
        <v>37</v>
      </c>
      <c r="F76" s="1">
        <v>10.0</v>
      </c>
      <c r="G76" s="1">
        <v>15.0</v>
      </c>
      <c r="H76" s="1">
        <v>10.0</v>
      </c>
      <c r="O76" s="1">
        <f t="shared" si="1"/>
        <v>35</v>
      </c>
      <c r="P76" s="1">
        <v>15.0</v>
      </c>
      <c r="Q76" s="1">
        <f t="shared" si="2"/>
        <v>50</v>
      </c>
      <c r="R76" s="1">
        <v>15.0</v>
      </c>
      <c r="S76" s="1">
        <v>10.0</v>
      </c>
      <c r="T76" s="1">
        <v>10.0</v>
      </c>
      <c r="AA76" s="1">
        <f t="shared" si="3"/>
        <v>35</v>
      </c>
      <c r="AB76" s="1">
        <v>15.0</v>
      </c>
      <c r="AC76" s="1">
        <f t="shared" si="4"/>
        <v>50</v>
      </c>
      <c r="AD76" s="1">
        <v>70.0</v>
      </c>
      <c r="AE76" s="1">
        <v>30.0</v>
      </c>
      <c r="AF76" s="1">
        <f t="shared" si="5"/>
        <v>100</v>
      </c>
      <c r="AG76" s="1">
        <v>60.0</v>
      </c>
      <c r="AH76" s="1">
        <v>60.0</v>
      </c>
      <c r="AI76" s="1" t="b">
        <v>1</v>
      </c>
      <c r="AK76" s="1" t="b">
        <v>1</v>
      </c>
    </row>
    <row r="77" ht="15.75" customHeight="1">
      <c r="B77" s="1" t="s">
        <v>205</v>
      </c>
      <c r="C77" s="1" t="s">
        <v>206</v>
      </c>
      <c r="D77" s="1">
        <v>1.0</v>
      </c>
      <c r="E77" s="1" t="s">
        <v>78</v>
      </c>
      <c r="F77" s="1">
        <v>15.0</v>
      </c>
      <c r="G77" s="1">
        <v>10.0</v>
      </c>
      <c r="H77" s="1">
        <v>10.0</v>
      </c>
      <c r="O77" s="1">
        <f t="shared" si="1"/>
        <v>35</v>
      </c>
      <c r="P77" s="1">
        <v>15.0</v>
      </c>
      <c r="Q77" s="1">
        <f t="shared" si="2"/>
        <v>50</v>
      </c>
      <c r="R77" s="1">
        <v>15.0</v>
      </c>
      <c r="S77" s="1">
        <v>10.0</v>
      </c>
      <c r="T77" s="1">
        <v>10.0</v>
      </c>
      <c r="AA77" s="1">
        <f t="shared" si="3"/>
        <v>35</v>
      </c>
      <c r="AB77" s="1">
        <v>15.0</v>
      </c>
      <c r="AC77" s="1">
        <f t="shared" si="4"/>
        <v>50</v>
      </c>
      <c r="AD77" s="1">
        <v>70.0</v>
      </c>
      <c r="AE77" s="1">
        <v>30.0</v>
      </c>
      <c r="AF77" s="1">
        <f t="shared" si="5"/>
        <v>100</v>
      </c>
      <c r="AG77" s="1">
        <v>40.0</v>
      </c>
      <c r="AH77" s="1">
        <v>40.0</v>
      </c>
      <c r="AI77" s="1" t="b">
        <v>1</v>
      </c>
      <c r="AK77" s="1" t="b">
        <v>1</v>
      </c>
    </row>
    <row r="78" ht="15.75" customHeight="1">
      <c r="B78" s="1" t="s">
        <v>207</v>
      </c>
      <c r="C78" s="1" t="s">
        <v>208</v>
      </c>
      <c r="D78" s="1">
        <v>1.0</v>
      </c>
      <c r="E78" s="1" t="s">
        <v>209</v>
      </c>
      <c r="F78" s="1">
        <v>15.0</v>
      </c>
      <c r="G78" s="1">
        <v>15.0</v>
      </c>
      <c r="H78" s="1">
        <v>10.0</v>
      </c>
      <c r="O78" s="1">
        <f t="shared" si="1"/>
        <v>40</v>
      </c>
      <c r="P78" s="1">
        <v>15.0</v>
      </c>
      <c r="Q78" s="1">
        <f t="shared" si="2"/>
        <v>55</v>
      </c>
      <c r="R78" s="1">
        <v>13.0</v>
      </c>
      <c r="S78" s="1">
        <v>12.0</v>
      </c>
      <c r="T78" s="1">
        <v>10.0</v>
      </c>
      <c r="AA78" s="1">
        <f t="shared" si="3"/>
        <v>35</v>
      </c>
      <c r="AB78" s="1">
        <v>15.0</v>
      </c>
      <c r="AC78" s="1">
        <f t="shared" si="4"/>
        <v>50</v>
      </c>
      <c r="AD78" s="1">
        <v>70.0</v>
      </c>
      <c r="AE78" s="1">
        <v>30.0</v>
      </c>
      <c r="AF78" s="1">
        <f t="shared" si="5"/>
        <v>105</v>
      </c>
      <c r="AG78" s="1">
        <v>40.0</v>
      </c>
      <c r="AH78" s="1">
        <v>40.0</v>
      </c>
      <c r="AI78" s="1" t="b">
        <v>1</v>
      </c>
      <c r="AK78" s="1" t="b">
        <v>1</v>
      </c>
    </row>
    <row r="79" ht="15.75" customHeight="1">
      <c r="B79" s="1" t="s">
        <v>210</v>
      </c>
      <c r="C79" s="1" t="s">
        <v>211</v>
      </c>
      <c r="D79" s="1">
        <v>1.0</v>
      </c>
      <c r="E79" s="1" t="s">
        <v>212</v>
      </c>
      <c r="F79" s="1">
        <v>10.0</v>
      </c>
      <c r="G79" s="1">
        <v>15.0</v>
      </c>
      <c r="H79" s="1">
        <v>10.0</v>
      </c>
      <c r="O79" s="1">
        <f t="shared" si="1"/>
        <v>35</v>
      </c>
      <c r="P79" s="1">
        <v>15.0</v>
      </c>
      <c r="Q79" s="1">
        <f t="shared" si="2"/>
        <v>50</v>
      </c>
      <c r="R79" s="1">
        <v>12.0</v>
      </c>
      <c r="S79" s="1">
        <v>10.0</v>
      </c>
      <c r="T79" s="1">
        <v>13.0</v>
      </c>
      <c r="AA79" s="1">
        <f t="shared" si="3"/>
        <v>35</v>
      </c>
      <c r="AB79" s="1">
        <v>15.0</v>
      </c>
      <c r="AC79" s="1">
        <f t="shared" si="4"/>
        <v>50</v>
      </c>
      <c r="AD79" s="1">
        <v>70.0</v>
      </c>
      <c r="AE79" s="1">
        <v>30.0</v>
      </c>
      <c r="AF79" s="1">
        <f t="shared" si="5"/>
        <v>100</v>
      </c>
      <c r="AG79" s="1">
        <v>40.0</v>
      </c>
      <c r="AH79" s="1">
        <v>40.0</v>
      </c>
      <c r="AI79" s="1" t="b">
        <v>1</v>
      </c>
      <c r="AK79" s="1" t="b">
        <v>1</v>
      </c>
    </row>
    <row r="80" ht="15.75" customHeight="1">
      <c r="A80" s="1" t="s">
        <v>38</v>
      </c>
      <c r="B80" s="1" t="s">
        <v>213</v>
      </c>
      <c r="C80" s="1" t="s">
        <v>214</v>
      </c>
      <c r="D80" s="1">
        <v>1.5</v>
      </c>
      <c r="E80" s="1" t="s">
        <v>41</v>
      </c>
      <c r="F80" s="1">
        <v>5.0</v>
      </c>
      <c r="G80" s="1">
        <v>15.0</v>
      </c>
      <c r="H80" s="1">
        <v>15.0</v>
      </c>
      <c r="O80" s="1">
        <f t="shared" si="1"/>
        <v>35</v>
      </c>
      <c r="P80" s="1">
        <v>15.0</v>
      </c>
      <c r="Q80" s="1">
        <f t="shared" si="2"/>
        <v>50</v>
      </c>
      <c r="R80" s="1">
        <v>15.0</v>
      </c>
      <c r="S80" s="1">
        <v>5.0</v>
      </c>
      <c r="T80" s="1">
        <v>15.0</v>
      </c>
      <c r="AA80" s="1">
        <f t="shared" si="3"/>
        <v>35</v>
      </c>
      <c r="AB80" s="1">
        <v>15.0</v>
      </c>
      <c r="AC80" s="1">
        <f t="shared" si="4"/>
        <v>50</v>
      </c>
      <c r="AD80" s="1">
        <v>70.0</v>
      </c>
      <c r="AE80" s="1">
        <v>30.0</v>
      </c>
      <c r="AF80" s="1">
        <f t="shared" si="5"/>
        <v>100</v>
      </c>
      <c r="AG80" s="1">
        <v>60.0</v>
      </c>
      <c r="AH80" s="1">
        <v>60.0</v>
      </c>
      <c r="AI80" s="1" t="b">
        <v>1</v>
      </c>
      <c r="AK80" s="1" t="b">
        <v>1</v>
      </c>
    </row>
    <row r="81" ht="15.75" customHeight="1">
      <c r="B81" s="1" t="s">
        <v>215</v>
      </c>
      <c r="C81" s="1" t="s">
        <v>216</v>
      </c>
      <c r="D81" s="1">
        <v>1.0</v>
      </c>
      <c r="E81" s="1" t="s">
        <v>217</v>
      </c>
      <c r="F81" s="1">
        <v>10.0</v>
      </c>
      <c r="G81" s="1">
        <v>10.0</v>
      </c>
      <c r="H81" s="1">
        <v>15.0</v>
      </c>
      <c r="O81" s="1">
        <f t="shared" si="1"/>
        <v>35</v>
      </c>
      <c r="P81" s="1">
        <v>15.0</v>
      </c>
      <c r="Q81" s="1">
        <f t="shared" si="2"/>
        <v>50</v>
      </c>
      <c r="R81" s="1">
        <v>15.0</v>
      </c>
      <c r="S81" s="1">
        <v>10.0</v>
      </c>
      <c r="T81" s="1">
        <v>10.0</v>
      </c>
      <c r="AA81" s="1">
        <f t="shared" si="3"/>
        <v>35</v>
      </c>
      <c r="AB81" s="1">
        <v>15.0</v>
      </c>
      <c r="AC81" s="1">
        <f t="shared" si="4"/>
        <v>50</v>
      </c>
      <c r="AD81" s="1">
        <v>70.0</v>
      </c>
      <c r="AE81" s="1">
        <v>30.0</v>
      </c>
      <c r="AF81" s="1">
        <f t="shared" si="5"/>
        <v>100</v>
      </c>
      <c r="AG81" s="1">
        <v>40.0</v>
      </c>
      <c r="AH81" s="1">
        <v>40.0</v>
      </c>
      <c r="AI81" s="1" t="b">
        <v>1</v>
      </c>
      <c r="AK81" s="1" t="b">
        <v>1</v>
      </c>
    </row>
    <row r="82" ht="15.75" customHeight="1">
      <c r="B82" s="1" t="s">
        <v>218</v>
      </c>
      <c r="C82" s="1" t="s">
        <v>219</v>
      </c>
      <c r="D82" s="1">
        <v>1.0</v>
      </c>
      <c r="E82" s="1" t="s">
        <v>89</v>
      </c>
      <c r="F82" s="1">
        <v>10.0</v>
      </c>
      <c r="G82" s="1">
        <v>10.0</v>
      </c>
      <c r="H82" s="1">
        <v>15.0</v>
      </c>
      <c r="O82" s="1">
        <f t="shared" si="1"/>
        <v>35</v>
      </c>
      <c r="P82" s="1">
        <v>15.0</v>
      </c>
      <c r="Q82" s="1">
        <f t="shared" si="2"/>
        <v>50</v>
      </c>
      <c r="R82" s="1">
        <v>15.0</v>
      </c>
      <c r="S82" s="1">
        <v>10.0</v>
      </c>
      <c r="T82" s="1">
        <v>10.0</v>
      </c>
      <c r="AA82" s="1">
        <f t="shared" si="3"/>
        <v>35</v>
      </c>
      <c r="AB82" s="1">
        <v>15.0</v>
      </c>
      <c r="AC82" s="1">
        <f t="shared" si="4"/>
        <v>50</v>
      </c>
      <c r="AD82" s="1">
        <v>70.0</v>
      </c>
      <c r="AE82" s="1">
        <v>30.0</v>
      </c>
      <c r="AF82" s="1">
        <f t="shared" si="5"/>
        <v>100</v>
      </c>
      <c r="AG82" s="1">
        <v>40.0</v>
      </c>
      <c r="AH82" s="1">
        <v>40.0</v>
      </c>
      <c r="AI82" s="1" t="b">
        <v>1</v>
      </c>
      <c r="AK82" s="1" t="b">
        <v>1</v>
      </c>
    </row>
    <row r="83" ht="15.75" customHeight="1">
      <c r="B83" s="1" t="s">
        <v>220</v>
      </c>
      <c r="C83" s="1" t="s">
        <v>221</v>
      </c>
      <c r="D83" s="1">
        <v>1.0</v>
      </c>
      <c r="E83" s="1" t="s">
        <v>222</v>
      </c>
      <c r="F83" s="1">
        <v>12.0</v>
      </c>
      <c r="G83" s="1">
        <v>8.0</v>
      </c>
      <c r="H83" s="1">
        <v>15.0</v>
      </c>
      <c r="O83" s="1">
        <f t="shared" si="1"/>
        <v>35</v>
      </c>
      <c r="P83" s="1">
        <v>15.0</v>
      </c>
      <c r="Q83" s="1">
        <f t="shared" si="2"/>
        <v>50</v>
      </c>
      <c r="R83" s="1">
        <v>8.0</v>
      </c>
      <c r="S83" s="1">
        <v>14.0</v>
      </c>
      <c r="T83" s="1">
        <v>13.0</v>
      </c>
      <c r="AA83" s="1">
        <f t="shared" si="3"/>
        <v>35</v>
      </c>
      <c r="AB83" s="1">
        <v>15.0</v>
      </c>
      <c r="AC83" s="1">
        <f t="shared" si="4"/>
        <v>50</v>
      </c>
      <c r="AD83" s="1">
        <v>70.0</v>
      </c>
      <c r="AE83" s="1">
        <v>30.0</v>
      </c>
      <c r="AF83" s="1">
        <f t="shared" si="5"/>
        <v>100</v>
      </c>
      <c r="AG83" s="1">
        <v>60.0</v>
      </c>
      <c r="AH83" s="1">
        <v>60.0</v>
      </c>
      <c r="AI83" s="1" t="b">
        <v>1</v>
      </c>
      <c r="AK83" s="1" t="b">
        <v>1</v>
      </c>
    </row>
    <row r="84" ht="15.75" customHeight="1">
      <c r="B84" s="1" t="s">
        <v>223</v>
      </c>
      <c r="C84" s="1" t="s">
        <v>224</v>
      </c>
      <c r="D84" s="1">
        <v>1.0</v>
      </c>
      <c r="E84" s="1" t="s">
        <v>225</v>
      </c>
      <c r="F84" s="1">
        <v>15.0</v>
      </c>
      <c r="G84" s="1">
        <v>10.0</v>
      </c>
      <c r="H84" s="1">
        <v>10.0</v>
      </c>
      <c r="I84" s="1">
        <v>5.0</v>
      </c>
      <c r="O84" s="1">
        <f t="shared" si="1"/>
        <v>40</v>
      </c>
      <c r="P84" s="1">
        <v>10.0</v>
      </c>
      <c r="Q84" s="1">
        <f t="shared" si="2"/>
        <v>50</v>
      </c>
      <c r="R84" s="1">
        <v>15.0</v>
      </c>
      <c r="S84" s="1">
        <v>5.0</v>
      </c>
      <c r="T84" s="1">
        <v>10.0</v>
      </c>
      <c r="U84" s="1">
        <v>10.0</v>
      </c>
      <c r="AA84" s="1">
        <f t="shared" si="3"/>
        <v>40</v>
      </c>
      <c r="AB84" s="1">
        <v>10.0</v>
      </c>
      <c r="AC84" s="1">
        <f t="shared" si="4"/>
        <v>50</v>
      </c>
      <c r="AD84" s="1">
        <v>80.0</v>
      </c>
      <c r="AE84" s="1">
        <v>20.0</v>
      </c>
      <c r="AF84" s="1">
        <f t="shared" si="5"/>
        <v>100</v>
      </c>
      <c r="AG84" s="1">
        <v>40.0</v>
      </c>
      <c r="AH84" s="1">
        <v>40.0</v>
      </c>
      <c r="AI84" s="1" t="b">
        <v>1</v>
      </c>
      <c r="AK84" s="1" t="b">
        <v>1</v>
      </c>
    </row>
    <row r="85" ht="15.75" customHeight="1">
      <c r="A85" s="1" t="s">
        <v>42</v>
      </c>
      <c r="B85" s="1" t="s">
        <v>226</v>
      </c>
      <c r="C85" s="1" t="s">
        <v>227</v>
      </c>
      <c r="D85" s="1">
        <v>1.5</v>
      </c>
      <c r="E85" s="1" t="s">
        <v>45</v>
      </c>
      <c r="F85" s="1">
        <v>13.0</v>
      </c>
      <c r="G85" s="1">
        <v>12.0</v>
      </c>
      <c r="H85" s="1">
        <v>10.0</v>
      </c>
      <c r="O85" s="1">
        <f t="shared" si="1"/>
        <v>35</v>
      </c>
      <c r="P85" s="1">
        <v>15.0</v>
      </c>
      <c r="Q85" s="1">
        <f t="shared" si="2"/>
        <v>50</v>
      </c>
      <c r="R85" s="1">
        <v>13.0</v>
      </c>
      <c r="S85" s="1">
        <v>12.0</v>
      </c>
      <c r="T85" s="1">
        <v>10.0</v>
      </c>
      <c r="AA85" s="1">
        <f t="shared" si="3"/>
        <v>35</v>
      </c>
      <c r="AB85" s="1">
        <v>15.0</v>
      </c>
      <c r="AC85" s="1">
        <f t="shared" si="4"/>
        <v>50</v>
      </c>
      <c r="AD85" s="1">
        <v>70.0</v>
      </c>
      <c r="AE85" s="1">
        <v>30.0</v>
      </c>
      <c r="AF85" s="1">
        <f t="shared" si="5"/>
        <v>100</v>
      </c>
      <c r="AG85" s="1">
        <v>60.0</v>
      </c>
      <c r="AH85" s="1">
        <v>60.0</v>
      </c>
      <c r="AI85" s="1" t="b">
        <v>1</v>
      </c>
      <c r="AK85" s="1" t="b">
        <v>1</v>
      </c>
    </row>
    <row r="86" ht="15.75" customHeight="1">
      <c r="B86" s="1" t="s">
        <v>228</v>
      </c>
      <c r="C86" s="1" t="s">
        <v>229</v>
      </c>
      <c r="D86" s="1">
        <v>1.0</v>
      </c>
      <c r="E86" s="1" t="s">
        <v>97</v>
      </c>
      <c r="F86" s="1">
        <v>15.0</v>
      </c>
      <c r="G86" s="1">
        <v>10.0</v>
      </c>
      <c r="H86" s="1">
        <v>10.0</v>
      </c>
      <c r="O86" s="1">
        <f t="shared" si="1"/>
        <v>35</v>
      </c>
      <c r="P86" s="1">
        <v>15.0</v>
      </c>
      <c r="Q86" s="1">
        <f t="shared" si="2"/>
        <v>50</v>
      </c>
      <c r="R86" s="1">
        <v>10.0</v>
      </c>
      <c r="S86" s="1">
        <v>10.0</v>
      </c>
      <c r="T86" s="1">
        <v>15.0</v>
      </c>
      <c r="AA86" s="1">
        <f t="shared" si="3"/>
        <v>35</v>
      </c>
      <c r="AB86" s="1">
        <v>15.0</v>
      </c>
      <c r="AC86" s="1">
        <f t="shared" si="4"/>
        <v>50</v>
      </c>
      <c r="AD86" s="1">
        <v>70.0</v>
      </c>
      <c r="AE86" s="1">
        <v>30.0</v>
      </c>
      <c r="AF86" s="1">
        <f t="shared" si="5"/>
        <v>100</v>
      </c>
      <c r="AG86" s="1">
        <v>60.0</v>
      </c>
      <c r="AH86" s="1">
        <v>60.0</v>
      </c>
      <c r="AI86" s="1" t="b">
        <v>1</v>
      </c>
      <c r="AK86" s="1" t="b">
        <v>1</v>
      </c>
    </row>
    <row r="87" ht="15.75" customHeight="1">
      <c r="B87" s="1" t="s">
        <v>230</v>
      </c>
      <c r="C87" s="1" t="s">
        <v>231</v>
      </c>
      <c r="D87" s="1">
        <v>1.0</v>
      </c>
      <c r="E87" s="1" t="s">
        <v>232</v>
      </c>
      <c r="F87" s="1">
        <v>15.0</v>
      </c>
      <c r="G87" s="1">
        <v>10.0</v>
      </c>
      <c r="H87" s="1">
        <v>10.0</v>
      </c>
      <c r="O87" s="1">
        <f t="shared" si="1"/>
        <v>35</v>
      </c>
      <c r="P87" s="1">
        <v>15.0</v>
      </c>
      <c r="Q87" s="1">
        <f t="shared" si="2"/>
        <v>50</v>
      </c>
      <c r="R87" s="1">
        <v>5.0</v>
      </c>
      <c r="S87" s="1">
        <v>15.0</v>
      </c>
      <c r="T87" s="1">
        <v>15.0</v>
      </c>
      <c r="AA87" s="1">
        <f t="shared" si="3"/>
        <v>35</v>
      </c>
      <c r="AB87" s="1">
        <v>15.0</v>
      </c>
      <c r="AC87" s="1">
        <f t="shared" si="4"/>
        <v>50</v>
      </c>
      <c r="AD87" s="1">
        <v>70.0</v>
      </c>
      <c r="AE87" s="1">
        <v>30.0</v>
      </c>
      <c r="AF87" s="1">
        <f t="shared" si="5"/>
        <v>100</v>
      </c>
      <c r="AG87" s="1">
        <v>40.0</v>
      </c>
      <c r="AH87" s="1">
        <v>40.0</v>
      </c>
      <c r="AI87" s="1" t="b">
        <v>1</v>
      </c>
      <c r="AJ87" s="1" t="s">
        <v>233</v>
      </c>
      <c r="AK87" s="1" t="b">
        <v>1</v>
      </c>
    </row>
    <row r="88" ht="15.75" customHeight="1">
      <c r="B88" s="1" t="s">
        <v>234</v>
      </c>
      <c r="C88" s="1" t="s">
        <v>235</v>
      </c>
      <c r="D88" s="1">
        <v>1.0</v>
      </c>
      <c r="E88" s="1" t="s">
        <v>236</v>
      </c>
      <c r="F88" s="1">
        <v>10.0</v>
      </c>
      <c r="G88" s="1">
        <v>10.0</v>
      </c>
      <c r="H88" s="1">
        <v>15.0</v>
      </c>
      <c r="O88" s="1">
        <f t="shared" si="1"/>
        <v>35</v>
      </c>
      <c r="P88" s="1">
        <v>15.0</v>
      </c>
      <c r="Q88" s="1">
        <f t="shared" si="2"/>
        <v>50</v>
      </c>
      <c r="R88" s="1">
        <v>10.0</v>
      </c>
      <c r="S88" s="1">
        <v>10.0</v>
      </c>
      <c r="T88" s="1">
        <v>15.0</v>
      </c>
      <c r="AA88" s="1">
        <f t="shared" si="3"/>
        <v>35</v>
      </c>
      <c r="AB88" s="1">
        <v>15.0</v>
      </c>
      <c r="AC88" s="1">
        <f t="shared" si="4"/>
        <v>50</v>
      </c>
      <c r="AD88" s="1">
        <v>70.0</v>
      </c>
      <c r="AE88" s="1">
        <v>30.0</v>
      </c>
      <c r="AF88" s="1">
        <f t="shared" si="5"/>
        <v>100</v>
      </c>
      <c r="AG88" s="1">
        <v>40.0</v>
      </c>
      <c r="AH88" s="1">
        <v>40.0</v>
      </c>
      <c r="AI88" s="1" t="b">
        <v>1</v>
      </c>
      <c r="AK88" s="1" t="b">
        <v>1</v>
      </c>
    </row>
    <row r="89" ht="15.75" customHeight="1">
      <c r="A89" s="1" t="s">
        <v>46</v>
      </c>
      <c r="B89" s="1" t="s">
        <v>237</v>
      </c>
      <c r="C89" s="1" t="s">
        <v>238</v>
      </c>
      <c r="D89" s="1">
        <v>1.0</v>
      </c>
      <c r="E89" s="1" t="s">
        <v>48</v>
      </c>
      <c r="F89" s="1">
        <v>10.0</v>
      </c>
      <c r="G89" s="1">
        <v>15.0</v>
      </c>
      <c r="H89" s="1">
        <v>10.0</v>
      </c>
      <c r="O89" s="1">
        <f t="shared" si="1"/>
        <v>35</v>
      </c>
      <c r="P89" s="1">
        <v>15.0</v>
      </c>
      <c r="Q89" s="1">
        <f t="shared" si="2"/>
        <v>50</v>
      </c>
      <c r="R89" s="1">
        <v>5.0</v>
      </c>
      <c r="S89" s="1">
        <v>10.0</v>
      </c>
      <c r="T89" s="1">
        <v>10.0</v>
      </c>
      <c r="U89" s="1">
        <v>10.0</v>
      </c>
      <c r="AA89" s="1">
        <f t="shared" si="3"/>
        <v>35</v>
      </c>
      <c r="AB89" s="1">
        <v>15.0</v>
      </c>
      <c r="AC89" s="1">
        <f t="shared" si="4"/>
        <v>50</v>
      </c>
      <c r="AD89" s="1">
        <v>70.0</v>
      </c>
      <c r="AE89" s="1">
        <v>30.0</v>
      </c>
      <c r="AF89" s="1">
        <f t="shared" si="5"/>
        <v>100</v>
      </c>
      <c r="AG89" s="1">
        <v>60.0</v>
      </c>
      <c r="AH89" s="1">
        <v>60.0</v>
      </c>
      <c r="AI89" s="1" t="b">
        <v>1</v>
      </c>
      <c r="AK89" s="1" t="b">
        <v>1</v>
      </c>
    </row>
    <row r="90" ht="15.75" customHeight="1">
      <c r="B90" s="1" t="s">
        <v>239</v>
      </c>
      <c r="C90" s="1" t="s">
        <v>240</v>
      </c>
      <c r="D90" s="1">
        <v>1.5</v>
      </c>
      <c r="E90" s="1" t="s">
        <v>241</v>
      </c>
      <c r="F90" s="1">
        <v>15.0</v>
      </c>
      <c r="G90" s="1">
        <v>10.0</v>
      </c>
      <c r="H90" s="1">
        <v>10.0</v>
      </c>
      <c r="O90" s="1">
        <f t="shared" si="1"/>
        <v>35</v>
      </c>
      <c r="P90" s="1">
        <v>15.0</v>
      </c>
      <c r="Q90" s="1">
        <f t="shared" si="2"/>
        <v>50</v>
      </c>
      <c r="R90" s="1">
        <v>15.0</v>
      </c>
      <c r="S90" s="1">
        <v>10.0</v>
      </c>
      <c r="T90" s="1">
        <v>10.0</v>
      </c>
      <c r="AA90" s="1">
        <f t="shared" si="3"/>
        <v>35</v>
      </c>
      <c r="AB90" s="1">
        <v>15.0</v>
      </c>
      <c r="AC90" s="1">
        <f t="shared" si="4"/>
        <v>50</v>
      </c>
      <c r="AD90" s="1">
        <v>70.0</v>
      </c>
      <c r="AE90" s="1">
        <v>30.0</v>
      </c>
      <c r="AF90" s="1">
        <f t="shared" si="5"/>
        <v>100</v>
      </c>
      <c r="AG90" s="1">
        <v>60.0</v>
      </c>
      <c r="AH90" s="1">
        <v>60.0</v>
      </c>
      <c r="AI90" s="1" t="b">
        <v>1</v>
      </c>
      <c r="AK90" s="1" t="b">
        <v>1</v>
      </c>
    </row>
    <row r="91" ht="15.75" customHeight="1">
      <c r="B91" s="1" t="s">
        <v>242</v>
      </c>
      <c r="C91" s="1" t="s">
        <v>243</v>
      </c>
      <c r="D91" s="1">
        <v>1.5</v>
      </c>
      <c r="E91" s="1" t="s">
        <v>241</v>
      </c>
      <c r="F91" s="1">
        <v>10.0</v>
      </c>
      <c r="G91" s="1">
        <v>5.0</v>
      </c>
      <c r="H91" s="1">
        <v>5.0</v>
      </c>
      <c r="I91" s="1">
        <v>5.0</v>
      </c>
      <c r="J91" s="1">
        <v>5.0</v>
      </c>
      <c r="K91" s="1">
        <v>5.0</v>
      </c>
      <c r="O91" s="1">
        <f t="shared" si="1"/>
        <v>35</v>
      </c>
      <c r="P91" s="1">
        <v>15.0</v>
      </c>
      <c r="Q91" s="1">
        <f t="shared" si="2"/>
        <v>50</v>
      </c>
      <c r="R91" s="1">
        <v>5.0</v>
      </c>
      <c r="S91" s="1">
        <v>5.0</v>
      </c>
      <c r="T91" s="1">
        <v>10.0</v>
      </c>
      <c r="U91" s="1">
        <v>5.0</v>
      </c>
      <c r="V91" s="1">
        <v>5.0</v>
      </c>
      <c r="W91" s="1">
        <v>5.0</v>
      </c>
      <c r="AA91" s="1">
        <f t="shared" si="3"/>
        <v>35</v>
      </c>
      <c r="AB91" s="1">
        <v>15.0</v>
      </c>
      <c r="AC91" s="1">
        <f t="shared" si="4"/>
        <v>50</v>
      </c>
      <c r="AD91" s="1">
        <v>70.0</v>
      </c>
      <c r="AE91" s="1">
        <v>30.0</v>
      </c>
      <c r="AF91" s="1">
        <f t="shared" si="5"/>
        <v>100</v>
      </c>
      <c r="AG91" s="1">
        <v>60.0</v>
      </c>
      <c r="AH91" s="1">
        <v>60.0</v>
      </c>
      <c r="AI91" s="1" t="b">
        <v>1</v>
      </c>
      <c r="AK91" s="1" t="b">
        <v>1</v>
      </c>
    </row>
    <row r="92" ht="15.75" customHeight="1">
      <c r="B92" s="1" t="s">
        <v>244</v>
      </c>
      <c r="C92" s="1" t="s">
        <v>245</v>
      </c>
      <c r="D92" s="1">
        <v>1.0</v>
      </c>
      <c r="E92" s="1" t="s">
        <v>174</v>
      </c>
      <c r="F92" s="1">
        <v>10.0</v>
      </c>
      <c r="G92" s="1">
        <v>5.0</v>
      </c>
      <c r="H92" s="1">
        <v>10.0</v>
      </c>
      <c r="I92" s="1">
        <v>10.0</v>
      </c>
      <c r="O92" s="1">
        <f t="shared" si="1"/>
        <v>35</v>
      </c>
      <c r="P92" s="1">
        <v>15.0</v>
      </c>
      <c r="Q92" s="1">
        <f t="shared" si="2"/>
        <v>50</v>
      </c>
      <c r="R92" s="1">
        <v>10.0</v>
      </c>
      <c r="S92" s="1">
        <v>10.0</v>
      </c>
      <c r="T92" s="1">
        <v>10.0</v>
      </c>
      <c r="U92" s="1">
        <v>5.0</v>
      </c>
      <c r="AA92" s="1">
        <f t="shared" si="3"/>
        <v>35</v>
      </c>
      <c r="AB92" s="1">
        <v>15.0</v>
      </c>
      <c r="AC92" s="1">
        <f t="shared" si="4"/>
        <v>50</v>
      </c>
      <c r="AD92" s="1">
        <v>70.0</v>
      </c>
      <c r="AE92" s="1">
        <v>30.0</v>
      </c>
      <c r="AF92" s="1">
        <f t="shared" si="5"/>
        <v>100</v>
      </c>
      <c r="AG92" s="1">
        <v>60.0</v>
      </c>
      <c r="AH92" s="1">
        <v>60.0</v>
      </c>
      <c r="AI92" s="1" t="b">
        <v>1</v>
      </c>
      <c r="AK92" s="1" t="b">
        <v>1</v>
      </c>
    </row>
    <row r="93" ht="15.75" customHeight="1">
      <c r="B93" s="1" t="s">
        <v>246</v>
      </c>
      <c r="C93" s="1" t="s">
        <v>247</v>
      </c>
      <c r="D93" s="1">
        <v>1.0</v>
      </c>
      <c r="E93" s="1" t="s">
        <v>248</v>
      </c>
      <c r="F93" s="1">
        <v>10.0</v>
      </c>
      <c r="G93" s="1">
        <v>10.0</v>
      </c>
      <c r="H93" s="1">
        <v>10.0</v>
      </c>
      <c r="I93" s="1">
        <v>5.0</v>
      </c>
      <c r="O93" s="1">
        <f t="shared" si="1"/>
        <v>35</v>
      </c>
      <c r="P93" s="1">
        <v>15.0</v>
      </c>
      <c r="Q93" s="1">
        <f t="shared" si="2"/>
        <v>50</v>
      </c>
      <c r="R93" s="1">
        <v>5.0</v>
      </c>
      <c r="S93" s="1">
        <v>10.0</v>
      </c>
      <c r="T93" s="1">
        <v>10.0</v>
      </c>
      <c r="U93" s="1">
        <v>10.0</v>
      </c>
      <c r="AA93" s="1">
        <f t="shared" si="3"/>
        <v>35</v>
      </c>
      <c r="AB93" s="1">
        <v>15.0</v>
      </c>
      <c r="AC93" s="1">
        <f t="shared" si="4"/>
        <v>50</v>
      </c>
      <c r="AD93" s="1">
        <v>70.0</v>
      </c>
      <c r="AE93" s="1">
        <v>30.0</v>
      </c>
      <c r="AF93" s="1">
        <f t="shared" si="5"/>
        <v>100</v>
      </c>
      <c r="AG93" s="1">
        <v>60.0</v>
      </c>
      <c r="AH93" s="1">
        <v>60.0</v>
      </c>
      <c r="AI93" s="1" t="b">
        <v>1</v>
      </c>
      <c r="AK93" s="1" t="b">
        <v>1</v>
      </c>
    </row>
    <row r="94" ht="15.75" customHeight="1">
      <c r="B94" s="1" t="s">
        <v>246</v>
      </c>
      <c r="C94" s="1" t="s">
        <v>249</v>
      </c>
      <c r="D94" s="1">
        <v>1.0</v>
      </c>
      <c r="E94" s="1" t="s">
        <v>248</v>
      </c>
      <c r="O94" s="1">
        <f t="shared" si="1"/>
        <v>0</v>
      </c>
      <c r="Q94" s="1">
        <f t="shared" si="2"/>
        <v>0</v>
      </c>
      <c r="AA94" s="1">
        <f t="shared" si="3"/>
        <v>0</v>
      </c>
      <c r="AC94" s="1">
        <f t="shared" si="4"/>
        <v>0</v>
      </c>
      <c r="AF94" s="1">
        <f t="shared" si="5"/>
        <v>0</v>
      </c>
      <c r="AI94" s="1" t="b">
        <v>1</v>
      </c>
      <c r="AK94" s="1" t="b">
        <v>1</v>
      </c>
    </row>
    <row r="95" ht="15.75" customHeight="1">
      <c r="B95" s="1" t="s">
        <v>246</v>
      </c>
      <c r="C95" s="1" t="s">
        <v>250</v>
      </c>
      <c r="D95" s="1">
        <v>1.0</v>
      </c>
      <c r="E95" s="1" t="s">
        <v>248</v>
      </c>
      <c r="O95" s="1">
        <f t="shared" si="1"/>
        <v>0</v>
      </c>
      <c r="Q95" s="1">
        <f t="shared" si="2"/>
        <v>0</v>
      </c>
      <c r="AA95" s="1">
        <f t="shared" si="3"/>
        <v>0</v>
      </c>
      <c r="AC95" s="1">
        <f t="shared" si="4"/>
        <v>0</v>
      </c>
      <c r="AF95" s="1">
        <f t="shared" si="5"/>
        <v>0</v>
      </c>
      <c r="AI95" s="1" t="b">
        <v>1</v>
      </c>
      <c r="AK95" s="1" t="b">
        <v>1</v>
      </c>
    </row>
    <row r="96" ht="15.75" customHeight="1">
      <c r="B96" s="1" t="s">
        <v>251</v>
      </c>
      <c r="C96" s="1" t="s">
        <v>224</v>
      </c>
      <c r="D96" s="1">
        <v>1.0</v>
      </c>
      <c r="E96" s="1" t="s">
        <v>174</v>
      </c>
      <c r="F96" s="1">
        <v>10.0</v>
      </c>
      <c r="G96" s="1">
        <v>10.0</v>
      </c>
      <c r="H96" s="1">
        <v>10.0</v>
      </c>
      <c r="I96" s="1">
        <v>10.0</v>
      </c>
      <c r="O96" s="1">
        <f t="shared" si="1"/>
        <v>40</v>
      </c>
      <c r="P96" s="1">
        <v>10.0</v>
      </c>
      <c r="Q96" s="1">
        <f t="shared" si="2"/>
        <v>50</v>
      </c>
      <c r="R96" s="1">
        <v>15.0</v>
      </c>
      <c r="S96" s="1">
        <v>15.0</v>
      </c>
      <c r="T96" s="1">
        <v>10.0</v>
      </c>
      <c r="AA96" s="1">
        <f t="shared" si="3"/>
        <v>40</v>
      </c>
      <c r="AB96" s="1">
        <v>10.0</v>
      </c>
      <c r="AC96" s="1">
        <f t="shared" si="4"/>
        <v>50</v>
      </c>
      <c r="AD96" s="1">
        <v>80.0</v>
      </c>
      <c r="AE96" s="1">
        <v>20.0</v>
      </c>
      <c r="AF96" s="1">
        <f t="shared" si="5"/>
        <v>100</v>
      </c>
      <c r="AG96" s="1">
        <v>60.0</v>
      </c>
      <c r="AH96" s="1">
        <v>60.0</v>
      </c>
      <c r="AI96" s="1" t="b">
        <v>1</v>
      </c>
      <c r="AK96" s="1" t="b">
        <v>1</v>
      </c>
    </row>
    <row r="97" ht="15.75" customHeight="1">
      <c r="A97" s="1" t="s">
        <v>54</v>
      </c>
      <c r="B97" s="1" t="s">
        <v>252</v>
      </c>
      <c r="C97" s="1" t="s">
        <v>253</v>
      </c>
      <c r="D97" s="1">
        <v>1.5</v>
      </c>
      <c r="E97" s="1" t="s">
        <v>254</v>
      </c>
      <c r="F97" s="1">
        <v>10.0</v>
      </c>
      <c r="G97" s="1">
        <v>10.0</v>
      </c>
      <c r="H97" s="1">
        <v>15.0</v>
      </c>
      <c r="O97" s="1">
        <f t="shared" si="1"/>
        <v>35</v>
      </c>
      <c r="P97" s="1">
        <v>15.0</v>
      </c>
      <c r="Q97" s="1">
        <f t="shared" si="2"/>
        <v>50</v>
      </c>
      <c r="R97" s="1">
        <v>10.0</v>
      </c>
      <c r="S97" s="1">
        <v>10.0</v>
      </c>
      <c r="T97" s="1">
        <v>15.0</v>
      </c>
      <c r="AA97" s="1">
        <f t="shared" si="3"/>
        <v>35</v>
      </c>
      <c r="AB97" s="1">
        <v>15.0</v>
      </c>
      <c r="AC97" s="1">
        <f t="shared" si="4"/>
        <v>50</v>
      </c>
      <c r="AD97" s="1">
        <v>70.0</v>
      </c>
      <c r="AE97" s="1">
        <v>30.0</v>
      </c>
      <c r="AF97" s="1">
        <f t="shared" si="5"/>
        <v>100</v>
      </c>
      <c r="AG97" s="1">
        <v>60.0</v>
      </c>
      <c r="AH97" s="1">
        <v>60.0</v>
      </c>
      <c r="AI97" s="1" t="b">
        <v>1</v>
      </c>
      <c r="AK97" s="1" t="b">
        <v>1</v>
      </c>
    </row>
    <row r="98" ht="15.75" customHeight="1">
      <c r="B98" s="1" t="s">
        <v>255</v>
      </c>
      <c r="C98" s="1" t="s">
        <v>256</v>
      </c>
      <c r="D98" s="1">
        <v>1.5</v>
      </c>
      <c r="E98" s="1" t="s">
        <v>254</v>
      </c>
      <c r="F98" s="1">
        <v>10.0</v>
      </c>
      <c r="G98" s="1">
        <v>10.0</v>
      </c>
      <c r="H98" s="1">
        <v>15.0</v>
      </c>
      <c r="O98" s="1">
        <f t="shared" si="1"/>
        <v>35</v>
      </c>
      <c r="P98" s="1">
        <v>15.0</v>
      </c>
      <c r="Q98" s="1">
        <f t="shared" si="2"/>
        <v>50</v>
      </c>
      <c r="R98" s="1">
        <v>5.0</v>
      </c>
      <c r="S98" s="1">
        <v>10.0</v>
      </c>
      <c r="T98" s="1">
        <v>10.0</v>
      </c>
      <c r="U98" s="1">
        <v>10.0</v>
      </c>
      <c r="AA98" s="1">
        <f t="shared" si="3"/>
        <v>35</v>
      </c>
      <c r="AB98" s="1">
        <v>15.0</v>
      </c>
      <c r="AC98" s="1">
        <f t="shared" si="4"/>
        <v>50</v>
      </c>
      <c r="AD98" s="1">
        <v>70.0</v>
      </c>
      <c r="AE98" s="1">
        <v>30.0</v>
      </c>
      <c r="AF98" s="1">
        <f t="shared" si="5"/>
        <v>100</v>
      </c>
      <c r="AG98" s="1">
        <v>60.0</v>
      </c>
      <c r="AH98" s="1">
        <v>60.0</v>
      </c>
      <c r="AI98" s="1" t="b">
        <v>1</v>
      </c>
      <c r="AK98" s="1" t="b">
        <v>1</v>
      </c>
    </row>
    <row r="99" ht="15.75" customHeight="1">
      <c r="B99" s="1" t="s">
        <v>257</v>
      </c>
      <c r="C99" s="1" t="s">
        <v>258</v>
      </c>
      <c r="D99" s="1">
        <v>1.5</v>
      </c>
      <c r="E99" s="1" t="s">
        <v>142</v>
      </c>
      <c r="F99" s="1">
        <v>15.0</v>
      </c>
      <c r="G99" s="1">
        <v>10.0</v>
      </c>
      <c r="H99" s="1">
        <v>10.0</v>
      </c>
      <c r="O99" s="1">
        <f t="shared" si="1"/>
        <v>35</v>
      </c>
      <c r="P99" s="1">
        <v>15.0</v>
      </c>
      <c r="Q99" s="1">
        <f t="shared" si="2"/>
        <v>50</v>
      </c>
      <c r="R99" s="1">
        <v>15.0</v>
      </c>
      <c r="S99" s="1">
        <v>10.0</v>
      </c>
      <c r="T99" s="1">
        <v>10.0</v>
      </c>
      <c r="AA99" s="1">
        <f t="shared" si="3"/>
        <v>35</v>
      </c>
      <c r="AB99" s="1">
        <v>15.0</v>
      </c>
      <c r="AC99" s="1">
        <f t="shared" si="4"/>
        <v>50</v>
      </c>
      <c r="AD99" s="1">
        <v>70.0</v>
      </c>
      <c r="AE99" s="1">
        <v>30.0</v>
      </c>
      <c r="AF99" s="1">
        <f t="shared" si="5"/>
        <v>100</v>
      </c>
      <c r="AG99" s="1">
        <v>90.0</v>
      </c>
      <c r="AH99" s="1">
        <v>90.0</v>
      </c>
      <c r="AI99" s="1" t="b">
        <v>1</v>
      </c>
      <c r="AK99" s="1" t="b">
        <v>1</v>
      </c>
    </row>
    <row r="100" ht="15.75" customHeight="1">
      <c r="B100" s="1" t="s">
        <v>259</v>
      </c>
      <c r="C100" s="1" t="s">
        <v>260</v>
      </c>
      <c r="D100" s="1">
        <v>2.0</v>
      </c>
      <c r="E100" s="1" t="s">
        <v>261</v>
      </c>
      <c r="F100" s="1">
        <v>15.0</v>
      </c>
      <c r="G100" s="1">
        <v>10.0</v>
      </c>
      <c r="H100" s="1">
        <v>10.0</v>
      </c>
      <c r="O100" s="1">
        <f t="shared" si="1"/>
        <v>35</v>
      </c>
      <c r="P100" s="1">
        <v>15.0</v>
      </c>
      <c r="Q100" s="1">
        <f t="shared" si="2"/>
        <v>50</v>
      </c>
      <c r="R100" s="1">
        <v>15.0</v>
      </c>
      <c r="S100" s="1">
        <v>10.0</v>
      </c>
      <c r="T100" s="1">
        <v>10.0</v>
      </c>
      <c r="AA100" s="1">
        <f t="shared" si="3"/>
        <v>35</v>
      </c>
      <c r="AB100" s="1">
        <v>15.0</v>
      </c>
      <c r="AC100" s="1">
        <f t="shared" si="4"/>
        <v>50</v>
      </c>
      <c r="AD100" s="1">
        <v>70.0</v>
      </c>
      <c r="AE100" s="1">
        <v>30.0</v>
      </c>
      <c r="AF100" s="1">
        <f t="shared" si="5"/>
        <v>100</v>
      </c>
      <c r="AG100" s="1">
        <v>90.0</v>
      </c>
      <c r="AH100" s="1">
        <v>90.0</v>
      </c>
      <c r="AI100" s="1" t="b">
        <v>1</v>
      </c>
      <c r="AK100" s="1" t="b">
        <v>1</v>
      </c>
    </row>
    <row r="101" ht="15.75" customHeight="1">
      <c r="B101" s="1" t="s">
        <v>239</v>
      </c>
      <c r="C101" s="1" t="s">
        <v>240</v>
      </c>
      <c r="D101" s="1">
        <v>1.5</v>
      </c>
      <c r="E101" s="1" t="s">
        <v>262</v>
      </c>
      <c r="F101" s="1">
        <v>15.0</v>
      </c>
      <c r="G101" s="1">
        <v>10.0</v>
      </c>
      <c r="H101" s="1">
        <v>10.0</v>
      </c>
      <c r="O101" s="1">
        <f t="shared" si="1"/>
        <v>35</v>
      </c>
      <c r="P101" s="1">
        <v>15.0</v>
      </c>
      <c r="Q101" s="1">
        <f t="shared" si="2"/>
        <v>50</v>
      </c>
      <c r="R101" s="1">
        <v>15.0</v>
      </c>
      <c r="S101" s="1">
        <v>10.0</v>
      </c>
      <c r="T101" s="1">
        <v>10.0</v>
      </c>
      <c r="AA101" s="1">
        <f t="shared" si="3"/>
        <v>35</v>
      </c>
      <c r="AB101" s="1">
        <v>15.0</v>
      </c>
      <c r="AC101" s="1">
        <f t="shared" si="4"/>
        <v>50</v>
      </c>
      <c r="AD101" s="1">
        <v>70.0</v>
      </c>
      <c r="AE101" s="1">
        <v>30.0</v>
      </c>
      <c r="AF101" s="1">
        <f t="shared" si="5"/>
        <v>100</v>
      </c>
      <c r="AG101" s="1">
        <v>60.0</v>
      </c>
      <c r="AH101" s="1">
        <v>60.0</v>
      </c>
      <c r="AI101" s="1" t="b">
        <v>1</v>
      </c>
      <c r="AK101" s="1" t="b">
        <v>1</v>
      </c>
    </row>
    <row r="102" ht="15.75" customHeight="1">
      <c r="B102" s="1" t="s">
        <v>263</v>
      </c>
      <c r="C102" s="1" t="s">
        <v>264</v>
      </c>
      <c r="D102" s="1">
        <v>1.0</v>
      </c>
      <c r="E102" s="1" t="s">
        <v>142</v>
      </c>
      <c r="F102" s="1">
        <v>15.0</v>
      </c>
      <c r="G102" s="1">
        <v>10.0</v>
      </c>
      <c r="H102" s="1">
        <v>10.0</v>
      </c>
      <c r="O102" s="1">
        <f t="shared" si="1"/>
        <v>35</v>
      </c>
      <c r="P102" s="1">
        <v>15.0</v>
      </c>
      <c r="Q102" s="1">
        <f t="shared" si="2"/>
        <v>50</v>
      </c>
      <c r="R102" s="1">
        <v>10.0</v>
      </c>
      <c r="S102" s="1">
        <v>15.0</v>
      </c>
      <c r="T102" s="1">
        <v>10.0</v>
      </c>
      <c r="AA102" s="1">
        <f t="shared" si="3"/>
        <v>35</v>
      </c>
      <c r="AB102" s="1">
        <v>15.0</v>
      </c>
      <c r="AC102" s="1">
        <f t="shared" si="4"/>
        <v>50</v>
      </c>
      <c r="AD102" s="1">
        <v>70.0</v>
      </c>
      <c r="AE102" s="1">
        <v>30.0</v>
      </c>
      <c r="AF102" s="1">
        <f t="shared" si="5"/>
        <v>100</v>
      </c>
      <c r="AG102" s="1">
        <v>60.0</v>
      </c>
      <c r="AH102" s="1">
        <v>60.0</v>
      </c>
      <c r="AI102" s="1" t="b">
        <v>1</v>
      </c>
      <c r="AK102" s="1" t="b">
        <v>1</v>
      </c>
    </row>
    <row r="103" ht="15.75" customHeight="1">
      <c r="B103" s="1" t="s">
        <v>263</v>
      </c>
      <c r="C103" s="1" t="s">
        <v>265</v>
      </c>
      <c r="D103" s="1">
        <v>1.0</v>
      </c>
      <c r="E103" s="1" t="s">
        <v>142</v>
      </c>
      <c r="F103" s="1">
        <v>15.0</v>
      </c>
      <c r="G103" s="1">
        <v>10.0</v>
      </c>
      <c r="H103" s="1">
        <v>10.0</v>
      </c>
      <c r="O103" s="1">
        <f t="shared" si="1"/>
        <v>35</v>
      </c>
      <c r="P103" s="1">
        <v>15.0</v>
      </c>
      <c r="Q103" s="1">
        <f t="shared" si="2"/>
        <v>50</v>
      </c>
      <c r="R103" s="1">
        <v>10.0</v>
      </c>
      <c r="S103" s="1">
        <v>15.0</v>
      </c>
      <c r="T103" s="1">
        <v>10.0</v>
      </c>
      <c r="AA103" s="1">
        <f t="shared" si="3"/>
        <v>35</v>
      </c>
      <c r="AB103" s="1">
        <v>15.0</v>
      </c>
      <c r="AC103" s="1">
        <f t="shared" si="4"/>
        <v>50</v>
      </c>
      <c r="AD103" s="1">
        <v>70.0</v>
      </c>
      <c r="AE103" s="1">
        <v>30.0</v>
      </c>
      <c r="AF103" s="1">
        <f t="shared" si="5"/>
        <v>100</v>
      </c>
      <c r="AG103" s="1">
        <v>60.0</v>
      </c>
      <c r="AH103" s="1">
        <v>60.0</v>
      </c>
      <c r="AI103" s="1" t="b">
        <v>1</v>
      </c>
      <c r="AK103" s="1" t="b">
        <v>1</v>
      </c>
    </row>
    <row r="104" ht="15.75" customHeight="1">
      <c r="B104" s="1" t="s">
        <v>263</v>
      </c>
      <c r="C104" s="1" t="s">
        <v>266</v>
      </c>
      <c r="D104" s="1">
        <v>1.0</v>
      </c>
      <c r="E104" s="1" t="s">
        <v>142</v>
      </c>
      <c r="F104" s="1">
        <v>15.0</v>
      </c>
      <c r="G104" s="1">
        <v>10.0</v>
      </c>
      <c r="H104" s="1">
        <v>10.0</v>
      </c>
      <c r="O104" s="1">
        <f t="shared" si="1"/>
        <v>35</v>
      </c>
      <c r="P104" s="1">
        <v>15.0</v>
      </c>
      <c r="Q104" s="1">
        <f t="shared" si="2"/>
        <v>50</v>
      </c>
      <c r="R104" s="1">
        <v>10.0</v>
      </c>
      <c r="S104" s="1">
        <v>15.0</v>
      </c>
      <c r="T104" s="1">
        <v>10.0</v>
      </c>
      <c r="AA104" s="1">
        <f t="shared" si="3"/>
        <v>35</v>
      </c>
      <c r="AB104" s="1">
        <v>15.0</v>
      </c>
      <c r="AC104" s="1">
        <f t="shared" si="4"/>
        <v>50</v>
      </c>
      <c r="AD104" s="1">
        <v>70.0</v>
      </c>
      <c r="AE104" s="1">
        <v>30.0</v>
      </c>
      <c r="AF104" s="1">
        <f t="shared" si="5"/>
        <v>100</v>
      </c>
      <c r="AG104" s="1">
        <v>60.0</v>
      </c>
      <c r="AH104" s="1">
        <v>60.0</v>
      </c>
      <c r="AI104" s="1" t="b">
        <v>1</v>
      </c>
      <c r="AK104" s="1" t="b">
        <v>1</v>
      </c>
    </row>
    <row r="105" ht="15.75" customHeight="1">
      <c r="B105" s="1" t="s">
        <v>251</v>
      </c>
      <c r="C105" s="1" t="s">
        <v>224</v>
      </c>
      <c r="D105" s="1">
        <v>1.0</v>
      </c>
      <c r="E105" s="1" t="s">
        <v>267</v>
      </c>
      <c r="F105" s="1">
        <v>10.0</v>
      </c>
      <c r="G105" s="1">
        <v>10.0</v>
      </c>
      <c r="H105" s="1">
        <v>10.0</v>
      </c>
      <c r="I105" s="1">
        <v>10.0</v>
      </c>
      <c r="O105" s="1">
        <f t="shared" si="1"/>
        <v>40</v>
      </c>
      <c r="P105" s="1">
        <v>10.0</v>
      </c>
      <c r="Q105" s="1">
        <f t="shared" si="2"/>
        <v>50</v>
      </c>
      <c r="R105" s="1">
        <v>15.0</v>
      </c>
      <c r="S105" s="1">
        <v>15.0</v>
      </c>
      <c r="T105" s="1">
        <v>10.0</v>
      </c>
      <c r="AA105" s="1">
        <f t="shared" si="3"/>
        <v>40</v>
      </c>
      <c r="AB105" s="1">
        <v>10.0</v>
      </c>
      <c r="AC105" s="1">
        <f t="shared" si="4"/>
        <v>50</v>
      </c>
      <c r="AD105" s="1">
        <v>80.0</v>
      </c>
      <c r="AE105" s="1">
        <v>20.0</v>
      </c>
      <c r="AF105" s="1">
        <f t="shared" si="5"/>
        <v>100</v>
      </c>
      <c r="AG105" s="1">
        <v>60.0</v>
      </c>
      <c r="AH105" s="1">
        <v>60.0</v>
      </c>
      <c r="AI105" s="1" t="b">
        <v>1</v>
      </c>
      <c r="AK105" s="1" t="b">
        <v>1</v>
      </c>
    </row>
    <row r="106" ht="15.75" customHeight="1">
      <c r="A106" s="1" t="s">
        <v>62</v>
      </c>
      <c r="B106" s="1" t="s">
        <v>268</v>
      </c>
      <c r="C106" s="1" t="s">
        <v>269</v>
      </c>
      <c r="D106" s="1">
        <v>1.5</v>
      </c>
      <c r="E106" s="1" t="s">
        <v>270</v>
      </c>
      <c r="F106" s="1">
        <v>7.0</v>
      </c>
      <c r="G106" s="1">
        <v>8.0</v>
      </c>
      <c r="H106" s="1">
        <v>10.0</v>
      </c>
      <c r="I106" s="1">
        <v>10.0</v>
      </c>
      <c r="O106" s="1">
        <f t="shared" si="1"/>
        <v>35</v>
      </c>
      <c r="P106" s="1">
        <v>15.0</v>
      </c>
      <c r="Q106" s="1">
        <f t="shared" si="2"/>
        <v>50</v>
      </c>
      <c r="R106" s="1">
        <v>10.0</v>
      </c>
      <c r="S106" s="1">
        <v>13.0</v>
      </c>
      <c r="T106" s="1">
        <v>12.0</v>
      </c>
      <c r="AA106" s="1">
        <f t="shared" si="3"/>
        <v>35</v>
      </c>
      <c r="AB106" s="1">
        <v>15.0</v>
      </c>
      <c r="AC106" s="1">
        <f t="shared" si="4"/>
        <v>50</v>
      </c>
      <c r="AD106" s="1">
        <v>70.0</v>
      </c>
      <c r="AE106" s="1">
        <v>30.0</v>
      </c>
      <c r="AF106" s="1">
        <f t="shared" si="5"/>
        <v>100</v>
      </c>
      <c r="AG106" s="1">
        <v>60.0</v>
      </c>
      <c r="AH106" s="1">
        <v>60.0</v>
      </c>
      <c r="AI106" s="1" t="b">
        <v>1</v>
      </c>
      <c r="AK106" s="1" t="b">
        <v>1</v>
      </c>
    </row>
    <row r="107" ht="15.75" customHeight="1">
      <c r="B107" s="1" t="s">
        <v>271</v>
      </c>
      <c r="C107" s="1" t="s">
        <v>272</v>
      </c>
      <c r="D107" s="1">
        <v>1.5</v>
      </c>
      <c r="E107" s="1" t="s">
        <v>270</v>
      </c>
      <c r="F107" s="1">
        <v>15.0</v>
      </c>
      <c r="G107" s="1">
        <v>15.0</v>
      </c>
      <c r="H107" s="1">
        <v>5.0</v>
      </c>
      <c r="O107" s="1">
        <f t="shared" si="1"/>
        <v>35</v>
      </c>
      <c r="P107" s="1">
        <v>15.0</v>
      </c>
      <c r="Q107" s="1">
        <f t="shared" si="2"/>
        <v>50</v>
      </c>
      <c r="R107" s="1">
        <v>10.0</v>
      </c>
      <c r="S107" s="1">
        <v>15.0</v>
      </c>
      <c r="T107" s="1">
        <v>10.0</v>
      </c>
      <c r="AA107" s="1">
        <f t="shared" si="3"/>
        <v>35</v>
      </c>
      <c r="AB107" s="1">
        <v>15.0</v>
      </c>
      <c r="AC107" s="1">
        <f t="shared" si="4"/>
        <v>50</v>
      </c>
      <c r="AD107" s="1">
        <v>70.0</v>
      </c>
      <c r="AE107" s="1">
        <v>30.0</v>
      </c>
      <c r="AF107" s="1">
        <f t="shared" si="5"/>
        <v>100</v>
      </c>
      <c r="AG107" s="1">
        <v>60.0</v>
      </c>
      <c r="AH107" s="1">
        <v>60.0</v>
      </c>
      <c r="AI107" s="1" t="b">
        <v>1</v>
      </c>
      <c r="AK107" s="1" t="b">
        <v>1</v>
      </c>
    </row>
    <row r="108" ht="15.75" customHeight="1">
      <c r="B108" s="1" t="s">
        <v>273</v>
      </c>
      <c r="C108" s="1" t="s">
        <v>274</v>
      </c>
      <c r="D108" s="1">
        <v>1.5</v>
      </c>
      <c r="E108" s="1" t="s">
        <v>275</v>
      </c>
      <c r="F108" s="1">
        <v>15.0</v>
      </c>
      <c r="G108" s="1">
        <v>10.0</v>
      </c>
      <c r="H108" s="1">
        <v>10.0</v>
      </c>
      <c r="O108" s="1">
        <f t="shared" si="1"/>
        <v>35</v>
      </c>
      <c r="P108" s="1">
        <v>15.0</v>
      </c>
      <c r="Q108" s="1">
        <f t="shared" si="2"/>
        <v>50</v>
      </c>
      <c r="R108" s="1">
        <v>15.0</v>
      </c>
      <c r="S108" s="1">
        <v>10.0</v>
      </c>
      <c r="T108" s="1">
        <v>10.0</v>
      </c>
      <c r="AA108" s="1">
        <f t="shared" si="3"/>
        <v>35</v>
      </c>
      <c r="AB108" s="1">
        <v>15.0</v>
      </c>
      <c r="AC108" s="1">
        <f t="shared" si="4"/>
        <v>50</v>
      </c>
      <c r="AD108" s="1">
        <v>70.0</v>
      </c>
      <c r="AE108" s="1">
        <v>30.0</v>
      </c>
      <c r="AF108" s="1">
        <f t="shared" si="5"/>
        <v>100</v>
      </c>
      <c r="AG108" s="1">
        <v>60.0</v>
      </c>
      <c r="AH108" s="1">
        <v>60.0</v>
      </c>
      <c r="AI108" s="1" t="b">
        <v>1</v>
      </c>
      <c r="AK108" s="1" t="b">
        <v>1</v>
      </c>
    </row>
    <row r="109" ht="15.75" customHeight="1">
      <c r="B109" s="1" t="s">
        <v>276</v>
      </c>
      <c r="C109" s="1" t="s">
        <v>277</v>
      </c>
      <c r="D109" s="1">
        <v>2.0</v>
      </c>
      <c r="E109" s="1" t="s">
        <v>278</v>
      </c>
      <c r="F109" s="1">
        <v>15.0</v>
      </c>
      <c r="G109" s="1">
        <v>10.0</v>
      </c>
      <c r="H109" s="1">
        <v>10.0</v>
      </c>
      <c r="O109" s="1">
        <f t="shared" si="1"/>
        <v>35</v>
      </c>
      <c r="P109" s="1">
        <v>15.0</v>
      </c>
      <c r="Q109" s="1">
        <f t="shared" si="2"/>
        <v>50</v>
      </c>
      <c r="R109" s="1">
        <v>15.0</v>
      </c>
      <c r="S109" s="1">
        <v>10.0</v>
      </c>
      <c r="T109" s="1">
        <v>10.0</v>
      </c>
      <c r="AA109" s="1">
        <f t="shared" si="3"/>
        <v>35</v>
      </c>
      <c r="AB109" s="1">
        <v>15.0</v>
      </c>
      <c r="AC109" s="1">
        <f t="shared" si="4"/>
        <v>50</v>
      </c>
      <c r="AD109" s="1">
        <v>70.0</v>
      </c>
      <c r="AE109" s="1">
        <v>30.0</v>
      </c>
      <c r="AF109" s="1">
        <f t="shared" si="5"/>
        <v>100</v>
      </c>
      <c r="AG109" s="1">
        <v>60.0</v>
      </c>
      <c r="AH109" s="1">
        <v>60.0</v>
      </c>
      <c r="AI109" s="1" t="b">
        <v>1</v>
      </c>
      <c r="AK109" s="1" t="b">
        <v>1</v>
      </c>
    </row>
    <row r="110" ht="15.75" customHeight="1">
      <c r="B110" s="1" t="s">
        <v>279</v>
      </c>
      <c r="C110" s="1" t="s">
        <v>280</v>
      </c>
      <c r="D110" s="1">
        <v>1.0</v>
      </c>
      <c r="E110" s="1" t="s">
        <v>275</v>
      </c>
      <c r="F110" s="1">
        <v>5.0</v>
      </c>
      <c r="G110" s="1">
        <v>10.0</v>
      </c>
      <c r="H110" s="1">
        <v>10.0</v>
      </c>
      <c r="I110" s="1">
        <v>10.0</v>
      </c>
      <c r="O110" s="1">
        <f t="shared" si="1"/>
        <v>35</v>
      </c>
      <c r="P110" s="1">
        <v>15.0</v>
      </c>
      <c r="Q110" s="1">
        <f t="shared" si="2"/>
        <v>50</v>
      </c>
      <c r="R110" s="1">
        <v>5.0</v>
      </c>
      <c r="S110" s="1">
        <v>10.0</v>
      </c>
      <c r="T110" s="1">
        <v>10.0</v>
      </c>
      <c r="U110" s="1">
        <v>10.0</v>
      </c>
      <c r="AA110" s="1">
        <f t="shared" si="3"/>
        <v>35</v>
      </c>
      <c r="AB110" s="1">
        <v>15.0</v>
      </c>
      <c r="AC110" s="1">
        <f t="shared" si="4"/>
        <v>50</v>
      </c>
      <c r="AD110" s="1">
        <v>70.0</v>
      </c>
      <c r="AE110" s="1">
        <v>30.0</v>
      </c>
      <c r="AF110" s="1">
        <f t="shared" si="5"/>
        <v>100</v>
      </c>
      <c r="AG110" s="1">
        <v>60.0</v>
      </c>
      <c r="AH110" s="1">
        <v>60.0</v>
      </c>
      <c r="AI110" s="1" t="b">
        <v>1</v>
      </c>
      <c r="AK110" s="1" t="b">
        <v>1</v>
      </c>
    </row>
    <row r="111" ht="15.75" customHeight="1">
      <c r="B111" s="1" t="s">
        <v>279</v>
      </c>
      <c r="C111" s="1" t="s">
        <v>281</v>
      </c>
      <c r="D111" s="1">
        <v>1.0</v>
      </c>
      <c r="E111" s="1" t="s">
        <v>275</v>
      </c>
      <c r="F111" s="1">
        <v>5.0</v>
      </c>
      <c r="G111" s="1">
        <v>10.0</v>
      </c>
      <c r="H111" s="1">
        <v>10.0</v>
      </c>
      <c r="I111" s="1">
        <v>10.0</v>
      </c>
      <c r="O111" s="1">
        <f t="shared" si="1"/>
        <v>35</v>
      </c>
      <c r="P111" s="1">
        <v>15.0</v>
      </c>
      <c r="Q111" s="1">
        <f t="shared" si="2"/>
        <v>50</v>
      </c>
      <c r="R111" s="1">
        <v>5.0</v>
      </c>
      <c r="S111" s="1">
        <v>10.0</v>
      </c>
      <c r="T111" s="1">
        <v>10.0</v>
      </c>
      <c r="U111" s="1">
        <v>10.0</v>
      </c>
      <c r="AA111" s="1">
        <f t="shared" si="3"/>
        <v>35</v>
      </c>
      <c r="AB111" s="1">
        <v>15.0</v>
      </c>
      <c r="AC111" s="1">
        <f t="shared" si="4"/>
        <v>50</v>
      </c>
      <c r="AD111" s="1">
        <v>70.0</v>
      </c>
      <c r="AE111" s="1">
        <v>30.0</v>
      </c>
      <c r="AF111" s="1">
        <f t="shared" si="5"/>
        <v>100</v>
      </c>
      <c r="AG111" s="1">
        <v>60.0</v>
      </c>
      <c r="AH111" s="1">
        <v>60.0</v>
      </c>
      <c r="AI111" s="1" t="b">
        <v>1</v>
      </c>
      <c r="AK111" s="1" t="b">
        <v>1</v>
      </c>
    </row>
    <row r="112" ht="15.75" customHeight="1">
      <c r="B112" s="1" t="s">
        <v>279</v>
      </c>
      <c r="C112" s="1" t="s">
        <v>282</v>
      </c>
      <c r="D112" s="1">
        <v>1.0</v>
      </c>
      <c r="E112" s="1" t="s">
        <v>275</v>
      </c>
      <c r="F112" s="1">
        <v>5.0</v>
      </c>
      <c r="G112" s="1">
        <v>10.0</v>
      </c>
      <c r="H112" s="1">
        <v>10.0</v>
      </c>
      <c r="I112" s="1">
        <v>10.0</v>
      </c>
      <c r="O112" s="1">
        <f t="shared" si="1"/>
        <v>35</v>
      </c>
      <c r="P112" s="1">
        <v>15.0</v>
      </c>
      <c r="Q112" s="1">
        <f t="shared" si="2"/>
        <v>50</v>
      </c>
      <c r="R112" s="1">
        <v>5.0</v>
      </c>
      <c r="S112" s="1">
        <v>10.0</v>
      </c>
      <c r="T112" s="1">
        <v>10.0</v>
      </c>
      <c r="U112" s="1">
        <v>10.0</v>
      </c>
      <c r="AA112" s="1">
        <f t="shared" si="3"/>
        <v>35</v>
      </c>
      <c r="AB112" s="1">
        <v>15.0</v>
      </c>
      <c r="AC112" s="1">
        <f t="shared" si="4"/>
        <v>50</v>
      </c>
      <c r="AD112" s="1">
        <v>70.0</v>
      </c>
      <c r="AE112" s="1">
        <v>30.0</v>
      </c>
      <c r="AF112" s="1">
        <f t="shared" si="5"/>
        <v>100</v>
      </c>
      <c r="AG112" s="1">
        <v>60.0</v>
      </c>
      <c r="AH112" s="1">
        <v>60.0</v>
      </c>
      <c r="AI112" s="1" t="b">
        <v>1</v>
      </c>
      <c r="AK112" s="1" t="b">
        <v>1</v>
      </c>
    </row>
    <row r="113" ht="15.75" customHeight="1">
      <c r="B113" s="1" t="s">
        <v>283</v>
      </c>
      <c r="C113" s="1" t="s">
        <v>284</v>
      </c>
      <c r="D113" s="1">
        <v>1.0</v>
      </c>
      <c r="E113" s="1" t="s">
        <v>285</v>
      </c>
      <c r="F113" s="1">
        <v>5.0</v>
      </c>
      <c r="G113" s="1">
        <v>5.0</v>
      </c>
      <c r="H113" s="1">
        <v>15.0</v>
      </c>
      <c r="I113" s="1">
        <v>10.0</v>
      </c>
      <c r="O113" s="1">
        <f t="shared" si="1"/>
        <v>35</v>
      </c>
      <c r="P113" s="1">
        <v>15.0</v>
      </c>
      <c r="Q113" s="1">
        <f t="shared" si="2"/>
        <v>50</v>
      </c>
      <c r="R113" s="1">
        <v>15.0</v>
      </c>
      <c r="S113" s="1">
        <v>10.0</v>
      </c>
      <c r="T113" s="1">
        <v>10.0</v>
      </c>
      <c r="AA113" s="1">
        <f t="shared" si="3"/>
        <v>35</v>
      </c>
      <c r="AB113" s="1">
        <v>15.0</v>
      </c>
      <c r="AC113" s="1">
        <f t="shared" si="4"/>
        <v>50</v>
      </c>
      <c r="AD113" s="1">
        <v>70.0</v>
      </c>
      <c r="AE113" s="1">
        <v>30.0</v>
      </c>
      <c r="AF113" s="1">
        <f t="shared" si="5"/>
        <v>100</v>
      </c>
      <c r="AG113" s="1">
        <v>60.0</v>
      </c>
      <c r="AH113" s="1">
        <v>60.0</v>
      </c>
      <c r="AI113" s="1" t="b">
        <v>1</v>
      </c>
      <c r="AK113" s="1" t="b">
        <v>1</v>
      </c>
    </row>
    <row r="114" ht="15.75" customHeight="1">
      <c r="A114" s="1" t="s">
        <v>34</v>
      </c>
      <c r="B114" s="1" t="s">
        <v>286</v>
      </c>
      <c r="C114" s="1" t="s">
        <v>287</v>
      </c>
      <c r="D114" s="1">
        <v>0.5</v>
      </c>
      <c r="E114" s="1" t="s">
        <v>37</v>
      </c>
      <c r="F114" s="1">
        <v>10.0</v>
      </c>
      <c r="G114" s="1">
        <v>15.0</v>
      </c>
      <c r="H114" s="1">
        <v>10.0</v>
      </c>
      <c r="O114" s="1">
        <f t="shared" si="1"/>
        <v>35</v>
      </c>
      <c r="P114" s="1">
        <v>15.0</v>
      </c>
      <c r="Q114" s="1">
        <f t="shared" si="2"/>
        <v>50</v>
      </c>
      <c r="R114" s="1">
        <v>10.0</v>
      </c>
      <c r="S114" s="1">
        <v>15.0</v>
      </c>
      <c r="T114" s="1">
        <v>10.0</v>
      </c>
      <c r="AA114" s="1">
        <f t="shared" si="3"/>
        <v>35</v>
      </c>
      <c r="AB114" s="1">
        <v>15.0</v>
      </c>
      <c r="AC114" s="1">
        <f t="shared" si="4"/>
        <v>50</v>
      </c>
      <c r="AD114" s="1">
        <v>70.0</v>
      </c>
      <c r="AE114" s="1">
        <v>30.0</v>
      </c>
      <c r="AF114" s="1">
        <f t="shared" si="5"/>
        <v>100</v>
      </c>
      <c r="AG114" s="1">
        <v>30.0</v>
      </c>
      <c r="AH114" s="1">
        <v>30.0</v>
      </c>
      <c r="AI114" s="1" t="b">
        <v>1</v>
      </c>
      <c r="AK114" s="1" t="b">
        <v>0</v>
      </c>
    </row>
    <row r="115" ht="15.75" customHeight="1">
      <c r="B115" s="1" t="s">
        <v>288</v>
      </c>
      <c r="C115" s="1" t="s">
        <v>289</v>
      </c>
      <c r="D115" s="1">
        <v>0.5</v>
      </c>
      <c r="E115" s="1" t="s">
        <v>37</v>
      </c>
      <c r="F115" s="1">
        <v>10.0</v>
      </c>
      <c r="G115" s="1">
        <v>10.0</v>
      </c>
      <c r="H115" s="1">
        <v>10.0</v>
      </c>
      <c r="I115" s="1">
        <v>10.0</v>
      </c>
      <c r="O115" s="1">
        <f t="shared" si="1"/>
        <v>40</v>
      </c>
      <c r="P115" s="1">
        <v>10.0</v>
      </c>
      <c r="Q115" s="1">
        <f t="shared" si="2"/>
        <v>50</v>
      </c>
      <c r="R115" s="1">
        <v>10.0</v>
      </c>
      <c r="S115" s="1">
        <v>10.0</v>
      </c>
      <c r="T115" s="1">
        <v>10.0</v>
      </c>
      <c r="U115" s="1">
        <v>10.0</v>
      </c>
      <c r="AA115" s="1">
        <f t="shared" si="3"/>
        <v>40</v>
      </c>
      <c r="AB115" s="1">
        <v>10.0</v>
      </c>
      <c r="AC115" s="1">
        <f t="shared" si="4"/>
        <v>50</v>
      </c>
      <c r="AD115" s="1">
        <v>80.0</v>
      </c>
      <c r="AE115" s="1">
        <v>20.0</v>
      </c>
      <c r="AF115" s="1">
        <f t="shared" si="5"/>
        <v>100</v>
      </c>
      <c r="AG115" s="1">
        <v>30.0</v>
      </c>
      <c r="AH115" s="1">
        <v>30.0</v>
      </c>
      <c r="AI115" s="1" t="b">
        <v>1</v>
      </c>
      <c r="AK115" s="1" t="b">
        <v>1</v>
      </c>
    </row>
    <row r="116" ht="15.75" customHeight="1">
      <c r="B116" s="1" t="s">
        <v>290</v>
      </c>
      <c r="C116" s="1" t="s">
        <v>291</v>
      </c>
      <c r="D116" s="1">
        <v>1.0</v>
      </c>
      <c r="E116" s="1" t="s">
        <v>292</v>
      </c>
      <c r="F116" s="1">
        <v>10.0</v>
      </c>
      <c r="G116" s="1">
        <v>10.0</v>
      </c>
      <c r="H116" s="1">
        <v>10.0</v>
      </c>
      <c r="I116" s="1">
        <v>10.0</v>
      </c>
      <c r="O116" s="1">
        <f t="shared" si="1"/>
        <v>40</v>
      </c>
      <c r="P116" s="1">
        <v>10.0</v>
      </c>
      <c r="Q116" s="1">
        <f t="shared" si="2"/>
        <v>50</v>
      </c>
      <c r="R116" s="1">
        <v>10.0</v>
      </c>
      <c r="S116" s="1">
        <v>10.0</v>
      </c>
      <c r="T116" s="1">
        <v>10.0</v>
      </c>
      <c r="U116" s="1">
        <v>10.0</v>
      </c>
      <c r="AA116" s="1">
        <f t="shared" si="3"/>
        <v>40</v>
      </c>
      <c r="AB116" s="1">
        <v>10.0</v>
      </c>
      <c r="AC116" s="1">
        <f t="shared" si="4"/>
        <v>50</v>
      </c>
      <c r="AD116" s="1">
        <v>80.0</v>
      </c>
      <c r="AE116" s="1">
        <v>20.0</v>
      </c>
      <c r="AF116" s="1">
        <f t="shared" si="5"/>
        <v>100</v>
      </c>
      <c r="AG116" s="1">
        <v>30.0</v>
      </c>
      <c r="AH116" s="1">
        <v>30.0</v>
      </c>
      <c r="AI116" s="1" t="b">
        <v>1</v>
      </c>
      <c r="AK116" s="1" t="b">
        <v>1</v>
      </c>
    </row>
    <row r="117" ht="15.75" customHeight="1">
      <c r="A117" s="1" t="s">
        <v>38</v>
      </c>
      <c r="B117" s="1" t="s">
        <v>293</v>
      </c>
      <c r="C117" s="1" t="s">
        <v>294</v>
      </c>
      <c r="D117" s="1">
        <v>0.5</v>
      </c>
      <c r="E117" s="1" t="s">
        <v>41</v>
      </c>
      <c r="F117" s="1">
        <v>15.0</v>
      </c>
      <c r="G117" s="1">
        <v>10.0</v>
      </c>
      <c r="H117" s="1">
        <v>10.0</v>
      </c>
      <c r="O117" s="1">
        <f t="shared" si="1"/>
        <v>35</v>
      </c>
      <c r="P117" s="1">
        <v>15.0</v>
      </c>
      <c r="Q117" s="1">
        <f t="shared" si="2"/>
        <v>50</v>
      </c>
      <c r="R117" s="1">
        <v>15.0</v>
      </c>
      <c r="S117" s="1">
        <v>10.0</v>
      </c>
      <c r="T117" s="1">
        <v>10.0</v>
      </c>
      <c r="AA117" s="1">
        <f t="shared" si="3"/>
        <v>35</v>
      </c>
      <c r="AB117" s="1">
        <v>15.0</v>
      </c>
      <c r="AC117" s="1">
        <f t="shared" si="4"/>
        <v>50</v>
      </c>
      <c r="AD117" s="1">
        <v>70.0</v>
      </c>
      <c r="AE117" s="1">
        <v>30.0</v>
      </c>
      <c r="AF117" s="1">
        <f t="shared" si="5"/>
        <v>100</v>
      </c>
      <c r="AG117" s="1">
        <v>30.0</v>
      </c>
      <c r="AH117" s="1">
        <v>30.0</v>
      </c>
      <c r="AI117" s="1" t="b">
        <v>1</v>
      </c>
      <c r="AK117" s="1" t="b">
        <v>1</v>
      </c>
    </row>
    <row r="118" ht="15.75" customHeight="1">
      <c r="B118" s="1" t="s">
        <v>295</v>
      </c>
      <c r="C118" s="1" t="s">
        <v>296</v>
      </c>
      <c r="D118" s="1">
        <v>0.5</v>
      </c>
      <c r="E118" s="1" t="s">
        <v>41</v>
      </c>
      <c r="F118" s="1">
        <v>10.0</v>
      </c>
      <c r="G118" s="1">
        <v>10.0</v>
      </c>
      <c r="H118" s="1">
        <v>10.0</v>
      </c>
      <c r="I118" s="1">
        <v>10.0</v>
      </c>
      <c r="O118" s="1">
        <f t="shared" si="1"/>
        <v>40</v>
      </c>
      <c r="P118" s="1">
        <v>10.0</v>
      </c>
      <c r="Q118" s="1">
        <f t="shared" si="2"/>
        <v>50</v>
      </c>
      <c r="R118" s="1">
        <v>10.0</v>
      </c>
      <c r="S118" s="1">
        <v>10.0</v>
      </c>
      <c r="T118" s="1">
        <v>10.0</v>
      </c>
      <c r="U118" s="1">
        <v>10.0</v>
      </c>
      <c r="AA118" s="1">
        <f t="shared" si="3"/>
        <v>40</v>
      </c>
      <c r="AB118" s="1">
        <v>10.0</v>
      </c>
      <c r="AC118" s="1">
        <f t="shared" si="4"/>
        <v>50</v>
      </c>
      <c r="AD118" s="1">
        <v>80.0</v>
      </c>
      <c r="AE118" s="1">
        <v>20.0</v>
      </c>
      <c r="AF118" s="1">
        <f t="shared" si="5"/>
        <v>100</v>
      </c>
      <c r="AG118" s="1">
        <v>30.0</v>
      </c>
      <c r="AH118" s="1">
        <v>30.0</v>
      </c>
      <c r="AI118" s="1" t="b">
        <v>1</v>
      </c>
      <c r="AK118" s="1" t="b">
        <v>1</v>
      </c>
    </row>
    <row r="119" ht="15.75" customHeight="1">
      <c r="B119" s="1" t="s">
        <v>297</v>
      </c>
      <c r="C119" s="1" t="s">
        <v>298</v>
      </c>
      <c r="D119" s="1">
        <v>1.0</v>
      </c>
      <c r="E119" s="1" t="s">
        <v>299</v>
      </c>
      <c r="F119" s="1">
        <v>10.0</v>
      </c>
      <c r="G119" s="1">
        <v>10.0</v>
      </c>
      <c r="H119" s="1">
        <v>10.0</v>
      </c>
      <c r="I119" s="1">
        <v>10.0</v>
      </c>
      <c r="O119" s="1">
        <f t="shared" si="1"/>
        <v>40</v>
      </c>
      <c r="P119" s="1">
        <v>10.0</v>
      </c>
      <c r="Q119" s="1">
        <f t="shared" si="2"/>
        <v>50</v>
      </c>
      <c r="R119" s="1">
        <v>10.0</v>
      </c>
      <c r="S119" s="1">
        <v>10.0</v>
      </c>
      <c r="T119" s="1">
        <v>10.0</v>
      </c>
      <c r="U119" s="1">
        <v>10.0</v>
      </c>
      <c r="AA119" s="1">
        <f t="shared" si="3"/>
        <v>40</v>
      </c>
      <c r="AB119" s="1">
        <v>10.0</v>
      </c>
      <c r="AC119" s="1">
        <f t="shared" si="4"/>
        <v>50</v>
      </c>
      <c r="AD119" s="1">
        <v>80.0</v>
      </c>
      <c r="AE119" s="1">
        <v>20.0</v>
      </c>
      <c r="AF119" s="1">
        <f t="shared" si="5"/>
        <v>100</v>
      </c>
      <c r="AG119" s="1">
        <v>30.0</v>
      </c>
      <c r="AH119" s="1">
        <v>30.0</v>
      </c>
      <c r="AI119" s="1" t="b">
        <v>1</v>
      </c>
      <c r="AK119" s="1" t="b">
        <v>1</v>
      </c>
    </row>
    <row r="120" ht="15.75" customHeight="1">
      <c r="A120" s="1" t="s">
        <v>42</v>
      </c>
      <c r="B120" s="1" t="s">
        <v>300</v>
      </c>
      <c r="C120" s="1" t="s">
        <v>301</v>
      </c>
      <c r="D120" s="1">
        <v>0.5</v>
      </c>
      <c r="E120" s="1" t="s">
        <v>45</v>
      </c>
      <c r="F120" s="1">
        <v>10.0</v>
      </c>
      <c r="G120" s="1">
        <v>10.0</v>
      </c>
      <c r="H120" s="1">
        <v>15.0</v>
      </c>
      <c r="O120" s="1">
        <f t="shared" si="1"/>
        <v>35</v>
      </c>
      <c r="P120" s="1">
        <v>15.0</v>
      </c>
      <c r="Q120" s="1">
        <f t="shared" si="2"/>
        <v>50</v>
      </c>
      <c r="R120" s="1">
        <v>5.0</v>
      </c>
      <c r="S120" s="1">
        <v>10.0</v>
      </c>
      <c r="T120" s="1">
        <v>10.0</v>
      </c>
      <c r="U120" s="1">
        <v>10.0</v>
      </c>
      <c r="AA120" s="1">
        <f t="shared" si="3"/>
        <v>35</v>
      </c>
      <c r="AB120" s="1">
        <v>15.0</v>
      </c>
      <c r="AC120" s="1">
        <f t="shared" si="4"/>
        <v>50</v>
      </c>
      <c r="AD120" s="1">
        <v>70.0</v>
      </c>
      <c r="AE120" s="1">
        <v>30.0</v>
      </c>
      <c r="AF120" s="1">
        <f t="shared" si="5"/>
        <v>100</v>
      </c>
      <c r="AG120" s="1">
        <v>30.0</v>
      </c>
      <c r="AH120" s="1">
        <v>30.0</v>
      </c>
      <c r="AI120" s="1" t="b">
        <v>1</v>
      </c>
      <c r="AK120" s="1" t="b">
        <v>1</v>
      </c>
    </row>
    <row r="121" ht="15.75" customHeight="1">
      <c r="B121" s="1" t="s">
        <v>302</v>
      </c>
      <c r="C121" s="1" t="s">
        <v>303</v>
      </c>
      <c r="D121" s="1">
        <v>0.5</v>
      </c>
      <c r="E121" s="1" t="s">
        <v>45</v>
      </c>
      <c r="F121" s="1">
        <v>5.0</v>
      </c>
      <c r="G121" s="1">
        <v>15.0</v>
      </c>
      <c r="H121" s="1">
        <v>15.0</v>
      </c>
      <c r="I121" s="1">
        <v>5.0</v>
      </c>
      <c r="O121" s="1">
        <f t="shared" si="1"/>
        <v>40</v>
      </c>
      <c r="P121" s="1">
        <v>10.0</v>
      </c>
      <c r="Q121" s="1">
        <f t="shared" si="2"/>
        <v>50</v>
      </c>
      <c r="R121" s="1">
        <v>15.0</v>
      </c>
      <c r="S121" s="1">
        <v>15.0</v>
      </c>
      <c r="T121" s="1">
        <v>5.0</v>
      </c>
      <c r="U121" s="1">
        <v>5.0</v>
      </c>
      <c r="AA121" s="1">
        <f t="shared" si="3"/>
        <v>40</v>
      </c>
      <c r="AB121" s="1">
        <v>10.0</v>
      </c>
      <c r="AC121" s="1">
        <f t="shared" si="4"/>
        <v>50</v>
      </c>
      <c r="AD121" s="1">
        <v>80.0</v>
      </c>
      <c r="AE121" s="1">
        <v>20.0</v>
      </c>
      <c r="AF121" s="1">
        <f t="shared" si="5"/>
        <v>100</v>
      </c>
      <c r="AG121" s="1">
        <v>30.0</v>
      </c>
      <c r="AH121" s="1">
        <v>30.0</v>
      </c>
      <c r="AI121" s="1" t="b">
        <v>1</v>
      </c>
      <c r="AK121" s="1" t="b">
        <v>1</v>
      </c>
    </row>
    <row r="122" ht="15.75" customHeight="1">
      <c r="B122" s="1" t="s">
        <v>304</v>
      </c>
      <c r="C122" s="1" t="s">
        <v>305</v>
      </c>
      <c r="D122" s="1">
        <v>1.0</v>
      </c>
      <c r="E122" s="1" t="s">
        <v>306</v>
      </c>
      <c r="F122" s="1">
        <v>5.0</v>
      </c>
      <c r="G122" s="1">
        <v>15.0</v>
      </c>
      <c r="H122" s="1">
        <v>15.0</v>
      </c>
      <c r="I122" s="1">
        <v>5.0</v>
      </c>
      <c r="O122" s="1">
        <f t="shared" si="1"/>
        <v>40</v>
      </c>
      <c r="P122" s="1">
        <v>10.0</v>
      </c>
      <c r="Q122" s="1">
        <f t="shared" si="2"/>
        <v>50</v>
      </c>
      <c r="R122" s="1">
        <v>15.0</v>
      </c>
      <c r="S122" s="1">
        <v>10.0</v>
      </c>
      <c r="T122" s="1">
        <v>10.0</v>
      </c>
      <c r="U122" s="1">
        <v>5.0</v>
      </c>
      <c r="AA122" s="1">
        <f t="shared" si="3"/>
        <v>40</v>
      </c>
      <c r="AB122" s="1">
        <v>10.0</v>
      </c>
      <c r="AC122" s="1">
        <f t="shared" si="4"/>
        <v>50</v>
      </c>
      <c r="AD122" s="1">
        <v>80.0</v>
      </c>
      <c r="AE122" s="1">
        <v>20.0</v>
      </c>
      <c r="AF122" s="1">
        <f t="shared" si="5"/>
        <v>100</v>
      </c>
      <c r="AG122" s="1">
        <v>30.0</v>
      </c>
      <c r="AH122" s="1">
        <v>30.0</v>
      </c>
      <c r="AI122" s="1" t="b">
        <v>1</v>
      </c>
      <c r="AK122" s="1" t="b">
        <v>1</v>
      </c>
    </row>
    <row r="123" ht="15.75" customHeight="1">
      <c r="A123" s="1" t="s">
        <v>46</v>
      </c>
      <c r="B123" s="1" t="s">
        <v>307</v>
      </c>
      <c r="C123" s="1" t="s">
        <v>308</v>
      </c>
      <c r="D123" s="1">
        <v>0.5</v>
      </c>
      <c r="E123" s="1" t="s">
        <v>48</v>
      </c>
      <c r="F123" s="1">
        <v>15.0</v>
      </c>
      <c r="G123" s="1">
        <v>10.0</v>
      </c>
      <c r="H123" s="1">
        <v>10.0</v>
      </c>
      <c r="O123" s="1">
        <f t="shared" si="1"/>
        <v>35</v>
      </c>
      <c r="P123" s="1">
        <v>15.0</v>
      </c>
      <c r="Q123" s="1">
        <f t="shared" si="2"/>
        <v>50</v>
      </c>
      <c r="R123" s="1">
        <v>5.0</v>
      </c>
      <c r="S123" s="1">
        <v>10.0</v>
      </c>
      <c r="T123" s="1">
        <v>10.0</v>
      </c>
      <c r="U123" s="1">
        <v>10.0</v>
      </c>
      <c r="AA123" s="1">
        <f t="shared" si="3"/>
        <v>35</v>
      </c>
      <c r="AB123" s="1">
        <v>15.0</v>
      </c>
      <c r="AC123" s="1">
        <f t="shared" si="4"/>
        <v>50</v>
      </c>
      <c r="AD123" s="1">
        <v>70.0</v>
      </c>
      <c r="AE123" s="1">
        <v>30.0</v>
      </c>
      <c r="AF123" s="1">
        <f t="shared" si="5"/>
        <v>100</v>
      </c>
      <c r="AG123" s="1">
        <v>40.0</v>
      </c>
      <c r="AH123" s="1">
        <v>40.0</v>
      </c>
      <c r="AI123" s="1" t="b">
        <v>1</v>
      </c>
      <c r="AK123" s="1" t="b">
        <v>1</v>
      </c>
    </row>
    <row r="124" ht="15.75" customHeight="1">
      <c r="B124" s="1" t="s">
        <v>309</v>
      </c>
      <c r="C124" s="1" t="s">
        <v>310</v>
      </c>
      <c r="D124" s="1">
        <v>0.5</v>
      </c>
      <c r="E124" s="1" t="s">
        <v>103</v>
      </c>
      <c r="F124" s="1">
        <v>10.0</v>
      </c>
      <c r="G124" s="1">
        <v>15.0</v>
      </c>
      <c r="H124" s="1">
        <v>15.0</v>
      </c>
      <c r="O124" s="1">
        <f t="shared" si="1"/>
        <v>40</v>
      </c>
      <c r="P124" s="1">
        <v>10.0</v>
      </c>
      <c r="Q124" s="1">
        <f t="shared" si="2"/>
        <v>50</v>
      </c>
      <c r="R124" s="1">
        <v>15.0</v>
      </c>
      <c r="S124" s="1">
        <v>10.0</v>
      </c>
      <c r="T124" s="1">
        <v>10.0</v>
      </c>
      <c r="U124" s="1">
        <v>5.0</v>
      </c>
      <c r="AA124" s="1">
        <f t="shared" si="3"/>
        <v>40</v>
      </c>
      <c r="AB124" s="1">
        <v>10.0</v>
      </c>
      <c r="AC124" s="1">
        <f t="shared" si="4"/>
        <v>50</v>
      </c>
      <c r="AD124" s="1">
        <v>80.0</v>
      </c>
      <c r="AE124" s="1">
        <v>20.0</v>
      </c>
      <c r="AF124" s="1">
        <f t="shared" si="5"/>
        <v>100</v>
      </c>
      <c r="AG124" s="1">
        <v>30.0</v>
      </c>
      <c r="AH124" s="1">
        <v>30.0</v>
      </c>
      <c r="AI124" s="1" t="b">
        <v>1</v>
      </c>
      <c r="AK124" s="1" t="b">
        <v>0</v>
      </c>
    </row>
    <row r="125" ht="15.75" customHeight="1">
      <c r="A125" s="1" t="s">
        <v>54</v>
      </c>
      <c r="B125" s="1" t="s">
        <v>311</v>
      </c>
      <c r="C125" s="1" t="s">
        <v>312</v>
      </c>
      <c r="D125" s="1">
        <v>0.5</v>
      </c>
      <c r="E125" s="1" t="s">
        <v>56</v>
      </c>
      <c r="F125" s="1">
        <v>15.0</v>
      </c>
      <c r="G125" s="1">
        <v>10.0</v>
      </c>
      <c r="H125" s="1">
        <v>10.0</v>
      </c>
      <c r="O125" s="1">
        <f t="shared" si="1"/>
        <v>35</v>
      </c>
      <c r="P125" s="1">
        <v>15.0</v>
      </c>
      <c r="Q125" s="1">
        <f t="shared" si="2"/>
        <v>50</v>
      </c>
      <c r="R125" s="1">
        <v>15.0</v>
      </c>
      <c r="S125" s="1">
        <v>15.0</v>
      </c>
      <c r="T125" s="1">
        <v>5.0</v>
      </c>
      <c r="AA125" s="1">
        <f t="shared" si="3"/>
        <v>35</v>
      </c>
      <c r="AB125" s="1">
        <v>15.0</v>
      </c>
      <c r="AC125" s="1">
        <f t="shared" si="4"/>
        <v>50</v>
      </c>
      <c r="AD125" s="1">
        <v>70.0</v>
      </c>
      <c r="AE125" s="1">
        <v>30.0</v>
      </c>
      <c r="AF125" s="1">
        <f t="shared" si="5"/>
        <v>100</v>
      </c>
      <c r="AG125" s="1">
        <v>30.0</v>
      </c>
      <c r="AH125" s="1">
        <v>30.0</v>
      </c>
      <c r="AI125" s="1" t="b">
        <v>1</v>
      </c>
      <c r="AK125" s="1" t="b">
        <v>1</v>
      </c>
    </row>
    <row r="126" ht="15.75" customHeight="1">
      <c r="B126" s="1" t="s">
        <v>313</v>
      </c>
      <c r="C126" s="1" t="s">
        <v>314</v>
      </c>
      <c r="D126" s="1">
        <v>0.5</v>
      </c>
      <c r="E126" s="1" t="s">
        <v>112</v>
      </c>
      <c r="F126" s="1">
        <v>10.0</v>
      </c>
      <c r="G126" s="1">
        <v>10.0</v>
      </c>
      <c r="H126" s="1">
        <v>10.0</v>
      </c>
      <c r="I126" s="1">
        <v>10.0</v>
      </c>
      <c r="O126" s="1">
        <f t="shared" si="1"/>
        <v>40</v>
      </c>
      <c r="P126" s="1">
        <v>10.0</v>
      </c>
      <c r="Q126" s="1">
        <f t="shared" si="2"/>
        <v>50</v>
      </c>
      <c r="R126" s="1">
        <v>10.0</v>
      </c>
      <c r="S126" s="1">
        <v>10.0</v>
      </c>
      <c r="T126" s="1">
        <v>10.0</v>
      </c>
      <c r="U126" s="1">
        <v>10.0</v>
      </c>
      <c r="AA126" s="1">
        <f t="shared" si="3"/>
        <v>40</v>
      </c>
      <c r="AB126" s="1">
        <v>10.0</v>
      </c>
      <c r="AC126" s="1">
        <f t="shared" si="4"/>
        <v>50</v>
      </c>
      <c r="AD126" s="1">
        <v>80.0</v>
      </c>
      <c r="AE126" s="1">
        <v>20.0</v>
      </c>
      <c r="AF126" s="1">
        <f t="shared" si="5"/>
        <v>100</v>
      </c>
      <c r="AG126" s="1">
        <v>40.0</v>
      </c>
      <c r="AH126" s="1">
        <v>40.0</v>
      </c>
      <c r="AI126" s="1" t="b">
        <v>1</v>
      </c>
      <c r="AK126" s="1" t="b">
        <v>1</v>
      </c>
    </row>
    <row r="127" ht="15.75" customHeight="1">
      <c r="A127" s="1" t="s">
        <v>62</v>
      </c>
      <c r="B127" s="1" t="s">
        <v>315</v>
      </c>
      <c r="C127" s="1" t="s">
        <v>316</v>
      </c>
      <c r="D127" s="1">
        <v>0.5</v>
      </c>
      <c r="E127" s="1" t="s">
        <v>64</v>
      </c>
      <c r="F127" s="1">
        <v>10.0</v>
      </c>
      <c r="G127" s="1">
        <v>15.0</v>
      </c>
      <c r="H127" s="1">
        <v>10.0</v>
      </c>
      <c r="O127" s="1">
        <f t="shared" si="1"/>
        <v>35</v>
      </c>
      <c r="P127" s="1">
        <v>15.0</v>
      </c>
      <c r="Q127" s="1">
        <f t="shared" si="2"/>
        <v>50</v>
      </c>
      <c r="R127" s="1">
        <v>10.0</v>
      </c>
      <c r="S127" s="1">
        <v>10.0</v>
      </c>
      <c r="T127" s="1">
        <v>15.0</v>
      </c>
      <c r="AA127" s="1">
        <f t="shared" si="3"/>
        <v>35</v>
      </c>
      <c r="AB127" s="1">
        <v>15.0</v>
      </c>
      <c r="AC127" s="1">
        <f t="shared" si="4"/>
        <v>50</v>
      </c>
      <c r="AD127" s="1">
        <v>70.0</v>
      </c>
      <c r="AE127" s="1">
        <v>30.0</v>
      </c>
      <c r="AF127" s="1">
        <f t="shared" si="5"/>
        <v>100</v>
      </c>
      <c r="AG127" s="1">
        <v>40.0</v>
      </c>
      <c r="AH127" s="1">
        <v>40.0</v>
      </c>
      <c r="AI127" s="1" t="b">
        <v>1</v>
      </c>
      <c r="AK127" s="1" t="b">
        <v>1</v>
      </c>
    </row>
    <row r="128" ht="15.75" customHeight="1">
      <c r="B128" s="1" t="s">
        <v>317</v>
      </c>
      <c r="C128" s="1" t="s">
        <v>318</v>
      </c>
      <c r="D128" s="1">
        <v>0.5</v>
      </c>
      <c r="E128" s="1" t="s">
        <v>121</v>
      </c>
      <c r="F128" s="1">
        <v>10.0</v>
      </c>
      <c r="G128" s="1">
        <v>15.0</v>
      </c>
      <c r="H128" s="1">
        <v>15.0</v>
      </c>
      <c r="O128" s="1">
        <f t="shared" si="1"/>
        <v>40</v>
      </c>
      <c r="P128" s="1">
        <v>10.0</v>
      </c>
      <c r="Q128" s="1">
        <f t="shared" si="2"/>
        <v>50</v>
      </c>
      <c r="R128" s="1">
        <v>15.0</v>
      </c>
      <c r="S128" s="1">
        <v>10.0</v>
      </c>
      <c r="T128" s="1">
        <v>15.0</v>
      </c>
      <c r="AA128" s="1">
        <f t="shared" si="3"/>
        <v>40</v>
      </c>
      <c r="AB128" s="1">
        <v>10.0</v>
      </c>
      <c r="AC128" s="1">
        <f t="shared" si="4"/>
        <v>50</v>
      </c>
      <c r="AD128" s="1">
        <v>80.0</v>
      </c>
      <c r="AE128" s="1">
        <v>20.0</v>
      </c>
      <c r="AF128" s="1">
        <f t="shared" si="5"/>
        <v>100</v>
      </c>
      <c r="AG128" s="1">
        <v>30.0</v>
      </c>
      <c r="AH128" s="1">
        <v>30.0</v>
      </c>
      <c r="AI128" s="1" t="b">
        <v>1</v>
      </c>
      <c r="AK128" s="1" t="b">
        <v>1</v>
      </c>
    </row>
    <row r="129" ht="15.75" customHeight="1">
      <c r="A129" s="1" t="s">
        <v>34</v>
      </c>
      <c r="B129" s="1" t="s">
        <v>319</v>
      </c>
      <c r="C129" s="1" t="s">
        <v>320</v>
      </c>
      <c r="D129" s="1">
        <v>1.0</v>
      </c>
      <c r="E129" s="1" t="s">
        <v>37</v>
      </c>
      <c r="F129" s="1">
        <v>10.0</v>
      </c>
      <c r="G129" s="1">
        <v>10.0</v>
      </c>
      <c r="H129" s="1">
        <v>15.0</v>
      </c>
      <c r="I129" s="1">
        <v>5.0</v>
      </c>
      <c r="O129" s="1">
        <f t="shared" si="1"/>
        <v>40</v>
      </c>
      <c r="P129" s="1">
        <v>10.0</v>
      </c>
      <c r="Q129" s="1">
        <f t="shared" si="2"/>
        <v>50</v>
      </c>
      <c r="R129" s="1">
        <v>10.0</v>
      </c>
      <c r="S129" s="1">
        <v>10.0</v>
      </c>
      <c r="T129" s="1">
        <v>5.0</v>
      </c>
      <c r="U129" s="1">
        <v>5.0</v>
      </c>
      <c r="V129" s="1">
        <v>10.0</v>
      </c>
      <c r="AA129" s="1">
        <f t="shared" si="3"/>
        <v>40</v>
      </c>
      <c r="AB129" s="1">
        <v>10.0</v>
      </c>
      <c r="AC129" s="1">
        <f t="shared" si="4"/>
        <v>50</v>
      </c>
      <c r="AD129" s="1">
        <v>80.0</v>
      </c>
      <c r="AE129" s="1">
        <v>20.0</v>
      </c>
      <c r="AF129" s="1">
        <f t="shared" si="5"/>
        <v>100</v>
      </c>
      <c r="AG129" s="1">
        <v>30.0</v>
      </c>
      <c r="AH129" s="1">
        <v>30.0</v>
      </c>
      <c r="AI129" s="1" t="b">
        <v>1</v>
      </c>
      <c r="AK129" s="1" t="b">
        <v>1</v>
      </c>
    </row>
    <row r="130" ht="15.75" customHeight="1">
      <c r="B130" s="1" t="s">
        <v>321</v>
      </c>
      <c r="C130" s="1" t="s">
        <v>322</v>
      </c>
      <c r="D130" s="1">
        <v>1.0</v>
      </c>
      <c r="E130" s="1" t="s">
        <v>292</v>
      </c>
      <c r="F130" s="1">
        <v>10.0</v>
      </c>
      <c r="G130" s="1">
        <v>10.0</v>
      </c>
      <c r="H130" s="1">
        <v>10.0</v>
      </c>
      <c r="I130" s="1">
        <v>10.0</v>
      </c>
      <c r="O130" s="1">
        <f t="shared" si="1"/>
        <v>40</v>
      </c>
      <c r="P130" s="1">
        <v>10.0</v>
      </c>
      <c r="Q130" s="1">
        <f t="shared" si="2"/>
        <v>50</v>
      </c>
      <c r="R130" s="1">
        <v>5.0</v>
      </c>
      <c r="S130" s="1">
        <v>5.0</v>
      </c>
      <c r="T130" s="1">
        <v>15.0</v>
      </c>
      <c r="U130" s="1">
        <v>15.0</v>
      </c>
      <c r="AA130" s="1">
        <f t="shared" si="3"/>
        <v>40</v>
      </c>
      <c r="AB130" s="1">
        <v>10.0</v>
      </c>
      <c r="AC130" s="1">
        <f t="shared" si="4"/>
        <v>50</v>
      </c>
      <c r="AD130" s="1">
        <v>80.0</v>
      </c>
      <c r="AE130" s="1">
        <v>20.0</v>
      </c>
      <c r="AF130" s="1">
        <f t="shared" si="5"/>
        <v>100</v>
      </c>
      <c r="AG130" s="1">
        <v>30.0</v>
      </c>
      <c r="AH130" s="1">
        <v>30.0</v>
      </c>
      <c r="AI130" s="1" t="b">
        <v>1</v>
      </c>
      <c r="AK130" s="1" t="b">
        <v>1</v>
      </c>
    </row>
    <row r="131" ht="15.75" customHeight="1">
      <c r="A131" s="1" t="s">
        <v>38</v>
      </c>
      <c r="B131" s="1" t="s">
        <v>323</v>
      </c>
      <c r="C131" s="1" t="s">
        <v>324</v>
      </c>
      <c r="D131" s="1">
        <v>1.0</v>
      </c>
      <c r="E131" s="1" t="s">
        <v>41</v>
      </c>
      <c r="F131" s="1">
        <v>15.0</v>
      </c>
      <c r="G131" s="1">
        <v>15.0</v>
      </c>
      <c r="H131" s="1">
        <v>10.0</v>
      </c>
      <c r="O131" s="1">
        <f t="shared" si="1"/>
        <v>40</v>
      </c>
      <c r="P131" s="1">
        <v>10.0</v>
      </c>
      <c r="Q131" s="1">
        <f t="shared" si="2"/>
        <v>50</v>
      </c>
      <c r="R131" s="1">
        <v>15.0</v>
      </c>
      <c r="S131" s="1">
        <v>15.0</v>
      </c>
      <c r="T131" s="1">
        <v>10.0</v>
      </c>
      <c r="AA131" s="1">
        <f t="shared" si="3"/>
        <v>40</v>
      </c>
      <c r="AB131" s="1">
        <v>10.0</v>
      </c>
      <c r="AC131" s="1">
        <f t="shared" si="4"/>
        <v>50</v>
      </c>
      <c r="AD131" s="1">
        <v>80.0</v>
      </c>
      <c r="AE131" s="1">
        <v>20.0</v>
      </c>
      <c r="AF131" s="1">
        <f t="shared" si="5"/>
        <v>100</v>
      </c>
      <c r="AG131" s="1">
        <v>40.0</v>
      </c>
      <c r="AH131" s="1">
        <v>40.0</v>
      </c>
      <c r="AI131" s="1" t="b">
        <v>1</v>
      </c>
      <c r="AK131" s="1" t="b">
        <v>1</v>
      </c>
    </row>
    <row r="132" ht="15.75" customHeight="1">
      <c r="B132" s="1" t="s">
        <v>325</v>
      </c>
      <c r="C132" s="1" t="s">
        <v>326</v>
      </c>
      <c r="D132" s="1">
        <v>1.0</v>
      </c>
      <c r="E132" s="1" t="s">
        <v>299</v>
      </c>
      <c r="F132" s="1">
        <v>15.0</v>
      </c>
      <c r="G132" s="1">
        <v>10.0</v>
      </c>
      <c r="H132" s="1">
        <v>15.0</v>
      </c>
      <c r="O132" s="1">
        <f t="shared" si="1"/>
        <v>40</v>
      </c>
      <c r="P132" s="1">
        <v>10.0</v>
      </c>
      <c r="Q132" s="1">
        <f t="shared" si="2"/>
        <v>50</v>
      </c>
      <c r="R132" s="1">
        <v>10.0</v>
      </c>
      <c r="S132" s="1">
        <v>10.0</v>
      </c>
      <c r="T132" s="1">
        <v>10.0</v>
      </c>
      <c r="U132" s="1">
        <v>10.0</v>
      </c>
      <c r="AA132" s="1">
        <f t="shared" si="3"/>
        <v>40</v>
      </c>
      <c r="AB132" s="1">
        <v>10.0</v>
      </c>
      <c r="AC132" s="1">
        <f t="shared" si="4"/>
        <v>50</v>
      </c>
      <c r="AD132" s="1">
        <v>80.0</v>
      </c>
      <c r="AE132" s="1">
        <v>20.0</v>
      </c>
      <c r="AF132" s="1">
        <f t="shared" si="5"/>
        <v>100</v>
      </c>
      <c r="AG132" s="1">
        <v>30.0</v>
      </c>
      <c r="AH132" s="1">
        <v>30.0</v>
      </c>
      <c r="AI132" s="1" t="b">
        <v>1</v>
      </c>
      <c r="AK132" s="1" t="b">
        <v>1</v>
      </c>
    </row>
    <row r="133" ht="15.75" customHeight="1">
      <c r="B133" s="1" t="s">
        <v>327</v>
      </c>
      <c r="C133" s="1" t="s">
        <v>328</v>
      </c>
      <c r="D133" s="1">
        <v>1.0</v>
      </c>
      <c r="E133" s="1" t="s">
        <v>299</v>
      </c>
      <c r="F133" s="1">
        <v>10.0</v>
      </c>
      <c r="G133" s="1">
        <v>10.0</v>
      </c>
      <c r="H133" s="1">
        <v>10.0</v>
      </c>
      <c r="I133" s="1">
        <v>10.0</v>
      </c>
      <c r="O133" s="1">
        <f t="shared" si="1"/>
        <v>40</v>
      </c>
      <c r="P133" s="1">
        <v>10.0</v>
      </c>
      <c r="Q133" s="1">
        <f t="shared" si="2"/>
        <v>50</v>
      </c>
      <c r="R133" s="1">
        <v>5.0</v>
      </c>
      <c r="S133" s="1">
        <v>5.0</v>
      </c>
      <c r="T133" s="1">
        <v>15.0</v>
      </c>
      <c r="U133" s="1">
        <v>15.0</v>
      </c>
      <c r="AA133" s="1">
        <f t="shared" si="3"/>
        <v>40</v>
      </c>
      <c r="AB133" s="1">
        <v>10.0</v>
      </c>
      <c r="AC133" s="1">
        <f t="shared" si="4"/>
        <v>50</v>
      </c>
      <c r="AD133" s="1">
        <v>80.0</v>
      </c>
      <c r="AE133" s="1">
        <v>20.0</v>
      </c>
      <c r="AF133" s="1">
        <f t="shared" si="5"/>
        <v>100</v>
      </c>
      <c r="AG133" s="1">
        <v>30.0</v>
      </c>
      <c r="AH133" s="1">
        <v>30.0</v>
      </c>
      <c r="AI133" s="1" t="b">
        <v>1</v>
      </c>
      <c r="AK133" s="1" t="b">
        <v>1</v>
      </c>
    </row>
    <row r="134" ht="15.75" customHeight="1">
      <c r="A134" s="1" t="s">
        <v>42</v>
      </c>
      <c r="B134" s="1" t="s">
        <v>329</v>
      </c>
      <c r="C134" s="1" t="s">
        <v>330</v>
      </c>
      <c r="D134" s="1">
        <v>1.0</v>
      </c>
      <c r="E134" s="1" t="s">
        <v>45</v>
      </c>
      <c r="F134" s="1">
        <v>10.0</v>
      </c>
      <c r="G134" s="1">
        <v>15.0</v>
      </c>
      <c r="H134" s="1">
        <v>15.0</v>
      </c>
      <c r="O134" s="1">
        <f t="shared" si="1"/>
        <v>40</v>
      </c>
      <c r="P134" s="1">
        <v>10.0</v>
      </c>
      <c r="Q134" s="1">
        <f t="shared" si="2"/>
        <v>50</v>
      </c>
      <c r="R134" s="1">
        <v>10.0</v>
      </c>
      <c r="S134" s="1">
        <v>10.0</v>
      </c>
      <c r="T134" s="1">
        <v>15.0</v>
      </c>
      <c r="U134" s="1">
        <v>5.0</v>
      </c>
      <c r="AA134" s="1">
        <f t="shared" si="3"/>
        <v>40</v>
      </c>
      <c r="AB134" s="1">
        <v>10.0</v>
      </c>
      <c r="AC134" s="1">
        <f t="shared" si="4"/>
        <v>50</v>
      </c>
      <c r="AD134" s="1">
        <v>80.0</v>
      </c>
      <c r="AE134" s="1">
        <v>20.0</v>
      </c>
      <c r="AF134" s="1">
        <f t="shared" si="5"/>
        <v>100</v>
      </c>
      <c r="AG134" s="1">
        <v>40.0</v>
      </c>
      <c r="AH134" s="1">
        <v>40.0</v>
      </c>
      <c r="AI134" s="1" t="b">
        <v>1</v>
      </c>
      <c r="AK134" s="1" t="b">
        <v>1</v>
      </c>
    </row>
    <row r="135" ht="15.75" customHeight="1">
      <c r="B135" s="1" t="s">
        <v>331</v>
      </c>
      <c r="C135" s="1" t="s">
        <v>332</v>
      </c>
      <c r="D135" s="1">
        <v>1.0</v>
      </c>
      <c r="E135" s="1" t="s">
        <v>306</v>
      </c>
      <c r="F135" s="1">
        <v>15.0</v>
      </c>
      <c r="G135" s="1">
        <v>15.0</v>
      </c>
      <c r="H135" s="1">
        <v>10.0</v>
      </c>
      <c r="O135" s="1">
        <f t="shared" si="1"/>
        <v>40</v>
      </c>
      <c r="P135" s="1">
        <v>10.0</v>
      </c>
      <c r="Q135" s="1">
        <f t="shared" si="2"/>
        <v>50</v>
      </c>
      <c r="R135" s="1">
        <v>15.0</v>
      </c>
      <c r="S135" s="1">
        <v>15.0</v>
      </c>
      <c r="T135" s="1">
        <v>10.0</v>
      </c>
      <c r="AA135" s="1">
        <f t="shared" si="3"/>
        <v>40</v>
      </c>
      <c r="AB135" s="1">
        <v>10.0</v>
      </c>
      <c r="AC135" s="1">
        <f t="shared" si="4"/>
        <v>50</v>
      </c>
      <c r="AD135" s="1">
        <v>80.0</v>
      </c>
      <c r="AE135" s="1">
        <v>20.0</v>
      </c>
      <c r="AF135" s="1">
        <f t="shared" si="5"/>
        <v>100</v>
      </c>
      <c r="AG135" s="1">
        <v>40.0</v>
      </c>
      <c r="AH135" s="1">
        <v>40.0</v>
      </c>
      <c r="AI135" s="1" t="b">
        <v>1</v>
      </c>
      <c r="AK135" s="1" t="b">
        <v>1</v>
      </c>
    </row>
    <row r="136" ht="15.75" customHeight="1">
      <c r="B136" s="1" t="s">
        <v>333</v>
      </c>
      <c r="C136" s="1" t="s">
        <v>334</v>
      </c>
      <c r="D136" s="1">
        <v>1.0</v>
      </c>
      <c r="E136" s="1" t="s">
        <v>306</v>
      </c>
      <c r="F136" s="1">
        <v>15.0</v>
      </c>
      <c r="G136" s="1">
        <v>15.0</v>
      </c>
      <c r="H136" s="1">
        <v>10.0</v>
      </c>
      <c r="O136" s="1">
        <f t="shared" si="1"/>
        <v>40</v>
      </c>
      <c r="P136" s="1">
        <v>10.0</v>
      </c>
      <c r="Q136" s="1">
        <f t="shared" si="2"/>
        <v>50</v>
      </c>
      <c r="R136" s="1">
        <v>15.0</v>
      </c>
      <c r="S136" s="1">
        <v>15.0</v>
      </c>
      <c r="T136" s="1">
        <v>10.0</v>
      </c>
      <c r="AA136" s="1">
        <f t="shared" si="3"/>
        <v>40</v>
      </c>
      <c r="AB136" s="1">
        <v>10.0</v>
      </c>
      <c r="AC136" s="1">
        <f t="shared" si="4"/>
        <v>50</v>
      </c>
      <c r="AD136" s="1">
        <v>80.0</v>
      </c>
      <c r="AE136" s="1">
        <v>20.0</v>
      </c>
      <c r="AF136" s="1">
        <f t="shared" si="5"/>
        <v>100</v>
      </c>
      <c r="AG136" s="1">
        <v>30.0</v>
      </c>
      <c r="AH136" s="1">
        <v>30.0</v>
      </c>
      <c r="AI136" s="1" t="b">
        <v>1</v>
      </c>
      <c r="AK136" s="1" t="b">
        <v>1</v>
      </c>
    </row>
    <row r="137" ht="15.75" customHeight="1">
      <c r="B137" s="1" t="s">
        <v>335</v>
      </c>
      <c r="C137" s="1" t="s">
        <v>336</v>
      </c>
      <c r="D137" s="1">
        <v>1.0</v>
      </c>
      <c r="E137" s="1" t="s">
        <v>306</v>
      </c>
      <c r="F137" s="1">
        <v>10.0</v>
      </c>
      <c r="G137" s="1">
        <v>10.0</v>
      </c>
      <c r="H137" s="1">
        <v>10.0</v>
      </c>
      <c r="I137" s="1">
        <v>10.0</v>
      </c>
      <c r="O137" s="1">
        <f t="shared" si="1"/>
        <v>40</v>
      </c>
      <c r="P137" s="1">
        <v>10.0</v>
      </c>
      <c r="Q137" s="1">
        <f t="shared" si="2"/>
        <v>50</v>
      </c>
      <c r="R137" s="1">
        <v>5.0</v>
      </c>
      <c r="S137" s="1">
        <v>5.0</v>
      </c>
      <c r="T137" s="1">
        <v>15.0</v>
      </c>
      <c r="U137" s="1">
        <v>15.0</v>
      </c>
      <c r="AA137" s="1">
        <f t="shared" si="3"/>
        <v>40</v>
      </c>
      <c r="AB137" s="1">
        <v>10.0</v>
      </c>
      <c r="AC137" s="1">
        <f t="shared" si="4"/>
        <v>50</v>
      </c>
      <c r="AD137" s="1">
        <v>80.0</v>
      </c>
      <c r="AE137" s="1">
        <v>20.0</v>
      </c>
      <c r="AF137" s="1">
        <f t="shared" si="5"/>
        <v>100</v>
      </c>
      <c r="AG137" s="1">
        <v>30.0</v>
      </c>
      <c r="AH137" s="1">
        <v>30.0</v>
      </c>
      <c r="AI137" s="1" t="b">
        <v>1</v>
      </c>
      <c r="AK137" s="1" t="b">
        <v>1</v>
      </c>
    </row>
    <row r="138" ht="15.75" customHeight="1">
      <c r="A138" s="1" t="s">
        <v>46</v>
      </c>
      <c r="B138" s="1" t="s">
        <v>337</v>
      </c>
      <c r="C138" s="1" t="s">
        <v>338</v>
      </c>
      <c r="D138" s="1">
        <v>0.5</v>
      </c>
      <c r="E138" s="1" t="s">
        <v>48</v>
      </c>
      <c r="F138" s="1">
        <v>10.0</v>
      </c>
      <c r="G138" s="1">
        <v>10.0</v>
      </c>
      <c r="H138" s="1">
        <v>10.0</v>
      </c>
      <c r="I138" s="1">
        <v>10.0</v>
      </c>
      <c r="O138" s="1">
        <f t="shared" si="1"/>
        <v>40</v>
      </c>
      <c r="P138" s="1">
        <v>10.0</v>
      </c>
      <c r="Q138" s="1">
        <f t="shared" si="2"/>
        <v>50</v>
      </c>
      <c r="R138" s="1">
        <v>10.0</v>
      </c>
      <c r="S138" s="1">
        <v>15.0</v>
      </c>
      <c r="T138" s="1">
        <v>15.0</v>
      </c>
      <c r="AA138" s="1">
        <f t="shared" si="3"/>
        <v>40</v>
      </c>
      <c r="AB138" s="1">
        <v>10.0</v>
      </c>
      <c r="AC138" s="1">
        <f t="shared" si="4"/>
        <v>50</v>
      </c>
      <c r="AD138" s="1">
        <v>80.0</v>
      </c>
      <c r="AE138" s="1">
        <v>20.0</v>
      </c>
      <c r="AF138" s="1">
        <f t="shared" si="5"/>
        <v>100</v>
      </c>
      <c r="AG138" s="1">
        <v>40.0</v>
      </c>
      <c r="AH138" s="1">
        <v>40.0</v>
      </c>
      <c r="AI138" s="1" t="b">
        <v>1</v>
      </c>
      <c r="AK138" s="1" t="b">
        <v>1</v>
      </c>
    </row>
    <row r="139" ht="15.75" customHeight="1">
      <c r="B139" s="1" t="s">
        <v>339</v>
      </c>
      <c r="C139" s="1" t="s">
        <v>340</v>
      </c>
      <c r="D139" s="1">
        <v>0.5</v>
      </c>
      <c r="E139" s="1" t="s">
        <v>103</v>
      </c>
      <c r="F139" s="1">
        <v>10.0</v>
      </c>
      <c r="G139" s="1">
        <v>10.0</v>
      </c>
      <c r="H139" s="1">
        <v>10.0</v>
      </c>
      <c r="I139" s="1">
        <v>10.0</v>
      </c>
      <c r="O139" s="1">
        <f t="shared" si="1"/>
        <v>40</v>
      </c>
      <c r="P139" s="1">
        <v>10.0</v>
      </c>
      <c r="Q139" s="1">
        <f t="shared" si="2"/>
        <v>50</v>
      </c>
      <c r="R139" s="1">
        <v>5.0</v>
      </c>
      <c r="S139" s="1">
        <v>5.0</v>
      </c>
      <c r="T139" s="1">
        <v>15.0</v>
      </c>
      <c r="U139" s="1">
        <v>15.0</v>
      </c>
      <c r="AA139" s="1">
        <f t="shared" si="3"/>
        <v>40</v>
      </c>
      <c r="AB139" s="1">
        <v>10.0</v>
      </c>
      <c r="AC139" s="1">
        <f t="shared" si="4"/>
        <v>50</v>
      </c>
      <c r="AD139" s="1">
        <v>80.0</v>
      </c>
      <c r="AE139" s="1">
        <v>20.0</v>
      </c>
      <c r="AF139" s="1">
        <f t="shared" si="5"/>
        <v>100</v>
      </c>
      <c r="AG139" s="1">
        <v>30.0</v>
      </c>
      <c r="AH139" s="1">
        <v>30.0</v>
      </c>
      <c r="AI139" s="1" t="b">
        <v>1</v>
      </c>
      <c r="AK139" s="1" t="b">
        <v>1</v>
      </c>
    </row>
    <row r="140" ht="15.75" customHeight="1">
      <c r="B140" s="1" t="s">
        <v>341</v>
      </c>
      <c r="C140" s="1" t="s">
        <v>342</v>
      </c>
      <c r="D140" s="1">
        <v>1.0</v>
      </c>
      <c r="E140" s="1" t="s">
        <v>343</v>
      </c>
      <c r="F140" s="1">
        <v>15.0</v>
      </c>
      <c r="G140" s="1">
        <v>15.0</v>
      </c>
      <c r="H140" s="1">
        <v>10.0</v>
      </c>
      <c r="O140" s="1">
        <f t="shared" si="1"/>
        <v>40</v>
      </c>
      <c r="P140" s="1">
        <v>10.0</v>
      </c>
      <c r="Q140" s="1">
        <f t="shared" si="2"/>
        <v>50</v>
      </c>
      <c r="R140" s="1">
        <v>15.0</v>
      </c>
      <c r="S140" s="1">
        <v>15.0</v>
      </c>
      <c r="T140" s="1">
        <v>10.0</v>
      </c>
      <c r="AA140" s="1">
        <f t="shared" si="3"/>
        <v>40</v>
      </c>
      <c r="AB140" s="1">
        <v>10.0</v>
      </c>
      <c r="AC140" s="1">
        <f t="shared" si="4"/>
        <v>50</v>
      </c>
      <c r="AD140" s="1">
        <v>80.0</v>
      </c>
      <c r="AE140" s="1">
        <v>20.0</v>
      </c>
      <c r="AF140" s="1">
        <f t="shared" si="5"/>
        <v>100</v>
      </c>
      <c r="AG140" s="1">
        <v>40.0</v>
      </c>
      <c r="AH140" s="1">
        <v>40.0</v>
      </c>
      <c r="AI140" s="1" t="b">
        <v>1</v>
      </c>
      <c r="AK140" s="1" t="b">
        <v>1</v>
      </c>
    </row>
    <row r="141" ht="15.75" customHeight="1">
      <c r="B141" s="1" t="s">
        <v>344</v>
      </c>
      <c r="C141" s="1" t="s">
        <v>345</v>
      </c>
      <c r="D141" s="1">
        <v>1.0</v>
      </c>
      <c r="E141" s="1" t="s">
        <v>343</v>
      </c>
      <c r="F141" s="1">
        <v>10.0</v>
      </c>
      <c r="G141" s="1">
        <v>15.0</v>
      </c>
      <c r="H141" s="1">
        <v>15.0</v>
      </c>
      <c r="O141" s="1">
        <f t="shared" si="1"/>
        <v>40</v>
      </c>
      <c r="P141" s="1">
        <v>10.0</v>
      </c>
      <c r="Q141" s="1">
        <f t="shared" si="2"/>
        <v>50</v>
      </c>
      <c r="R141" s="1">
        <v>15.0</v>
      </c>
      <c r="S141" s="1">
        <v>15.0</v>
      </c>
      <c r="T141" s="1">
        <v>10.0</v>
      </c>
      <c r="AA141" s="1">
        <f t="shared" si="3"/>
        <v>40</v>
      </c>
      <c r="AB141" s="1">
        <v>10.0</v>
      </c>
      <c r="AC141" s="1">
        <f t="shared" si="4"/>
        <v>50</v>
      </c>
      <c r="AD141" s="1">
        <v>80.0</v>
      </c>
      <c r="AE141" s="1">
        <v>20.0</v>
      </c>
      <c r="AF141" s="1">
        <f t="shared" si="5"/>
        <v>100</v>
      </c>
      <c r="AG141" s="1">
        <v>30.0</v>
      </c>
      <c r="AH141" s="1">
        <v>30.0</v>
      </c>
      <c r="AI141" s="1" t="b">
        <v>1</v>
      </c>
      <c r="AK141" s="1" t="b">
        <v>1</v>
      </c>
    </row>
    <row r="142" ht="15.75" customHeight="1">
      <c r="B142" s="1" t="s">
        <v>346</v>
      </c>
      <c r="C142" s="1" t="s">
        <v>347</v>
      </c>
      <c r="D142" s="1">
        <v>1.0</v>
      </c>
      <c r="E142" s="1" t="s">
        <v>343</v>
      </c>
      <c r="F142" s="1">
        <v>15.0</v>
      </c>
      <c r="G142" s="1">
        <v>15.0</v>
      </c>
      <c r="H142" s="1">
        <v>10.0</v>
      </c>
      <c r="O142" s="1">
        <f t="shared" si="1"/>
        <v>40</v>
      </c>
      <c r="P142" s="1">
        <v>10.0</v>
      </c>
      <c r="Q142" s="1">
        <f t="shared" si="2"/>
        <v>50</v>
      </c>
      <c r="R142" s="1">
        <v>15.0</v>
      </c>
      <c r="S142" s="1">
        <v>15.0</v>
      </c>
      <c r="T142" s="1">
        <v>10.0</v>
      </c>
      <c r="AA142" s="1">
        <f t="shared" si="3"/>
        <v>40</v>
      </c>
      <c r="AB142" s="1">
        <v>10.0</v>
      </c>
      <c r="AC142" s="1">
        <f t="shared" si="4"/>
        <v>50</v>
      </c>
      <c r="AD142" s="1">
        <v>80.0</v>
      </c>
      <c r="AE142" s="1">
        <v>20.0</v>
      </c>
      <c r="AF142" s="1">
        <f t="shared" si="5"/>
        <v>100</v>
      </c>
      <c r="AG142" s="1">
        <v>40.0</v>
      </c>
      <c r="AH142" s="1">
        <v>40.0</v>
      </c>
      <c r="AI142" s="1" t="b">
        <v>1</v>
      </c>
      <c r="AK142" s="1" t="b">
        <v>1</v>
      </c>
    </row>
    <row r="143" ht="15.75" customHeight="1">
      <c r="B143" s="1" t="s">
        <v>348</v>
      </c>
      <c r="C143" s="1" t="s">
        <v>349</v>
      </c>
      <c r="D143" s="1">
        <v>1.0</v>
      </c>
      <c r="E143" s="1" t="s">
        <v>343</v>
      </c>
      <c r="F143" s="1">
        <v>10.0</v>
      </c>
      <c r="G143" s="1">
        <v>15.0</v>
      </c>
      <c r="H143" s="1">
        <v>15.0</v>
      </c>
      <c r="O143" s="1">
        <f t="shared" si="1"/>
        <v>40</v>
      </c>
      <c r="P143" s="1">
        <v>10.0</v>
      </c>
      <c r="Q143" s="1">
        <f t="shared" si="2"/>
        <v>50</v>
      </c>
      <c r="R143" s="1">
        <v>15.0</v>
      </c>
      <c r="S143" s="1">
        <v>15.0</v>
      </c>
      <c r="T143" s="1">
        <v>10.0</v>
      </c>
      <c r="AA143" s="1">
        <f t="shared" si="3"/>
        <v>40</v>
      </c>
      <c r="AB143" s="1">
        <v>10.0</v>
      </c>
      <c r="AC143" s="1">
        <f t="shared" si="4"/>
        <v>50</v>
      </c>
      <c r="AD143" s="1">
        <v>80.0</v>
      </c>
      <c r="AE143" s="1">
        <v>20.0</v>
      </c>
      <c r="AF143" s="1">
        <f t="shared" si="5"/>
        <v>100</v>
      </c>
      <c r="AG143" s="1">
        <v>40.0</v>
      </c>
      <c r="AH143" s="1">
        <v>40.0</v>
      </c>
      <c r="AI143" s="1" t="b">
        <v>1</v>
      </c>
      <c r="AK143" s="1" t="b">
        <v>1</v>
      </c>
    </row>
    <row r="144" ht="15.75" customHeight="1">
      <c r="B144" s="1" t="s">
        <v>350</v>
      </c>
      <c r="C144" s="1" t="s">
        <v>351</v>
      </c>
      <c r="D144" s="1">
        <v>1.0</v>
      </c>
      <c r="E144" s="1" t="s">
        <v>343</v>
      </c>
      <c r="F144" s="1">
        <v>10.0</v>
      </c>
      <c r="G144" s="1">
        <v>15.0</v>
      </c>
      <c r="H144" s="1">
        <v>15.0</v>
      </c>
      <c r="O144" s="1">
        <f t="shared" si="1"/>
        <v>40</v>
      </c>
      <c r="P144" s="1">
        <v>10.0</v>
      </c>
      <c r="Q144" s="1">
        <f t="shared" si="2"/>
        <v>50</v>
      </c>
      <c r="R144" s="1">
        <v>15.0</v>
      </c>
      <c r="S144" s="1">
        <v>15.0</v>
      </c>
      <c r="T144" s="1">
        <v>10.0</v>
      </c>
      <c r="AA144" s="1">
        <f t="shared" si="3"/>
        <v>40</v>
      </c>
      <c r="AB144" s="1">
        <v>10.0</v>
      </c>
      <c r="AC144" s="1">
        <f t="shared" si="4"/>
        <v>50</v>
      </c>
      <c r="AD144" s="1">
        <v>80.0</v>
      </c>
      <c r="AE144" s="1">
        <v>20.0</v>
      </c>
      <c r="AF144" s="1">
        <f t="shared" si="5"/>
        <v>100</v>
      </c>
      <c r="AG144" s="1">
        <v>40.0</v>
      </c>
      <c r="AH144" s="1">
        <v>40.0</v>
      </c>
      <c r="AI144" s="1" t="b">
        <v>1</v>
      </c>
      <c r="AK144" s="1" t="b">
        <v>1</v>
      </c>
    </row>
    <row r="145" ht="15.75" customHeight="1">
      <c r="B145" s="1" t="s">
        <v>352</v>
      </c>
      <c r="C145" s="1" t="s">
        <v>353</v>
      </c>
      <c r="D145" s="1">
        <v>1.0</v>
      </c>
      <c r="E145" s="1" t="s">
        <v>343</v>
      </c>
      <c r="F145" s="1">
        <v>10.0</v>
      </c>
      <c r="G145" s="1">
        <v>15.0</v>
      </c>
      <c r="H145" s="1">
        <v>15.0</v>
      </c>
      <c r="O145" s="1">
        <f t="shared" si="1"/>
        <v>40</v>
      </c>
      <c r="P145" s="1">
        <v>10.0</v>
      </c>
      <c r="Q145" s="1">
        <f t="shared" si="2"/>
        <v>50</v>
      </c>
      <c r="R145" s="1">
        <v>15.0</v>
      </c>
      <c r="S145" s="1">
        <v>15.0</v>
      </c>
      <c r="T145" s="1">
        <v>10.0</v>
      </c>
      <c r="AA145" s="1">
        <f t="shared" si="3"/>
        <v>40</v>
      </c>
      <c r="AB145" s="1">
        <v>10.0</v>
      </c>
      <c r="AC145" s="1">
        <f t="shared" si="4"/>
        <v>50</v>
      </c>
      <c r="AD145" s="1">
        <v>80.0</v>
      </c>
      <c r="AE145" s="1">
        <v>20.0</v>
      </c>
      <c r="AF145" s="1">
        <f t="shared" si="5"/>
        <v>100</v>
      </c>
      <c r="AG145" s="1">
        <v>40.0</v>
      </c>
      <c r="AH145" s="1">
        <v>40.0</v>
      </c>
      <c r="AI145" s="1" t="b">
        <v>1</v>
      </c>
      <c r="AK145" s="1" t="b">
        <v>1</v>
      </c>
    </row>
    <row r="146" ht="15.75" customHeight="1">
      <c r="B146" s="1" t="s">
        <v>354</v>
      </c>
      <c r="C146" s="1" t="s">
        <v>355</v>
      </c>
      <c r="D146" s="1">
        <v>1.0</v>
      </c>
      <c r="E146" s="1" t="s">
        <v>343</v>
      </c>
      <c r="F146" s="1">
        <v>10.0</v>
      </c>
      <c r="G146" s="1">
        <v>15.0</v>
      </c>
      <c r="H146" s="1">
        <v>15.0</v>
      </c>
      <c r="O146" s="1">
        <f t="shared" si="1"/>
        <v>40</v>
      </c>
      <c r="P146" s="1">
        <v>10.0</v>
      </c>
      <c r="Q146" s="1">
        <f t="shared" si="2"/>
        <v>50</v>
      </c>
      <c r="R146" s="1">
        <v>10.0</v>
      </c>
      <c r="S146" s="1">
        <v>10.0</v>
      </c>
      <c r="T146" s="1">
        <v>10.0</v>
      </c>
      <c r="U146" s="1">
        <v>10.0</v>
      </c>
      <c r="AA146" s="1">
        <f t="shared" si="3"/>
        <v>40</v>
      </c>
      <c r="AB146" s="1">
        <v>10.0</v>
      </c>
      <c r="AC146" s="1">
        <f t="shared" si="4"/>
        <v>50</v>
      </c>
      <c r="AD146" s="1">
        <v>80.0</v>
      </c>
      <c r="AE146" s="1">
        <v>20.0</v>
      </c>
      <c r="AF146" s="1">
        <f t="shared" si="5"/>
        <v>100</v>
      </c>
      <c r="AG146" s="1">
        <v>30.0</v>
      </c>
      <c r="AH146" s="1">
        <v>30.0</v>
      </c>
      <c r="AI146" s="1" t="b">
        <v>1</v>
      </c>
      <c r="AK146" s="1" t="b">
        <v>1</v>
      </c>
    </row>
    <row r="147" ht="15.75" customHeight="1">
      <c r="B147" s="1" t="s">
        <v>356</v>
      </c>
      <c r="C147" s="1" t="s">
        <v>357</v>
      </c>
      <c r="D147" s="1">
        <v>1.0</v>
      </c>
      <c r="E147" s="1" t="s">
        <v>343</v>
      </c>
      <c r="F147" s="1">
        <v>10.0</v>
      </c>
      <c r="G147" s="1">
        <v>10.0</v>
      </c>
      <c r="H147" s="1">
        <v>10.0</v>
      </c>
      <c r="I147" s="1">
        <v>10.0</v>
      </c>
      <c r="O147" s="1">
        <f t="shared" si="1"/>
        <v>40</v>
      </c>
      <c r="P147" s="1">
        <v>10.0</v>
      </c>
      <c r="Q147" s="1">
        <f t="shared" si="2"/>
        <v>50</v>
      </c>
      <c r="R147" s="1">
        <v>5.0</v>
      </c>
      <c r="S147" s="1">
        <v>15.0</v>
      </c>
      <c r="T147" s="1">
        <v>10.0</v>
      </c>
      <c r="U147" s="1">
        <v>10.0</v>
      </c>
      <c r="AA147" s="1">
        <f t="shared" si="3"/>
        <v>40</v>
      </c>
      <c r="AB147" s="1">
        <v>10.0</v>
      </c>
      <c r="AC147" s="1">
        <f t="shared" si="4"/>
        <v>50</v>
      </c>
      <c r="AD147" s="1">
        <v>80.0</v>
      </c>
      <c r="AE147" s="1">
        <v>20.0</v>
      </c>
      <c r="AF147" s="1">
        <f t="shared" si="5"/>
        <v>100</v>
      </c>
      <c r="AG147" s="1">
        <v>40.0</v>
      </c>
      <c r="AH147" s="1">
        <v>40.0</v>
      </c>
      <c r="AI147" s="1" t="b">
        <v>1</v>
      </c>
      <c r="AK147" s="1" t="b">
        <v>1</v>
      </c>
    </row>
    <row r="148" ht="15.75" customHeight="1">
      <c r="B148" s="1" t="s">
        <v>358</v>
      </c>
      <c r="C148" s="1" t="s">
        <v>359</v>
      </c>
      <c r="D148" s="1">
        <v>1.0</v>
      </c>
      <c r="E148" s="1" t="s">
        <v>343</v>
      </c>
      <c r="F148" s="1">
        <v>10.0</v>
      </c>
      <c r="G148" s="1">
        <v>15.0</v>
      </c>
      <c r="H148" s="1">
        <v>15.0</v>
      </c>
      <c r="O148" s="1">
        <f t="shared" si="1"/>
        <v>40</v>
      </c>
      <c r="P148" s="1">
        <v>10.0</v>
      </c>
      <c r="Q148" s="1">
        <f t="shared" si="2"/>
        <v>50</v>
      </c>
      <c r="R148" s="1">
        <v>10.0</v>
      </c>
      <c r="S148" s="1">
        <v>10.0</v>
      </c>
      <c r="T148" s="1">
        <v>10.0</v>
      </c>
      <c r="U148" s="1">
        <v>10.0</v>
      </c>
      <c r="AA148" s="1">
        <f t="shared" si="3"/>
        <v>40</v>
      </c>
      <c r="AB148" s="1">
        <v>10.0</v>
      </c>
      <c r="AC148" s="1">
        <f t="shared" si="4"/>
        <v>50</v>
      </c>
      <c r="AD148" s="1">
        <v>80.0</v>
      </c>
      <c r="AE148" s="1">
        <v>20.0</v>
      </c>
      <c r="AF148" s="1">
        <f t="shared" si="5"/>
        <v>100</v>
      </c>
      <c r="AG148" s="1">
        <v>30.0</v>
      </c>
      <c r="AH148" s="1">
        <v>30.0</v>
      </c>
      <c r="AI148" s="1" t="b">
        <v>0</v>
      </c>
      <c r="AJ148" s="1" t="s">
        <v>360</v>
      </c>
      <c r="AK148" s="1" t="b">
        <v>1</v>
      </c>
    </row>
    <row r="149" ht="15.75" customHeight="1">
      <c r="A149" s="1" t="s">
        <v>54</v>
      </c>
      <c r="B149" s="1" t="s">
        <v>361</v>
      </c>
      <c r="C149" s="1" t="s">
        <v>362</v>
      </c>
      <c r="D149" s="1">
        <v>0.5</v>
      </c>
      <c r="E149" s="1" t="s">
        <v>56</v>
      </c>
      <c r="F149" s="1">
        <v>10.0</v>
      </c>
      <c r="G149" s="1">
        <v>15.0</v>
      </c>
      <c r="H149" s="1">
        <v>15.0</v>
      </c>
      <c r="O149" s="1">
        <f t="shared" si="1"/>
        <v>40</v>
      </c>
      <c r="P149" s="1">
        <v>10.0</v>
      </c>
      <c r="Q149" s="1">
        <f t="shared" si="2"/>
        <v>50</v>
      </c>
      <c r="R149" s="1">
        <v>10.0</v>
      </c>
      <c r="S149" s="1">
        <v>15.0</v>
      </c>
      <c r="T149" s="1">
        <v>15.0</v>
      </c>
      <c r="AA149" s="1">
        <f t="shared" si="3"/>
        <v>40</v>
      </c>
      <c r="AB149" s="1">
        <v>10.0</v>
      </c>
      <c r="AC149" s="1">
        <f t="shared" si="4"/>
        <v>50</v>
      </c>
      <c r="AD149" s="1">
        <v>80.0</v>
      </c>
      <c r="AE149" s="1">
        <v>20.0</v>
      </c>
      <c r="AF149" s="1">
        <f t="shared" si="5"/>
        <v>100</v>
      </c>
      <c r="AG149" s="1">
        <v>40.0</v>
      </c>
      <c r="AH149" s="1">
        <v>40.0</v>
      </c>
      <c r="AI149" s="1" t="b">
        <v>1</v>
      </c>
      <c r="AK149" s="1" t="b">
        <v>1</v>
      </c>
    </row>
    <row r="150" ht="15.75" customHeight="1">
      <c r="B150" s="1" t="s">
        <v>363</v>
      </c>
      <c r="C150" s="1" t="s">
        <v>364</v>
      </c>
      <c r="D150" s="1">
        <v>0.5</v>
      </c>
      <c r="E150" s="1" t="s">
        <v>112</v>
      </c>
      <c r="F150" s="1">
        <v>15.0</v>
      </c>
      <c r="G150" s="1">
        <v>10.0</v>
      </c>
      <c r="H150" s="1">
        <v>5.0</v>
      </c>
      <c r="I150" s="1">
        <v>10.0</v>
      </c>
      <c r="O150" s="1">
        <f t="shared" si="1"/>
        <v>40</v>
      </c>
      <c r="P150" s="1">
        <v>10.0</v>
      </c>
      <c r="Q150" s="1">
        <f t="shared" si="2"/>
        <v>50</v>
      </c>
      <c r="R150" s="1">
        <v>15.0</v>
      </c>
      <c r="S150" s="1">
        <v>10.0</v>
      </c>
      <c r="T150" s="1">
        <v>15.0</v>
      </c>
      <c r="AA150" s="1">
        <f t="shared" si="3"/>
        <v>40</v>
      </c>
      <c r="AB150" s="1">
        <v>10.0</v>
      </c>
      <c r="AC150" s="1">
        <f t="shared" si="4"/>
        <v>50</v>
      </c>
      <c r="AD150" s="1">
        <v>80.0</v>
      </c>
      <c r="AE150" s="1">
        <v>20.0</v>
      </c>
      <c r="AF150" s="1">
        <f t="shared" si="5"/>
        <v>100</v>
      </c>
      <c r="AG150" s="1">
        <v>30.0</v>
      </c>
      <c r="AH150" s="1">
        <v>30.0</v>
      </c>
      <c r="AI150" s="1" t="b">
        <v>1</v>
      </c>
      <c r="AK150" s="1" t="b">
        <v>1</v>
      </c>
    </row>
    <row r="151" ht="15.75" customHeight="1">
      <c r="A151" s="1" t="s">
        <v>62</v>
      </c>
      <c r="B151" s="1" t="s">
        <v>365</v>
      </c>
      <c r="C151" s="1" t="s">
        <v>366</v>
      </c>
      <c r="D151" s="1">
        <v>0.5</v>
      </c>
      <c r="E151" s="1" t="s">
        <v>64</v>
      </c>
      <c r="F151" s="1">
        <v>10.0</v>
      </c>
      <c r="G151" s="1">
        <v>15.0</v>
      </c>
      <c r="H151" s="1">
        <v>15.0</v>
      </c>
      <c r="O151" s="1">
        <f t="shared" si="1"/>
        <v>40</v>
      </c>
      <c r="P151" s="1">
        <v>10.0</v>
      </c>
      <c r="Q151" s="1">
        <f t="shared" si="2"/>
        <v>50</v>
      </c>
      <c r="R151" s="1">
        <v>15.0</v>
      </c>
      <c r="S151" s="1">
        <v>5.0</v>
      </c>
      <c r="T151" s="1">
        <v>15.0</v>
      </c>
      <c r="U151" s="1">
        <v>5.0</v>
      </c>
      <c r="AA151" s="1">
        <f t="shared" si="3"/>
        <v>40</v>
      </c>
      <c r="AB151" s="1">
        <v>10.0</v>
      </c>
      <c r="AC151" s="1">
        <f t="shared" si="4"/>
        <v>50</v>
      </c>
      <c r="AD151" s="1">
        <v>80.0</v>
      </c>
      <c r="AE151" s="1">
        <v>20.0</v>
      </c>
      <c r="AF151" s="1">
        <f t="shared" si="5"/>
        <v>100</v>
      </c>
      <c r="AG151" s="1">
        <v>30.0</v>
      </c>
      <c r="AH151" s="1">
        <v>30.0</v>
      </c>
      <c r="AI151" s="1" t="b">
        <v>1</v>
      </c>
      <c r="AK151" s="1" t="b">
        <v>1</v>
      </c>
    </row>
    <row r="152" ht="15.75" customHeight="1">
      <c r="B152" s="1" t="s">
        <v>367</v>
      </c>
      <c r="C152" s="1" t="s">
        <v>368</v>
      </c>
      <c r="D152" s="1">
        <v>0.5</v>
      </c>
      <c r="E152" s="1" t="s">
        <v>121</v>
      </c>
      <c r="F152" s="1">
        <v>10.0</v>
      </c>
      <c r="G152" s="1">
        <v>15.0</v>
      </c>
      <c r="H152" s="1">
        <v>15.0</v>
      </c>
      <c r="O152" s="1">
        <f t="shared" si="1"/>
        <v>40</v>
      </c>
      <c r="P152" s="1">
        <v>10.0</v>
      </c>
      <c r="Q152" s="1">
        <f t="shared" si="2"/>
        <v>50</v>
      </c>
      <c r="R152" s="1">
        <v>15.0</v>
      </c>
      <c r="S152" s="1">
        <v>15.0</v>
      </c>
      <c r="T152" s="1">
        <v>10.0</v>
      </c>
      <c r="AA152" s="1">
        <f t="shared" si="3"/>
        <v>40</v>
      </c>
      <c r="AB152" s="1">
        <v>10.0</v>
      </c>
      <c r="AC152" s="1">
        <f t="shared" si="4"/>
        <v>50</v>
      </c>
      <c r="AD152" s="1">
        <v>80.0</v>
      </c>
      <c r="AE152" s="1">
        <v>20.0</v>
      </c>
      <c r="AF152" s="1">
        <f t="shared" si="5"/>
        <v>100</v>
      </c>
      <c r="AG152" s="1">
        <v>30.0</v>
      </c>
      <c r="AH152" s="1">
        <v>30.0</v>
      </c>
      <c r="AI152" s="1" t="b">
        <v>1</v>
      </c>
      <c r="AK152" s="1" t="b">
        <v>1</v>
      </c>
    </row>
    <row r="153" ht="15.75" customHeight="1">
      <c r="A153" s="1" t="s">
        <v>34</v>
      </c>
      <c r="B153" s="1" t="s">
        <v>369</v>
      </c>
      <c r="C153" s="1" t="s">
        <v>370</v>
      </c>
      <c r="D153" s="1">
        <v>0.5</v>
      </c>
      <c r="E153" s="1" t="s">
        <v>37</v>
      </c>
      <c r="F153" s="1">
        <v>10.0</v>
      </c>
      <c r="G153" s="1">
        <v>10.0</v>
      </c>
      <c r="H153" s="1">
        <v>10.0</v>
      </c>
      <c r="I153" s="1">
        <v>10.0</v>
      </c>
      <c r="O153" s="1">
        <f t="shared" si="1"/>
        <v>40</v>
      </c>
      <c r="P153" s="1">
        <v>10.0</v>
      </c>
      <c r="Q153" s="1">
        <f t="shared" si="2"/>
        <v>50</v>
      </c>
      <c r="R153" s="1">
        <v>10.0</v>
      </c>
      <c r="S153" s="1">
        <v>10.0</v>
      </c>
      <c r="T153" s="1">
        <v>5.0</v>
      </c>
      <c r="U153" s="1">
        <v>15.0</v>
      </c>
      <c r="AA153" s="1">
        <f t="shared" si="3"/>
        <v>40</v>
      </c>
      <c r="AB153" s="1">
        <v>10.0</v>
      </c>
      <c r="AC153" s="1">
        <f t="shared" si="4"/>
        <v>50</v>
      </c>
      <c r="AD153" s="1">
        <v>80.0</v>
      </c>
      <c r="AE153" s="1">
        <v>20.0</v>
      </c>
      <c r="AF153" s="1">
        <f t="shared" si="5"/>
        <v>100</v>
      </c>
      <c r="AG153" s="1">
        <v>30.0</v>
      </c>
      <c r="AH153" s="1">
        <v>30.0</v>
      </c>
      <c r="AI153" s="1" t="b">
        <v>1</v>
      </c>
      <c r="AK153" s="1" t="b">
        <v>1</v>
      </c>
    </row>
    <row r="154" ht="15.75" customHeight="1">
      <c r="B154" s="1" t="s">
        <v>371</v>
      </c>
      <c r="C154" s="1" t="s">
        <v>372</v>
      </c>
      <c r="D154" s="1">
        <v>1.0</v>
      </c>
      <c r="E154" s="1" t="s">
        <v>292</v>
      </c>
      <c r="F154" s="1">
        <v>10.0</v>
      </c>
      <c r="G154" s="1">
        <v>15.0</v>
      </c>
      <c r="H154" s="1">
        <v>15.0</v>
      </c>
      <c r="O154" s="1">
        <f t="shared" si="1"/>
        <v>40</v>
      </c>
      <c r="P154" s="1">
        <v>10.0</v>
      </c>
      <c r="Q154" s="1">
        <f t="shared" si="2"/>
        <v>50</v>
      </c>
      <c r="R154" s="1">
        <v>15.0</v>
      </c>
      <c r="S154" s="1">
        <v>15.0</v>
      </c>
      <c r="T154" s="1">
        <v>10.0</v>
      </c>
      <c r="AA154" s="1">
        <f t="shared" si="3"/>
        <v>40</v>
      </c>
      <c r="AB154" s="1">
        <v>10.0</v>
      </c>
      <c r="AC154" s="1">
        <f t="shared" si="4"/>
        <v>50</v>
      </c>
      <c r="AD154" s="1">
        <v>80.0</v>
      </c>
      <c r="AE154" s="1">
        <v>20.0</v>
      </c>
      <c r="AF154" s="1">
        <f t="shared" si="5"/>
        <v>100</v>
      </c>
      <c r="AG154" s="1">
        <v>30.0</v>
      </c>
      <c r="AH154" s="1">
        <v>30.0</v>
      </c>
      <c r="AI154" s="1" t="b">
        <v>1</v>
      </c>
      <c r="AK154" s="1" t="b">
        <v>1</v>
      </c>
    </row>
    <row r="155" ht="15.75" customHeight="1">
      <c r="B155" s="1" t="s">
        <v>373</v>
      </c>
      <c r="C155" s="1" t="s">
        <v>374</v>
      </c>
      <c r="D155" s="1">
        <v>1.0</v>
      </c>
      <c r="E155" s="1" t="s">
        <v>292</v>
      </c>
      <c r="F155" s="1">
        <v>10.0</v>
      </c>
      <c r="G155" s="1">
        <v>15.0</v>
      </c>
      <c r="H155" s="1">
        <v>15.0</v>
      </c>
      <c r="O155" s="1">
        <f t="shared" si="1"/>
        <v>40</v>
      </c>
      <c r="P155" s="1">
        <v>10.0</v>
      </c>
      <c r="Q155" s="1">
        <f t="shared" si="2"/>
        <v>50</v>
      </c>
      <c r="R155" s="1">
        <v>15.0</v>
      </c>
      <c r="S155" s="1">
        <v>15.0</v>
      </c>
      <c r="T155" s="1">
        <v>10.0</v>
      </c>
      <c r="AA155" s="1">
        <f t="shared" si="3"/>
        <v>40</v>
      </c>
      <c r="AB155" s="1">
        <v>10.0</v>
      </c>
      <c r="AC155" s="1">
        <f t="shared" si="4"/>
        <v>50</v>
      </c>
      <c r="AD155" s="1">
        <v>80.0</v>
      </c>
      <c r="AE155" s="1">
        <v>20.0</v>
      </c>
      <c r="AF155" s="1">
        <f t="shared" si="5"/>
        <v>100</v>
      </c>
      <c r="AG155" s="1">
        <v>30.0</v>
      </c>
      <c r="AH155" s="1">
        <v>30.0</v>
      </c>
      <c r="AI155" s="1" t="b">
        <v>1</v>
      </c>
      <c r="AK155" s="1" t="b">
        <v>1</v>
      </c>
    </row>
    <row r="156" ht="15.75" customHeight="1">
      <c r="A156" s="1" t="s">
        <v>38</v>
      </c>
      <c r="B156" s="1" t="s">
        <v>375</v>
      </c>
      <c r="C156" s="1" t="s">
        <v>376</v>
      </c>
      <c r="D156" s="1">
        <v>0.5</v>
      </c>
      <c r="E156" s="1" t="s">
        <v>41</v>
      </c>
      <c r="F156" s="1">
        <v>10.0</v>
      </c>
      <c r="G156" s="1">
        <v>15.0</v>
      </c>
      <c r="H156" s="1">
        <v>15.0</v>
      </c>
      <c r="O156" s="1">
        <f t="shared" si="1"/>
        <v>40</v>
      </c>
      <c r="P156" s="1">
        <v>10.0</v>
      </c>
      <c r="Q156" s="1">
        <f t="shared" si="2"/>
        <v>50</v>
      </c>
      <c r="R156" s="1">
        <v>15.0</v>
      </c>
      <c r="S156" s="1">
        <v>15.0</v>
      </c>
      <c r="T156" s="1">
        <v>10.0</v>
      </c>
      <c r="AA156" s="1">
        <f t="shared" si="3"/>
        <v>40</v>
      </c>
      <c r="AB156" s="1">
        <v>10.0</v>
      </c>
      <c r="AC156" s="1">
        <f t="shared" si="4"/>
        <v>50</v>
      </c>
      <c r="AD156" s="1">
        <v>80.0</v>
      </c>
      <c r="AE156" s="1">
        <v>20.0</v>
      </c>
      <c r="AF156" s="1">
        <f t="shared" si="5"/>
        <v>100</v>
      </c>
      <c r="AG156" s="1">
        <v>30.0</v>
      </c>
      <c r="AH156" s="1">
        <v>30.0</v>
      </c>
      <c r="AI156" s="1" t="b">
        <v>1</v>
      </c>
      <c r="AK156" s="1" t="b">
        <v>1</v>
      </c>
    </row>
    <row r="157" ht="15.75" customHeight="1">
      <c r="B157" s="1" t="s">
        <v>377</v>
      </c>
      <c r="C157" s="1" t="s">
        <v>378</v>
      </c>
      <c r="D157" s="1">
        <v>1.0</v>
      </c>
      <c r="E157" s="1" t="s">
        <v>299</v>
      </c>
      <c r="F157" s="1">
        <v>10.0</v>
      </c>
      <c r="G157" s="1">
        <v>15.0</v>
      </c>
      <c r="H157" s="1">
        <v>15.0</v>
      </c>
      <c r="O157" s="1">
        <f t="shared" si="1"/>
        <v>40</v>
      </c>
      <c r="P157" s="1">
        <v>10.0</v>
      </c>
      <c r="Q157" s="1">
        <f t="shared" si="2"/>
        <v>50</v>
      </c>
      <c r="R157" s="1">
        <v>15.0</v>
      </c>
      <c r="S157" s="1">
        <v>15.0</v>
      </c>
      <c r="T157" s="1">
        <v>10.0</v>
      </c>
      <c r="AA157" s="1">
        <f t="shared" si="3"/>
        <v>40</v>
      </c>
      <c r="AB157" s="1">
        <v>10.0</v>
      </c>
      <c r="AC157" s="1">
        <f t="shared" si="4"/>
        <v>50</v>
      </c>
      <c r="AD157" s="1">
        <v>80.0</v>
      </c>
      <c r="AE157" s="1">
        <v>20.0</v>
      </c>
      <c r="AF157" s="1">
        <f t="shared" si="5"/>
        <v>100</v>
      </c>
      <c r="AG157" s="1">
        <v>30.0</v>
      </c>
      <c r="AH157" s="1">
        <v>30.0</v>
      </c>
      <c r="AI157" s="1" t="b">
        <v>1</v>
      </c>
      <c r="AK157" s="1" t="b">
        <v>1</v>
      </c>
    </row>
    <row r="158" ht="15.75" customHeight="1">
      <c r="B158" s="1" t="s">
        <v>379</v>
      </c>
      <c r="C158" s="1" t="s">
        <v>380</v>
      </c>
      <c r="D158" s="1">
        <v>0.5</v>
      </c>
      <c r="E158" s="1" t="s">
        <v>299</v>
      </c>
      <c r="F158" s="1">
        <v>10.0</v>
      </c>
      <c r="G158" s="1">
        <v>15.0</v>
      </c>
      <c r="H158" s="1">
        <v>15.0</v>
      </c>
      <c r="O158" s="1">
        <f t="shared" si="1"/>
        <v>40</v>
      </c>
      <c r="P158" s="1">
        <v>10.0</v>
      </c>
      <c r="Q158" s="1">
        <f t="shared" si="2"/>
        <v>50</v>
      </c>
      <c r="R158" s="1">
        <v>10.0</v>
      </c>
      <c r="S158" s="1">
        <v>15.0</v>
      </c>
      <c r="T158" s="1">
        <v>15.0</v>
      </c>
      <c r="AA158" s="1">
        <f t="shared" si="3"/>
        <v>40</v>
      </c>
      <c r="AB158" s="1">
        <v>10.0</v>
      </c>
      <c r="AC158" s="1">
        <f t="shared" si="4"/>
        <v>50</v>
      </c>
      <c r="AD158" s="1">
        <v>80.0</v>
      </c>
      <c r="AE158" s="1">
        <v>20.0</v>
      </c>
      <c r="AF158" s="1">
        <f t="shared" si="5"/>
        <v>100</v>
      </c>
      <c r="AG158" s="1">
        <v>30.0</v>
      </c>
      <c r="AH158" s="1">
        <v>30.0</v>
      </c>
      <c r="AI158" s="1" t="b">
        <v>1</v>
      </c>
      <c r="AK158" s="1" t="b">
        <v>1</v>
      </c>
    </row>
    <row r="159" ht="15.75" customHeight="1">
      <c r="A159" s="1" t="s">
        <v>42</v>
      </c>
      <c r="B159" s="1" t="s">
        <v>381</v>
      </c>
      <c r="C159" s="1" t="s">
        <v>382</v>
      </c>
      <c r="D159" s="1">
        <v>0.5</v>
      </c>
      <c r="E159" s="1" t="s">
        <v>45</v>
      </c>
      <c r="F159" s="1">
        <v>10.0</v>
      </c>
      <c r="G159" s="1">
        <v>15.0</v>
      </c>
      <c r="H159" s="1">
        <v>15.0</v>
      </c>
      <c r="O159" s="1">
        <f t="shared" si="1"/>
        <v>40</v>
      </c>
      <c r="P159" s="1">
        <v>10.0</v>
      </c>
      <c r="Q159" s="1">
        <f t="shared" si="2"/>
        <v>50</v>
      </c>
      <c r="R159" s="1">
        <v>15.0</v>
      </c>
      <c r="S159" s="1">
        <v>15.0</v>
      </c>
      <c r="T159" s="1">
        <v>10.0</v>
      </c>
      <c r="AA159" s="1">
        <f t="shared" si="3"/>
        <v>40</v>
      </c>
      <c r="AB159" s="1">
        <v>10.0</v>
      </c>
      <c r="AC159" s="1">
        <f t="shared" si="4"/>
        <v>50</v>
      </c>
      <c r="AD159" s="1">
        <v>80.0</v>
      </c>
      <c r="AE159" s="1">
        <v>20.0</v>
      </c>
      <c r="AF159" s="1">
        <f t="shared" si="5"/>
        <v>100</v>
      </c>
      <c r="AG159" s="1">
        <v>30.0</v>
      </c>
      <c r="AH159" s="1">
        <v>30.0</v>
      </c>
      <c r="AI159" s="1" t="b">
        <v>1</v>
      </c>
      <c r="AK159" s="1" t="b">
        <v>1</v>
      </c>
    </row>
    <row r="160" ht="15.75" customHeight="1">
      <c r="B160" s="1" t="s">
        <v>383</v>
      </c>
      <c r="C160" s="1" t="s">
        <v>384</v>
      </c>
      <c r="D160" s="1">
        <v>1.0</v>
      </c>
      <c r="E160" s="1" t="s">
        <v>306</v>
      </c>
      <c r="F160" s="1">
        <v>10.0</v>
      </c>
      <c r="G160" s="1">
        <v>10.0</v>
      </c>
      <c r="H160" s="1">
        <v>10.0</v>
      </c>
      <c r="I160" s="1">
        <v>10.0</v>
      </c>
      <c r="O160" s="1">
        <f t="shared" si="1"/>
        <v>40</v>
      </c>
      <c r="P160" s="1">
        <v>10.0</v>
      </c>
      <c r="Q160" s="1">
        <f t="shared" si="2"/>
        <v>50</v>
      </c>
      <c r="R160" s="1">
        <v>10.0</v>
      </c>
      <c r="S160" s="1">
        <v>10.0</v>
      </c>
      <c r="T160" s="1">
        <v>10.0</v>
      </c>
      <c r="U160" s="1">
        <v>10.0</v>
      </c>
      <c r="AA160" s="1">
        <f t="shared" si="3"/>
        <v>40</v>
      </c>
      <c r="AB160" s="1">
        <v>10.0</v>
      </c>
      <c r="AC160" s="1">
        <f t="shared" si="4"/>
        <v>50</v>
      </c>
      <c r="AD160" s="1">
        <v>80.0</v>
      </c>
      <c r="AE160" s="1">
        <v>20.0</v>
      </c>
      <c r="AF160" s="1">
        <f t="shared" si="5"/>
        <v>100</v>
      </c>
      <c r="AG160" s="1">
        <v>30.0</v>
      </c>
      <c r="AH160" s="1">
        <v>30.0</v>
      </c>
      <c r="AI160" s="1" t="b">
        <v>1</v>
      </c>
      <c r="AK160" s="1" t="b">
        <v>1</v>
      </c>
    </row>
    <row r="161" ht="15.75" customHeight="1">
      <c r="B161" s="1" t="s">
        <v>385</v>
      </c>
      <c r="C161" s="1" t="s">
        <v>386</v>
      </c>
      <c r="D161" s="1">
        <v>1.0</v>
      </c>
      <c r="E161" s="1" t="s">
        <v>306</v>
      </c>
      <c r="F161" s="1">
        <v>15.0</v>
      </c>
      <c r="G161" s="1">
        <v>15.0</v>
      </c>
      <c r="H161" s="1">
        <v>10.0</v>
      </c>
      <c r="O161" s="1">
        <f t="shared" si="1"/>
        <v>40</v>
      </c>
      <c r="P161" s="1">
        <v>10.0</v>
      </c>
      <c r="Q161" s="1">
        <f t="shared" si="2"/>
        <v>50</v>
      </c>
      <c r="R161" s="1">
        <v>15.0</v>
      </c>
      <c r="S161" s="1">
        <v>15.0</v>
      </c>
      <c r="T161" s="1">
        <v>10.0</v>
      </c>
      <c r="AA161" s="1">
        <f t="shared" si="3"/>
        <v>40</v>
      </c>
      <c r="AB161" s="1">
        <v>10.0</v>
      </c>
      <c r="AC161" s="1">
        <f t="shared" si="4"/>
        <v>50</v>
      </c>
      <c r="AD161" s="1">
        <v>80.0</v>
      </c>
      <c r="AE161" s="1">
        <v>20.0</v>
      </c>
      <c r="AF161" s="1">
        <f t="shared" si="5"/>
        <v>100</v>
      </c>
      <c r="AG161" s="1">
        <v>30.0</v>
      </c>
      <c r="AH161" s="1">
        <v>30.0</v>
      </c>
      <c r="AI161" s="1" t="b">
        <v>1</v>
      </c>
      <c r="AK161" s="1" t="b">
        <v>1</v>
      </c>
    </row>
    <row r="162" ht="15.75" customHeight="1">
      <c r="A162" s="1" t="s">
        <v>46</v>
      </c>
      <c r="B162" s="1" t="s">
        <v>387</v>
      </c>
      <c r="C162" s="1" t="s">
        <v>370</v>
      </c>
      <c r="D162" s="1">
        <v>0.5</v>
      </c>
      <c r="E162" s="1" t="s">
        <v>48</v>
      </c>
      <c r="F162" s="1">
        <v>10.0</v>
      </c>
      <c r="G162" s="1">
        <v>10.0</v>
      </c>
      <c r="H162" s="1">
        <v>10.0</v>
      </c>
      <c r="I162" s="1">
        <v>10.0</v>
      </c>
      <c r="O162" s="1">
        <f t="shared" si="1"/>
        <v>40</v>
      </c>
      <c r="P162" s="1">
        <v>10.0</v>
      </c>
      <c r="Q162" s="1">
        <f t="shared" si="2"/>
        <v>50</v>
      </c>
      <c r="R162" s="1">
        <v>10.0</v>
      </c>
      <c r="S162" s="1">
        <v>10.0</v>
      </c>
      <c r="T162" s="1">
        <v>10.0</v>
      </c>
      <c r="U162" s="1">
        <v>10.0</v>
      </c>
      <c r="AA162" s="1">
        <f t="shared" si="3"/>
        <v>40</v>
      </c>
      <c r="AB162" s="1">
        <v>10.0</v>
      </c>
      <c r="AC162" s="1">
        <f t="shared" si="4"/>
        <v>50</v>
      </c>
      <c r="AD162" s="1">
        <v>80.0</v>
      </c>
      <c r="AE162" s="1">
        <v>20.0</v>
      </c>
      <c r="AF162" s="1">
        <f t="shared" si="5"/>
        <v>100</v>
      </c>
      <c r="AG162" s="1">
        <v>30.0</v>
      </c>
      <c r="AH162" s="1">
        <v>30.0</v>
      </c>
      <c r="AI162" s="1" t="b">
        <v>1</v>
      </c>
      <c r="AK162" s="1" t="b">
        <v>1</v>
      </c>
    </row>
    <row r="163" ht="15.75" customHeight="1">
      <c r="B163" s="1" t="s">
        <v>388</v>
      </c>
      <c r="C163" s="1" t="s">
        <v>389</v>
      </c>
      <c r="D163" s="1">
        <v>1.0</v>
      </c>
      <c r="E163" s="1" t="s">
        <v>103</v>
      </c>
      <c r="F163" s="1">
        <v>10.0</v>
      </c>
      <c r="G163" s="1">
        <v>10.0</v>
      </c>
      <c r="H163" s="1">
        <v>15.0</v>
      </c>
      <c r="I163" s="1">
        <v>5.0</v>
      </c>
      <c r="O163" s="1">
        <f t="shared" si="1"/>
        <v>40</v>
      </c>
      <c r="P163" s="1">
        <v>10.0</v>
      </c>
      <c r="Q163" s="1">
        <f t="shared" si="2"/>
        <v>50</v>
      </c>
      <c r="R163" s="1">
        <v>10.0</v>
      </c>
      <c r="S163" s="1">
        <v>10.0</v>
      </c>
      <c r="T163" s="1">
        <v>10.0</v>
      </c>
      <c r="U163" s="1">
        <v>10.0</v>
      </c>
      <c r="AA163" s="1">
        <f t="shared" si="3"/>
        <v>40</v>
      </c>
      <c r="AB163" s="1">
        <v>10.0</v>
      </c>
      <c r="AC163" s="1">
        <f t="shared" si="4"/>
        <v>50</v>
      </c>
      <c r="AD163" s="1">
        <v>80.0</v>
      </c>
      <c r="AE163" s="1">
        <v>20.0</v>
      </c>
      <c r="AF163" s="1">
        <f t="shared" si="5"/>
        <v>100</v>
      </c>
      <c r="AG163" s="1">
        <v>30.0</v>
      </c>
      <c r="AH163" s="1">
        <v>30.0</v>
      </c>
      <c r="AI163" s="1" t="b">
        <v>1</v>
      </c>
      <c r="AK163" s="1" t="b">
        <v>1</v>
      </c>
    </row>
    <row r="164" ht="15.75" customHeight="1">
      <c r="B164" s="1" t="s">
        <v>390</v>
      </c>
      <c r="C164" s="1" t="s">
        <v>391</v>
      </c>
      <c r="D164" s="1">
        <v>1.0</v>
      </c>
      <c r="E164" s="1" t="s">
        <v>103</v>
      </c>
      <c r="F164" s="1">
        <v>10.0</v>
      </c>
      <c r="G164" s="1">
        <v>10.0</v>
      </c>
      <c r="H164" s="1">
        <v>10.0</v>
      </c>
      <c r="I164" s="1">
        <v>10.0</v>
      </c>
      <c r="O164" s="1">
        <f t="shared" si="1"/>
        <v>40</v>
      </c>
      <c r="P164" s="1">
        <v>10.0</v>
      </c>
      <c r="Q164" s="1">
        <f t="shared" si="2"/>
        <v>50</v>
      </c>
      <c r="R164" s="1">
        <v>10.0</v>
      </c>
      <c r="S164" s="1">
        <v>10.0</v>
      </c>
      <c r="T164" s="1">
        <v>10.0</v>
      </c>
      <c r="U164" s="1">
        <v>10.0</v>
      </c>
      <c r="AA164" s="1">
        <f t="shared" si="3"/>
        <v>40</v>
      </c>
      <c r="AB164" s="1">
        <v>10.0</v>
      </c>
      <c r="AC164" s="1">
        <f t="shared" si="4"/>
        <v>50</v>
      </c>
      <c r="AD164" s="1">
        <v>80.0</v>
      </c>
      <c r="AE164" s="1">
        <v>20.0</v>
      </c>
      <c r="AF164" s="1">
        <f t="shared" si="5"/>
        <v>100</v>
      </c>
      <c r="AG164" s="1">
        <v>30.0</v>
      </c>
      <c r="AH164" s="1">
        <v>30.0</v>
      </c>
      <c r="AI164" s="1" t="b">
        <v>1</v>
      </c>
      <c r="AK164" s="1" t="b">
        <v>1</v>
      </c>
    </row>
    <row r="165" ht="15.75" customHeight="1">
      <c r="B165" s="1" t="s">
        <v>392</v>
      </c>
      <c r="C165" s="1" t="s">
        <v>393</v>
      </c>
      <c r="D165" s="1">
        <v>0.5</v>
      </c>
      <c r="E165" s="1" t="s">
        <v>394</v>
      </c>
      <c r="F165" s="1">
        <v>10.0</v>
      </c>
      <c r="G165" s="1">
        <v>10.0</v>
      </c>
      <c r="H165" s="1">
        <v>10.0</v>
      </c>
      <c r="I165" s="1">
        <v>10.0</v>
      </c>
      <c r="O165" s="1">
        <f t="shared" si="1"/>
        <v>40</v>
      </c>
      <c r="P165" s="1">
        <v>10.0</v>
      </c>
      <c r="Q165" s="1">
        <f t="shared" si="2"/>
        <v>50</v>
      </c>
      <c r="R165" s="1">
        <v>15.0</v>
      </c>
      <c r="S165" s="1">
        <v>15.0</v>
      </c>
      <c r="T165" s="1">
        <v>10.0</v>
      </c>
      <c r="AA165" s="1">
        <f t="shared" si="3"/>
        <v>40</v>
      </c>
      <c r="AB165" s="1">
        <v>10.0</v>
      </c>
      <c r="AC165" s="1">
        <f t="shared" si="4"/>
        <v>50</v>
      </c>
      <c r="AD165" s="1">
        <v>80.0</v>
      </c>
      <c r="AE165" s="1">
        <v>20.0</v>
      </c>
      <c r="AF165" s="1">
        <f t="shared" si="5"/>
        <v>100</v>
      </c>
      <c r="AG165" s="1">
        <v>30.0</v>
      </c>
      <c r="AH165" s="1">
        <v>30.0</v>
      </c>
      <c r="AI165" s="1" t="b">
        <v>1</v>
      </c>
      <c r="AK165" s="1" t="b">
        <v>1</v>
      </c>
    </row>
    <row r="166" ht="15.75" customHeight="1">
      <c r="A166" s="1" t="s">
        <v>54</v>
      </c>
      <c r="B166" s="1" t="s">
        <v>395</v>
      </c>
      <c r="C166" s="1" t="s">
        <v>376</v>
      </c>
      <c r="D166" s="1">
        <v>0.5</v>
      </c>
      <c r="E166" s="1" t="s">
        <v>56</v>
      </c>
      <c r="F166" s="1">
        <v>10.0</v>
      </c>
      <c r="G166" s="1">
        <v>15.0</v>
      </c>
      <c r="H166" s="1">
        <v>15.0</v>
      </c>
      <c r="O166" s="1">
        <f t="shared" si="1"/>
        <v>40</v>
      </c>
      <c r="P166" s="1">
        <v>10.0</v>
      </c>
      <c r="Q166" s="1">
        <f t="shared" si="2"/>
        <v>50</v>
      </c>
      <c r="R166" s="1">
        <v>10.0</v>
      </c>
      <c r="S166" s="1">
        <v>15.0</v>
      </c>
      <c r="T166" s="1">
        <v>15.0</v>
      </c>
      <c r="AA166" s="1">
        <f t="shared" si="3"/>
        <v>40</v>
      </c>
      <c r="AB166" s="1">
        <v>10.0</v>
      </c>
      <c r="AC166" s="1">
        <f t="shared" si="4"/>
        <v>50</v>
      </c>
      <c r="AD166" s="1">
        <v>80.0</v>
      </c>
      <c r="AE166" s="1">
        <v>20.0</v>
      </c>
      <c r="AF166" s="1">
        <f t="shared" si="5"/>
        <v>100</v>
      </c>
      <c r="AG166" s="1">
        <v>30.0</v>
      </c>
      <c r="AH166" s="1">
        <v>30.0</v>
      </c>
      <c r="AI166" s="1" t="b">
        <v>1</v>
      </c>
      <c r="AK166" s="1" t="b">
        <v>1</v>
      </c>
    </row>
    <row r="167" ht="15.75" customHeight="1">
      <c r="B167" s="1" t="s">
        <v>396</v>
      </c>
      <c r="C167" s="1" t="s">
        <v>397</v>
      </c>
      <c r="D167" s="1">
        <v>1.0</v>
      </c>
      <c r="E167" s="1" t="s">
        <v>59</v>
      </c>
      <c r="F167" s="1">
        <v>8.0</v>
      </c>
      <c r="G167" s="1">
        <v>8.0</v>
      </c>
      <c r="H167" s="1">
        <v>8.0</v>
      </c>
      <c r="I167" s="1">
        <v>8.0</v>
      </c>
      <c r="J167" s="1">
        <v>8.0</v>
      </c>
      <c r="O167" s="1">
        <f t="shared" si="1"/>
        <v>40</v>
      </c>
      <c r="P167" s="1">
        <v>10.0</v>
      </c>
      <c r="Q167" s="1">
        <f t="shared" si="2"/>
        <v>50</v>
      </c>
      <c r="R167" s="1">
        <v>10.0</v>
      </c>
      <c r="S167" s="1">
        <v>10.0</v>
      </c>
      <c r="T167" s="1">
        <v>10.0</v>
      </c>
      <c r="U167" s="1">
        <v>10.0</v>
      </c>
      <c r="AA167" s="1">
        <f t="shared" si="3"/>
        <v>40</v>
      </c>
      <c r="AB167" s="1">
        <v>10.0</v>
      </c>
      <c r="AC167" s="1">
        <f t="shared" si="4"/>
        <v>50</v>
      </c>
      <c r="AD167" s="1">
        <v>80.0</v>
      </c>
      <c r="AE167" s="1">
        <v>20.0</v>
      </c>
      <c r="AF167" s="1">
        <f t="shared" si="5"/>
        <v>100</v>
      </c>
      <c r="AG167" s="1">
        <v>30.0</v>
      </c>
      <c r="AH167" s="1">
        <v>30.0</v>
      </c>
      <c r="AI167" s="1" t="b">
        <v>1</v>
      </c>
      <c r="AK167" s="1" t="b">
        <v>1</v>
      </c>
    </row>
    <row r="168" ht="15.75" customHeight="1">
      <c r="B168" s="1" t="s">
        <v>398</v>
      </c>
      <c r="C168" s="1" t="s">
        <v>399</v>
      </c>
      <c r="D168" s="1">
        <v>1.0</v>
      </c>
      <c r="E168" s="1" t="s">
        <v>112</v>
      </c>
      <c r="F168" s="1">
        <v>10.0</v>
      </c>
      <c r="G168" s="1">
        <v>10.0</v>
      </c>
      <c r="H168" s="1">
        <v>10.0</v>
      </c>
      <c r="I168" s="1">
        <v>10.0</v>
      </c>
      <c r="O168" s="1">
        <f t="shared" si="1"/>
        <v>40</v>
      </c>
      <c r="P168" s="1">
        <v>10.0</v>
      </c>
      <c r="Q168" s="1">
        <f t="shared" si="2"/>
        <v>50</v>
      </c>
      <c r="R168" s="1">
        <v>10.0</v>
      </c>
      <c r="S168" s="1">
        <v>15.0</v>
      </c>
      <c r="T168" s="1">
        <v>15.0</v>
      </c>
      <c r="AA168" s="1">
        <f t="shared" si="3"/>
        <v>40</v>
      </c>
      <c r="AB168" s="1">
        <v>10.0</v>
      </c>
      <c r="AC168" s="1">
        <f t="shared" si="4"/>
        <v>50</v>
      </c>
      <c r="AD168" s="1">
        <v>80.0</v>
      </c>
      <c r="AE168" s="1">
        <v>20.0</v>
      </c>
      <c r="AF168" s="1">
        <f t="shared" si="5"/>
        <v>100</v>
      </c>
      <c r="AG168" s="1">
        <v>30.0</v>
      </c>
      <c r="AH168" s="1">
        <v>30.0</v>
      </c>
      <c r="AI168" s="1" t="b">
        <v>1</v>
      </c>
      <c r="AK168" s="1" t="b">
        <v>1</v>
      </c>
    </row>
    <row r="169" ht="15.75" customHeight="1">
      <c r="B169" s="1" t="s">
        <v>400</v>
      </c>
      <c r="C169" s="1" t="s">
        <v>401</v>
      </c>
      <c r="D169" s="1">
        <v>1.0</v>
      </c>
      <c r="E169" s="1" t="s">
        <v>112</v>
      </c>
      <c r="F169" s="1">
        <v>10.0</v>
      </c>
      <c r="G169" s="1">
        <v>10.0</v>
      </c>
      <c r="H169" s="1">
        <v>10.0</v>
      </c>
      <c r="I169" s="1">
        <v>10.0</v>
      </c>
      <c r="O169" s="1">
        <f t="shared" si="1"/>
        <v>40</v>
      </c>
      <c r="P169" s="1">
        <v>10.0</v>
      </c>
      <c r="Q169" s="1">
        <f t="shared" si="2"/>
        <v>50</v>
      </c>
      <c r="R169" s="1">
        <v>10.0</v>
      </c>
      <c r="S169" s="1">
        <v>10.0</v>
      </c>
      <c r="T169" s="1">
        <v>10.0</v>
      </c>
      <c r="U169" s="1">
        <v>10.0</v>
      </c>
      <c r="AA169" s="1">
        <f t="shared" si="3"/>
        <v>40</v>
      </c>
      <c r="AB169" s="1">
        <v>10.0</v>
      </c>
      <c r="AC169" s="1">
        <f t="shared" si="4"/>
        <v>50</v>
      </c>
      <c r="AD169" s="1">
        <v>80.0</v>
      </c>
      <c r="AE169" s="1">
        <v>20.0</v>
      </c>
      <c r="AF169" s="1">
        <f t="shared" si="5"/>
        <v>100</v>
      </c>
      <c r="AG169" s="1">
        <v>30.0</v>
      </c>
      <c r="AH169" s="1">
        <v>30.0</v>
      </c>
      <c r="AI169" s="1" t="b">
        <v>1</v>
      </c>
      <c r="AK169" s="1" t="b">
        <v>1</v>
      </c>
    </row>
    <row r="170" ht="15.75" customHeight="1">
      <c r="A170" s="1" t="s">
        <v>62</v>
      </c>
      <c r="B170" s="1" t="s">
        <v>402</v>
      </c>
      <c r="C170" s="1" t="s">
        <v>382</v>
      </c>
      <c r="D170" s="1">
        <v>0.5</v>
      </c>
      <c r="E170" s="1" t="s">
        <v>64</v>
      </c>
      <c r="F170" s="1">
        <v>10.0</v>
      </c>
      <c r="G170" s="1">
        <v>10.0</v>
      </c>
      <c r="H170" s="1">
        <v>10.0</v>
      </c>
      <c r="I170" s="1">
        <v>10.0</v>
      </c>
      <c r="O170" s="1">
        <f t="shared" si="1"/>
        <v>40</v>
      </c>
      <c r="P170" s="1">
        <v>10.0</v>
      </c>
      <c r="Q170" s="1">
        <f t="shared" si="2"/>
        <v>50</v>
      </c>
      <c r="R170" s="1">
        <v>10.0</v>
      </c>
      <c r="S170" s="1">
        <v>10.0</v>
      </c>
      <c r="T170" s="1">
        <v>15.0</v>
      </c>
      <c r="U170" s="1">
        <v>5.0</v>
      </c>
      <c r="AA170" s="1">
        <f t="shared" si="3"/>
        <v>40</v>
      </c>
      <c r="AB170" s="1">
        <v>10.0</v>
      </c>
      <c r="AC170" s="1">
        <f t="shared" si="4"/>
        <v>50</v>
      </c>
      <c r="AD170" s="1">
        <v>80.0</v>
      </c>
      <c r="AE170" s="1">
        <v>20.0</v>
      </c>
      <c r="AF170" s="1">
        <f t="shared" si="5"/>
        <v>100</v>
      </c>
      <c r="AG170" s="1">
        <v>30.0</v>
      </c>
      <c r="AH170" s="1">
        <v>30.0</v>
      </c>
      <c r="AI170" s="1" t="b">
        <v>1</v>
      </c>
      <c r="AK170" s="1" t="b">
        <v>1</v>
      </c>
    </row>
    <row r="171" ht="15.75" customHeight="1">
      <c r="B171" s="1" t="s">
        <v>403</v>
      </c>
      <c r="C171" s="1" t="s">
        <v>404</v>
      </c>
      <c r="D171" s="1">
        <v>1.0</v>
      </c>
      <c r="E171" s="1" t="s">
        <v>70</v>
      </c>
      <c r="F171" s="1">
        <v>15.0</v>
      </c>
      <c r="G171" s="1">
        <v>15.0</v>
      </c>
      <c r="H171" s="1">
        <v>10.0</v>
      </c>
      <c r="O171" s="1">
        <f t="shared" si="1"/>
        <v>40</v>
      </c>
      <c r="P171" s="1">
        <v>10.0</v>
      </c>
      <c r="Q171" s="1">
        <f t="shared" si="2"/>
        <v>50</v>
      </c>
      <c r="R171" s="1">
        <v>15.0</v>
      </c>
      <c r="S171" s="1">
        <v>10.0</v>
      </c>
      <c r="T171" s="1">
        <v>15.0</v>
      </c>
      <c r="AA171" s="1">
        <f t="shared" si="3"/>
        <v>40</v>
      </c>
      <c r="AB171" s="1">
        <v>10.0</v>
      </c>
      <c r="AC171" s="1">
        <f t="shared" si="4"/>
        <v>50</v>
      </c>
      <c r="AD171" s="1">
        <v>80.0</v>
      </c>
      <c r="AE171" s="1">
        <v>20.0</v>
      </c>
      <c r="AF171" s="1">
        <f t="shared" si="5"/>
        <v>100</v>
      </c>
      <c r="AG171" s="1">
        <v>30.0</v>
      </c>
      <c r="AH171" s="1">
        <v>30.0</v>
      </c>
      <c r="AI171" s="1" t="b">
        <v>1</v>
      </c>
      <c r="AK171" s="1" t="b">
        <v>1</v>
      </c>
    </row>
    <row r="172" ht="15.75" customHeight="1">
      <c r="B172" s="1" t="s">
        <v>405</v>
      </c>
      <c r="C172" s="1" t="s">
        <v>406</v>
      </c>
      <c r="D172" s="1">
        <v>1.0</v>
      </c>
      <c r="E172" s="1" t="s">
        <v>121</v>
      </c>
      <c r="F172" s="1">
        <v>10.0</v>
      </c>
      <c r="G172" s="1">
        <v>15.0</v>
      </c>
      <c r="H172" s="1">
        <v>15.0</v>
      </c>
      <c r="O172" s="1">
        <f t="shared" si="1"/>
        <v>40</v>
      </c>
      <c r="P172" s="1">
        <v>10.0</v>
      </c>
      <c r="Q172" s="1">
        <f t="shared" si="2"/>
        <v>50</v>
      </c>
      <c r="R172" s="1">
        <v>15.0</v>
      </c>
      <c r="S172" s="1">
        <v>15.0</v>
      </c>
      <c r="T172" s="1">
        <v>10.0</v>
      </c>
      <c r="AA172" s="1">
        <f t="shared" si="3"/>
        <v>40</v>
      </c>
      <c r="AB172" s="1">
        <v>10.0</v>
      </c>
      <c r="AC172" s="1">
        <f t="shared" si="4"/>
        <v>50</v>
      </c>
      <c r="AD172" s="1">
        <v>80.0</v>
      </c>
      <c r="AE172" s="1">
        <v>20.0</v>
      </c>
      <c r="AF172" s="1">
        <f t="shared" si="5"/>
        <v>100</v>
      </c>
      <c r="AG172" s="1">
        <v>30.0</v>
      </c>
      <c r="AH172" s="1">
        <v>30.0</v>
      </c>
      <c r="AI172" s="1" t="b">
        <v>1</v>
      </c>
      <c r="AK172" s="1" t="b">
        <v>1</v>
      </c>
    </row>
    <row r="173" ht="15.75" customHeight="1">
      <c r="B173" s="1" t="s">
        <v>407</v>
      </c>
      <c r="C173" s="1" t="s">
        <v>408</v>
      </c>
      <c r="D173" s="1">
        <v>1.0</v>
      </c>
      <c r="E173" s="1" t="s">
        <v>121</v>
      </c>
      <c r="F173" s="1">
        <v>10.0</v>
      </c>
      <c r="G173" s="1">
        <v>10.0</v>
      </c>
      <c r="H173" s="1">
        <v>10.0</v>
      </c>
      <c r="I173" s="1">
        <v>10.0</v>
      </c>
      <c r="O173" s="1">
        <f t="shared" si="1"/>
        <v>40</v>
      </c>
      <c r="P173" s="1">
        <v>10.0</v>
      </c>
      <c r="Q173" s="1">
        <f t="shared" si="2"/>
        <v>50</v>
      </c>
      <c r="R173" s="1">
        <v>5.0</v>
      </c>
      <c r="S173" s="1">
        <v>15.0</v>
      </c>
      <c r="T173" s="1">
        <v>10.0</v>
      </c>
      <c r="U173" s="1">
        <v>10.0</v>
      </c>
      <c r="AA173" s="1">
        <f t="shared" si="3"/>
        <v>40</v>
      </c>
      <c r="AB173" s="1">
        <v>10.0</v>
      </c>
      <c r="AC173" s="1">
        <f t="shared" si="4"/>
        <v>50</v>
      </c>
      <c r="AD173" s="1">
        <v>80.0</v>
      </c>
      <c r="AE173" s="1">
        <v>20.0</v>
      </c>
      <c r="AF173" s="1">
        <f t="shared" si="5"/>
        <v>100</v>
      </c>
      <c r="AG173" s="1">
        <v>30.0</v>
      </c>
      <c r="AH173" s="1">
        <v>30.0</v>
      </c>
      <c r="AI173" s="1" t="b">
        <v>1</v>
      </c>
      <c r="AK173" s="1" t="b">
        <v>1</v>
      </c>
    </row>
    <row r="174" ht="15.75" customHeight="1">
      <c r="A174" s="1" t="s">
        <v>34</v>
      </c>
      <c r="B174" s="1" t="s">
        <v>409</v>
      </c>
      <c r="C174" s="1" t="s">
        <v>410</v>
      </c>
      <c r="D174" s="1">
        <v>1.5</v>
      </c>
      <c r="E174" s="1" t="s">
        <v>37</v>
      </c>
      <c r="F174" s="1">
        <v>10.0</v>
      </c>
      <c r="G174" s="1">
        <v>10.0</v>
      </c>
      <c r="H174" s="1">
        <v>15.0</v>
      </c>
      <c r="O174" s="1">
        <f t="shared" si="1"/>
        <v>35</v>
      </c>
      <c r="P174" s="1">
        <v>15.0</v>
      </c>
      <c r="Q174" s="1">
        <f t="shared" si="2"/>
        <v>50</v>
      </c>
      <c r="R174" s="1">
        <v>10.0</v>
      </c>
      <c r="S174" s="1">
        <v>10.0</v>
      </c>
      <c r="T174" s="1">
        <v>15.0</v>
      </c>
      <c r="AA174" s="1">
        <f t="shared" si="3"/>
        <v>35</v>
      </c>
      <c r="AB174" s="1">
        <v>15.0</v>
      </c>
      <c r="AC174" s="1">
        <f t="shared" si="4"/>
        <v>50</v>
      </c>
      <c r="AD174" s="1">
        <v>70.0</v>
      </c>
      <c r="AE174" s="1">
        <v>30.0</v>
      </c>
      <c r="AF174" s="1">
        <f t="shared" si="5"/>
        <v>100</v>
      </c>
      <c r="AG174" s="1">
        <v>40.0</v>
      </c>
      <c r="AH174" s="1">
        <v>40.0</v>
      </c>
      <c r="AI174" s="1" t="b">
        <v>1</v>
      </c>
      <c r="AK174" s="1" t="b">
        <v>1</v>
      </c>
    </row>
    <row r="175" ht="15.75" customHeight="1">
      <c r="B175" s="1" t="s">
        <v>411</v>
      </c>
      <c r="C175" s="1" t="s">
        <v>412</v>
      </c>
      <c r="D175" s="1">
        <v>0.5</v>
      </c>
      <c r="E175" s="1" t="s">
        <v>78</v>
      </c>
      <c r="F175" s="1">
        <v>15.0</v>
      </c>
      <c r="G175" s="1">
        <v>10.0</v>
      </c>
      <c r="H175" s="1">
        <v>10.0</v>
      </c>
      <c r="O175" s="1">
        <f t="shared" si="1"/>
        <v>35</v>
      </c>
      <c r="P175" s="1">
        <v>15.0</v>
      </c>
      <c r="Q175" s="1">
        <f t="shared" si="2"/>
        <v>50</v>
      </c>
      <c r="R175" s="1">
        <v>15.0</v>
      </c>
      <c r="S175" s="1">
        <v>10.0</v>
      </c>
      <c r="T175" s="1">
        <v>10.0</v>
      </c>
      <c r="AA175" s="1">
        <f t="shared" si="3"/>
        <v>35</v>
      </c>
      <c r="AB175" s="1">
        <v>15.0</v>
      </c>
      <c r="AC175" s="1">
        <f t="shared" si="4"/>
        <v>50</v>
      </c>
      <c r="AD175" s="1">
        <v>70.0</v>
      </c>
      <c r="AE175" s="1">
        <v>30.0</v>
      </c>
      <c r="AF175" s="1">
        <f t="shared" si="5"/>
        <v>100</v>
      </c>
      <c r="AG175" s="1">
        <v>40.0</v>
      </c>
      <c r="AH175" s="1">
        <v>40.0</v>
      </c>
      <c r="AI175" s="1" t="b">
        <v>1</v>
      </c>
      <c r="AK175" s="1" t="b">
        <v>1</v>
      </c>
    </row>
    <row r="176" ht="15.75" customHeight="1">
      <c r="B176" s="1" t="s">
        <v>413</v>
      </c>
      <c r="C176" s="1" t="s">
        <v>414</v>
      </c>
      <c r="D176" s="1">
        <v>0.5</v>
      </c>
      <c r="E176" s="1" t="s">
        <v>37</v>
      </c>
      <c r="F176" s="1">
        <v>5.0</v>
      </c>
      <c r="G176" s="1">
        <v>15.0</v>
      </c>
      <c r="H176" s="1">
        <v>15.0</v>
      </c>
      <c r="O176" s="1">
        <f t="shared" si="1"/>
        <v>35</v>
      </c>
      <c r="P176" s="1">
        <v>15.0</v>
      </c>
      <c r="Q176" s="1">
        <f t="shared" si="2"/>
        <v>50</v>
      </c>
      <c r="R176" s="1">
        <v>10.0</v>
      </c>
      <c r="S176" s="1">
        <v>15.0</v>
      </c>
      <c r="T176" s="1">
        <v>10.0</v>
      </c>
      <c r="AA176" s="1">
        <f t="shared" si="3"/>
        <v>35</v>
      </c>
      <c r="AB176" s="1">
        <v>15.0</v>
      </c>
      <c r="AC176" s="1">
        <f t="shared" si="4"/>
        <v>50</v>
      </c>
      <c r="AD176" s="1">
        <v>70.0</v>
      </c>
      <c r="AE176" s="1">
        <v>30.0</v>
      </c>
      <c r="AF176" s="1">
        <f t="shared" si="5"/>
        <v>100</v>
      </c>
      <c r="AG176" s="1">
        <v>40.0</v>
      </c>
      <c r="AH176" s="1">
        <v>40.0</v>
      </c>
      <c r="AI176" s="1" t="b">
        <v>1</v>
      </c>
      <c r="AK176" s="1" t="b">
        <v>1</v>
      </c>
    </row>
    <row r="177" ht="15.75" customHeight="1">
      <c r="B177" s="1" t="s">
        <v>415</v>
      </c>
      <c r="C177" s="1" t="s">
        <v>416</v>
      </c>
      <c r="D177" s="1">
        <v>0.5</v>
      </c>
      <c r="E177" s="1" t="s">
        <v>417</v>
      </c>
      <c r="F177" s="1">
        <v>15.0</v>
      </c>
      <c r="G177" s="1">
        <v>10.0</v>
      </c>
      <c r="H177" s="1">
        <v>10.0</v>
      </c>
      <c r="O177" s="1">
        <f t="shared" si="1"/>
        <v>35</v>
      </c>
      <c r="P177" s="1">
        <v>15.0</v>
      </c>
      <c r="Q177" s="1">
        <f t="shared" si="2"/>
        <v>50</v>
      </c>
      <c r="R177" s="1">
        <v>10.0</v>
      </c>
      <c r="S177" s="1">
        <v>10.0</v>
      </c>
      <c r="T177" s="1">
        <v>15.0</v>
      </c>
      <c r="AA177" s="1">
        <f t="shared" si="3"/>
        <v>35</v>
      </c>
      <c r="AB177" s="1">
        <v>15.0</v>
      </c>
      <c r="AC177" s="1">
        <f t="shared" si="4"/>
        <v>50</v>
      </c>
      <c r="AD177" s="1">
        <v>70.0</v>
      </c>
      <c r="AE177" s="1">
        <v>30.0</v>
      </c>
      <c r="AF177" s="1">
        <f t="shared" si="5"/>
        <v>100</v>
      </c>
      <c r="AG177" s="1">
        <v>40.0</v>
      </c>
      <c r="AH177" s="1">
        <v>40.0</v>
      </c>
      <c r="AI177" s="1" t="b">
        <v>1</v>
      </c>
      <c r="AK177" s="1" t="b">
        <v>1</v>
      </c>
    </row>
    <row r="178" ht="15.75" customHeight="1">
      <c r="B178" s="1" t="s">
        <v>418</v>
      </c>
      <c r="C178" s="1" t="s">
        <v>419</v>
      </c>
      <c r="D178" s="1">
        <v>1.0</v>
      </c>
      <c r="E178" s="1" t="s">
        <v>420</v>
      </c>
      <c r="F178" s="1">
        <v>10.0</v>
      </c>
      <c r="G178" s="1">
        <v>10.0</v>
      </c>
      <c r="H178" s="1">
        <v>10.0</v>
      </c>
      <c r="I178" s="1">
        <v>5.0</v>
      </c>
      <c r="O178" s="1">
        <f t="shared" si="1"/>
        <v>35</v>
      </c>
      <c r="P178" s="1">
        <v>15.0</v>
      </c>
      <c r="Q178" s="1">
        <f t="shared" si="2"/>
        <v>50</v>
      </c>
      <c r="R178" s="1">
        <v>15.0</v>
      </c>
      <c r="S178" s="1">
        <v>15.0</v>
      </c>
      <c r="T178" s="1">
        <v>5.0</v>
      </c>
      <c r="AA178" s="1">
        <f t="shared" si="3"/>
        <v>35</v>
      </c>
      <c r="AB178" s="1">
        <v>15.0</v>
      </c>
      <c r="AC178" s="1">
        <f t="shared" si="4"/>
        <v>50</v>
      </c>
      <c r="AD178" s="1">
        <v>70.0</v>
      </c>
      <c r="AE178" s="1">
        <v>30.0</v>
      </c>
      <c r="AF178" s="1">
        <f t="shared" si="5"/>
        <v>100</v>
      </c>
      <c r="AG178" s="1">
        <v>50.0</v>
      </c>
      <c r="AH178" s="1">
        <v>50.0</v>
      </c>
      <c r="AI178" s="1" t="b">
        <v>1</v>
      </c>
      <c r="AK178" s="1" t="b">
        <v>0</v>
      </c>
    </row>
    <row r="179" ht="15.75" customHeight="1">
      <c r="B179" s="1" t="s">
        <v>421</v>
      </c>
      <c r="C179" s="1" t="s">
        <v>422</v>
      </c>
      <c r="D179" s="1">
        <v>1.0</v>
      </c>
      <c r="E179" s="1" t="s">
        <v>423</v>
      </c>
      <c r="F179" s="1">
        <v>15.0</v>
      </c>
      <c r="G179" s="1">
        <v>10.0</v>
      </c>
      <c r="H179" s="1">
        <v>10.0</v>
      </c>
      <c r="O179" s="1">
        <f t="shared" si="1"/>
        <v>35</v>
      </c>
      <c r="P179" s="1">
        <v>15.0</v>
      </c>
      <c r="Q179" s="1">
        <f t="shared" si="2"/>
        <v>50</v>
      </c>
      <c r="R179" s="1">
        <v>15.0</v>
      </c>
      <c r="S179" s="1">
        <v>10.0</v>
      </c>
      <c r="T179" s="1">
        <v>10.0</v>
      </c>
      <c r="AA179" s="1">
        <f t="shared" si="3"/>
        <v>35</v>
      </c>
      <c r="AB179" s="1">
        <v>15.0</v>
      </c>
      <c r="AC179" s="1">
        <f t="shared" si="4"/>
        <v>50</v>
      </c>
      <c r="AD179" s="1">
        <v>70.0</v>
      </c>
      <c r="AE179" s="1">
        <v>30.0</v>
      </c>
      <c r="AF179" s="1">
        <f t="shared" si="5"/>
        <v>100</v>
      </c>
      <c r="AG179" s="1">
        <v>40.0</v>
      </c>
      <c r="AH179" s="1">
        <v>40.0</v>
      </c>
      <c r="AI179" s="1" t="b">
        <v>1</v>
      </c>
      <c r="AK179" s="1" t="b">
        <v>1</v>
      </c>
    </row>
    <row r="180" ht="15.75" customHeight="1">
      <c r="B180" s="1" t="s">
        <v>424</v>
      </c>
      <c r="C180" s="1" t="s">
        <v>425</v>
      </c>
      <c r="D180" s="1">
        <v>1.0</v>
      </c>
      <c r="E180" s="1" t="s">
        <v>420</v>
      </c>
      <c r="F180" s="1">
        <v>10.0</v>
      </c>
      <c r="G180" s="1">
        <v>10.0</v>
      </c>
      <c r="H180" s="1">
        <v>15.0</v>
      </c>
      <c r="O180" s="1">
        <f t="shared" si="1"/>
        <v>35</v>
      </c>
      <c r="P180" s="1">
        <v>15.0</v>
      </c>
      <c r="Q180" s="1">
        <f t="shared" si="2"/>
        <v>50</v>
      </c>
      <c r="R180" s="1">
        <v>15.0</v>
      </c>
      <c r="S180" s="1">
        <v>10.0</v>
      </c>
      <c r="T180" s="1">
        <v>10.0</v>
      </c>
      <c r="AA180" s="1">
        <f t="shared" si="3"/>
        <v>35</v>
      </c>
      <c r="AB180" s="1">
        <v>15.0</v>
      </c>
      <c r="AC180" s="1">
        <f t="shared" si="4"/>
        <v>50</v>
      </c>
      <c r="AD180" s="1">
        <v>70.0</v>
      </c>
      <c r="AE180" s="1">
        <v>30.0</v>
      </c>
      <c r="AF180" s="1">
        <f t="shared" si="5"/>
        <v>100</v>
      </c>
      <c r="AG180" s="1">
        <v>40.0</v>
      </c>
      <c r="AH180" s="1">
        <v>40.0</v>
      </c>
      <c r="AI180" s="1" t="b">
        <v>1</v>
      </c>
      <c r="AK180" s="1" t="b">
        <v>1</v>
      </c>
    </row>
    <row r="181" ht="15.75" customHeight="1">
      <c r="B181" s="1" t="s">
        <v>426</v>
      </c>
      <c r="C181" s="1" t="s">
        <v>427</v>
      </c>
      <c r="D181" s="1">
        <v>1.0</v>
      </c>
      <c r="E181" s="1" t="s">
        <v>423</v>
      </c>
      <c r="F181" s="1">
        <v>10.0</v>
      </c>
      <c r="G181" s="1">
        <v>10.0</v>
      </c>
      <c r="H181" s="1">
        <v>15.0</v>
      </c>
      <c r="O181" s="1">
        <f t="shared" si="1"/>
        <v>35</v>
      </c>
      <c r="P181" s="1">
        <v>15.0</v>
      </c>
      <c r="Q181" s="1">
        <f t="shared" si="2"/>
        <v>50</v>
      </c>
      <c r="R181" s="1">
        <v>15.0</v>
      </c>
      <c r="S181" s="1">
        <v>10.0</v>
      </c>
      <c r="T181" s="1">
        <v>10.0</v>
      </c>
      <c r="AA181" s="1">
        <f t="shared" si="3"/>
        <v>35</v>
      </c>
      <c r="AB181" s="1">
        <v>15.0</v>
      </c>
      <c r="AC181" s="1">
        <f t="shared" si="4"/>
        <v>50</v>
      </c>
      <c r="AD181" s="1">
        <v>70.0</v>
      </c>
      <c r="AE181" s="1">
        <v>30.0</v>
      </c>
      <c r="AF181" s="1">
        <f t="shared" si="5"/>
        <v>100</v>
      </c>
      <c r="AG181" s="1">
        <v>40.0</v>
      </c>
      <c r="AH181" s="1">
        <v>40.0</v>
      </c>
      <c r="AI181" s="1" t="b">
        <v>1</v>
      </c>
      <c r="AK181" s="1" t="b">
        <v>1</v>
      </c>
      <c r="AL181" s="1" t="s">
        <v>428</v>
      </c>
    </row>
    <row r="182" ht="15.75" customHeight="1">
      <c r="A182" s="1" t="s">
        <v>38</v>
      </c>
      <c r="B182" s="1" t="s">
        <v>429</v>
      </c>
      <c r="C182" s="1" t="s">
        <v>430</v>
      </c>
      <c r="D182" s="1">
        <v>1.5</v>
      </c>
      <c r="E182" s="1" t="s">
        <v>41</v>
      </c>
      <c r="F182" s="1">
        <v>15.0</v>
      </c>
      <c r="G182" s="1">
        <v>10.0</v>
      </c>
      <c r="H182" s="1">
        <v>10.0</v>
      </c>
      <c r="O182" s="1">
        <f t="shared" si="1"/>
        <v>35</v>
      </c>
      <c r="P182" s="1">
        <v>15.0</v>
      </c>
      <c r="Q182" s="1">
        <f t="shared" si="2"/>
        <v>50</v>
      </c>
      <c r="R182" s="1">
        <v>15.0</v>
      </c>
      <c r="S182" s="1">
        <v>10.0</v>
      </c>
      <c r="T182" s="1">
        <v>10.0</v>
      </c>
      <c r="AA182" s="1">
        <f t="shared" si="3"/>
        <v>35</v>
      </c>
      <c r="AB182" s="1">
        <v>15.0</v>
      </c>
      <c r="AC182" s="1">
        <f t="shared" si="4"/>
        <v>50</v>
      </c>
      <c r="AD182" s="1">
        <v>70.0</v>
      </c>
      <c r="AE182" s="1">
        <v>30.0</v>
      </c>
      <c r="AF182" s="1">
        <f t="shared" si="5"/>
        <v>100</v>
      </c>
      <c r="AG182" s="1">
        <v>40.0</v>
      </c>
      <c r="AH182" s="1">
        <v>40.0</v>
      </c>
      <c r="AI182" s="1" t="b">
        <v>1</v>
      </c>
      <c r="AK182" s="1" t="b">
        <v>1</v>
      </c>
    </row>
    <row r="183" ht="15.75" customHeight="1">
      <c r="B183" s="1" t="s">
        <v>431</v>
      </c>
      <c r="C183" s="1" t="s">
        <v>432</v>
      </c>
      <c r="D183" s="1">
        <v>0.5</v>
      </c>
      <c r="E183" s="1" t="s">
        <v>225</v>
      </c>
      <c r="F183" s="1">
        <v>10.0</v>
      </c>
      <c r="G183" s="1">
        <v>10.0</v>
      </c>
      <c r="H183" s="1">
        <v>15.0</v>
      </c>
      <c r="O183" s="1">
        <f t="shared" si="1"/>
        <v>35</v>
      </c>
      <c r="P183" s="1">
        <v>15.0</v>
      </c>
      <c r="Q183" s="1">
        <f t="shared" si="2"/>
        <v>50</v>
      </c>
      <c r="R183" s="1">
        <v>10.0</v>
      </c>
      <c r="S183" s="1">
        <v>10.0</v>
      </c>
      <c r="T183" s="1">
        <v>15.0</v>
      </c>
      <c r="AA183" s="1">
        <f t="shared" si="3"/>
        <v>35</v>
      </c>
      <c r="AB183" s="1">
        <v>15.0</v>
      </c>
      <c r="AC183" s="1">
        <f t="shared" si="4"/>
        <v>50</v>
      </c>
      <c r="AD183" s="1">
        <v>70.0</v>
      </c>
      <c r="AE183" s="1">
        <v>30.0</v>
      </c>
      <c r="AF183" s="1">
        <f t="shared" si="5"/>
        <v>100</v>
      </c>
      <c r="AG183" s="1">
        <v>40.0</v>
      </c>
      <c r="AH183" s="1">
        <v>40.0</v>
      </c>
      <c r="AI183" s="1" t="b">
        <v>1</v>
      </c>
      <c r="AK183" s="1" t="b">
        <v>1</v>
      </c>
    </row>
    <row r="184" ht="15.75" customHeight="1">
      <c r="B184" s="1" t="s">
        <v>433</v>
      </c>
      <c r="C184" s="1" t="s">
        <v>434</v>
      </c>
      <c r="D184" s="1">
        <v>0.5</v>
      </c>
      <c r="E184" s="1" t="s">
        <v>89</v>
      </c>
      <c r="F184" s="1">
        <v>12.0</v>
      </c>
      <c r="G184" s="1">
        <v>12.0</v>
      </c>
      <c r="H184" s="1">
        <v>11.0</v>
      </c>
      <c r="O184" s="1">
        <f t="shared" si="1"/>
        <v>35</v>
      </c>
      <c r="P184" s="1">
        <v>15.0</v>
      </c>
      <c r="Q184" s="1">
        <f t="shared" si="2"/>
        <v>50</v>
      </c>
      <c r="R184" s="1">
        <v>12.0</v>
      </c>
      <c r="S184" s="1">
        <v>12.0</v>
      </c>
      <c r="T184" s="1">
        <v>11.0</v>
      </c>
      <c r="AA184" s="1">
        <f t="shared" si="3"/>
        <v>35</v>
      </c>
      <c r="AB184" s="1">
        <v>15.0</v>
      </c>
      <c r="AC184" s="1">
        <f t="shared" si="4"/>
        <v>50</v>
      </c>
      <c r="AD184" s="1">
        <v>70.0</v>
      </c>
      <c r="AE184" s="1">
        <v>30.0</v>
      </c>
      <c r="AF184" s="1">
        <f t="shared" si="5"/>
        <v>100</v>
      </c>
      <c r="AG184" s="1">
        <v>40.0</v>
      </c>
      <c r="AH184" s="1">
        <v>40.0</v>
      </c>
      <c r="AI184" s="1" t="b">
        <v>1</v>
      </c>
      <c r="AK184" s="1" t="b">
        <v>1</v>
      </c>
    </row>
    <row r="185" ht="15.75" customHeight="1">
      <c r="B185" s="1" t="s">
        <v>435</v>
      </c>
      <c r="C185" s="1" t="s">
        <v>436</v>
      </c>
      <c r="D185" s="1">
        <v>0.5</v>
      </c>
      <c r="E185" s="1" t="s">
        <v>41</v>
      </c>
      <c r="F185" s="1">
        <v>15.0</v>
      </c>
      <c r="G185" s="1">
        <v>10.0</v>
      </c>
      <c r="H185" s="1">
        <v>10.0</v>
      </c>
      <c r="O185" s="1">
        <f t="shared" si="1"/>
        <v>35</v>
      </c>
      <c r="P185" s="1">
        <v>15.0</v>
      </c>
      <c r="Q185" s="1">
        <f t="shared" si="2"/>
        <v>50</v>
      </c>
      <c r="R185" s="1">
        <v>10.0</v>
      </c>
      <c r="S185" s="1">
        <v>15.0</v>
      </c>
      <c r="T185" s="1">
        <v>10.0</v>
      </c>
      <c r="AA185" s="1">
        <f t="shared" si="3"/>
        <v>35</v>
      </c>
      <c r="AB185" s="1">
        <v>15.0</v>
      </c>
      <c r="AC185" s="1">
        <f t="shared" si="4"/>
        <v>50</v>
      </c>
      <c r="AD185" s="1">
        <v>70.0</v>
      </c>
      <c r="AE185" s="1">
        <v>30.0</v>
      </c>
      <c r="AF185" s="1">
        <f t="shared" si="5"/>
        <v>100</v>
      </c>
      <c r="AG185" s="1">
        <v>40.0</v>
      </c>
      <c r="AH185" s="1">
        <v>40.0</v>
      </c>
      <c r="AI185" s="1" t="b">
        <v>1</v>
      </c>
      <c r="AK185" s="1" t="b">
        <v>1</v>
      </c>
    </row>
    <row r="186" ht="15.75" customHeight="1">
      <c r="B186" s="1" t="s">
        <v>437</v>
      </c>
      <c r="C186" s="1" t="s">
        <v>438</v>
      </c>
      <c r="D186" s="1">
        <v>1.0</v>
      </c>
      <c r="E186" s="1" t="s">
        <v>439</v>
      </c>
      <c r="F186" s="1">
        <v>10.0</v>
      </c>
      <c r="G186" s="1">
        <v>15.0</v>
      </c>
      <c r="H186" s="1">
        <v>10.0</v>
      </c>
      <c r="O186" s="1">
        <f t="shared" si="1"/>
        <v>35</v>
      </c>
      <c r="P186" s="1">
        <v>15.0</v>
      </c>
      <c r="Q186" s="1">
        <f t="shared" si="2"/>
        <v>50</v>
      </c>
      <c r="R186" s="1">
        <v>15.0</v>
      </c>
      <c r="S186" s="1">
        <v>10.0</v>
      </c>
      <c r="T186" s="1">
        <v>10.0</v>
      </c>
      <c r="AA186" s="1">
        <f t="shared" si="3"/>
        <v>35</v>
      </c>
      <c r="AB186" s="1">
        <v>15.0</v>
      </c>
      <c r="AC186" s="1">
        <f t="shared" si="4"/>
        <v>50</v>
      </c>
      <c r="AD186" s="1">
        <v>70.0</v>
      </c>
      <c r="AE186" s="1">
        <v>30.0</v>
      </c>
      <c r="AF186" s="1">
        <f t="shared" si="5"/>
        <v>100</v>
      </c>
      <c r="AG186" s="1">
        <v>40.0</v>
      </c>
      <c r="AH186" s="1">
        <v>40.0</v>
      </c>
      <c r="AI186" s="1" t="b">
        <v>1</v>
      </c>
      <c r="AK186" s="1" t="b">
        <v>1</v>
      </c>
    </row>
    <row r="187" ht="15.75" customHeight="1">
      <c r="B187" s="1" t="s">
        <v>440</v>
      </c>
      <c r="C187" s="1" t="s">
        <v>441</v>
      </c>
      <c r="D187" s="1">
        <v>1.0</v>
      </c>
      <c r="E187" s="1" t="s">
        <v>442</v>
      </c>
      <c r="F187" s="1">
        <v>10.0</v>
      </c>
      <c r="G187" s="1">
        <v>10.0</v>
      </c>
      <c r="H187" s="1">
        <v>15.0</v>
      </c>
      <c r="O187" s="1">
        <f t="shared" si="1"/>
        <v>35</v>
      </c>
      <c r="P187" s="1">
        <v>15.0</v>
      </c>
      <c r="Q187" s="1">
        <f t="shared" si="2"/>
        <v>50</v>
      </c>
      <c r="R187" s="1">
        <v>10.0</v>
      </c>
      <c r="S187" s="1">
        <v>10.0</v>
      </c>
      <c r="T187" s="1">
        <v>15.0</v>
      </c>
      <c r="AA187" s="1">
        <f t="shared" si="3"/>
        <v>35</v>
      </c>
      <c r="AB187" s="1">
        <v>15.0</v>
      </c>
      <c r="AC187" s="1">
        <f t="shared" si="4"/>
        <v>50</v>
      </c>
      <c r="AD187" s="1">
        <v>70.0</v>
      </c>
      <c r="AE187" s="1">
        <v>30.0</v>
      </c>
      <c r="AF187" s="1">
        <f t="shared" si="5"/>
        <v>100</v>
      </c>
      <c r="AG187" s="1">
        <v>40.0</v>
      </c>
      <c r="AH187" s="1">
        <v>40.0</v>
      </c>
      <c r="AI187" s="1" t="b">
        <v>1</v>
      </c>
      <c r="AK187" s="1" t="b">
        <v>1</v>
      </c>
    </row>
    <row r="188" ht="15.75" customHeight="1">
      <c r="A188" s="1" t="s">
        <v>42</v>
      </c>
      <c r="B188" s="1" t="s">
        <v>443</v>
      </c>
      <c r="C188" s="1" t="s">
        <v>444</v>
      </c>
      <c r="D188" s="1">
        <v>1.5</v>
      </c>
      <c r="E188" s="1" t="s">
        <v>45</v>
      </c>
      <c r="F188" s="1">
        <v>15.0</v>
      </c>
      <c r="G188" s="1">
        <v>10.0</v>
      </c>
      <c r="H188" s="1">
        <v>10.0</v>
      </c>
      <c r="O188" s="1">
        <f t="shared" si="1"/>
        <v>35</v>
      </c>
      <c r="P188" s="1">
        <v>15.0</v>
      </c>
      <c r="Q188" s="1">
        <f t="shared" si="2"/>
        <v>50</v>
      </c>
      <c r="R188" s="1">
        <v>15.0</v>
      </c>
      <c r="S188" s="1">
        <v>10.0</v>
      </c>
      <c r="T188" s="1">
        <v>10.0</v>
      </c>
      <c r="AA188" s="1">
        <f t="shared" si="3"/>
        <v>35</v>
      </c>
      <c r="AB188" s="1">
        <v>15.0</v>
      </c>
      <c r="AC188" s="1">
        <f t="shared" si="4"/>
        <v>50</v>
      </c>
      <c r="AD188" s="1">
        <v>70.0</v>
      </c>
      <c r="AE188" s="1">
        <v>30.0</v>
      </c>
      <c r="AF188" s="1">
        <f t="shared" si="5"/>
        <v>100</v>
      </c>
      <c r="AG188" s="1">
        <v>40.0</v>
      </c>
      <c r="AH188" s="1">
        <v>40.0</v>
      </c>
      <c r="AI188" s="1" t="b">
        <v>1</v>
      </c>
      <c r="AK188" s="1" t="b">
        <v>1</v>
      </c>
    </row>
    <row r="189" ht="15.75" customHeight="1">
      <c r="B189" s="1" t="s">
        <v>445</v>
      </c>
      <c r="C189" s="1" t="s">
        <v>446</v>
      </c>
      <c r="D189" s="1">
        <v>0.5</v>
      </c>
      <c r="E189" s="1" t="s">
        <v>97</v>
      </c>
      <c r="F189" s="1">
        <v>15.0</v>
      </c>
      <c r="G189" s="1">
        <v>5.0</v>
      </c>
      <c r="H189" s="1">
        <v>15.0</v>
      </c>
      <c r="O189" s="1">
        <f t="shared" si="1"/>
        <v>35</v>
      </c>
      <c r="P189" s="1">
        <v>15.0</v>
      </c>
      <c r="Q189" s="1">
        <f t="shared" si="2"/>
        <v>50</v>
      </c>
      <c r="R189" s="1">
        <v>10.0</v>
      </c>
      <c r="S189" s="1">
        <v>10.0</v>
      </c>
      <c r="T189" s="1">
        <v>15.0</v>
      </c>
      <c r="AA189" s="1">
        <f t="shared" si="3"/>
        <v>35</v>
      </c>
      <c r="AB189" s="1">
        <v>15.0</v>
      </c>
      <c r="AC189" s="1">
        <f t="shared" si="4"/>
        <v>50</v>
      </c>
      <c r="AD189" s="1">
        <v>70.0</v>
      </c>
      <c r="AE189" s="1">
        <v>30.0</v>
      </c>
      <c r="AF189" s="1">
        <f t="shared" si="5"/>
        <v>100</v>
      </c>
      <c r="AG189" s="1">
        <v>40.0</v>
      </c>
      <c r="AH189" s="1">
        <v>40.0</v>
      </c>
      <c r="AI189" s="1" t="b">
        <v>1</v>
      </c>
      <c r="AK189" s="1" t="b">
        <v>1</v>
      </c>
    </row>
    <row r="190" ht="15.75" customHeight="1">
      <c r="B190" s="1" t="s">
        <v>447</v>
      </c>
      <c r="C190" s="1" t="s">
        <v>448</v>
      </c>
      <c r="D190" s="1">
        <v>0.5</v>
      </c>
      <c r="E190" s="1" t="s">
        <v>45</v>
      </c>
      <c r="F190" s="1">
        <v>10.0</v>
      </c>
      <c r="G190" s="1">
        <v>15.0</v>
      </c>
      <c r="H190" s="1">
        <v>10.0</v>
      </c>
      <c r="O190" s="1">
        <f t="shared" si="1"/>
        <v>35</v>
      </c>
      <c r="P190" s="1">
        <v>15.0</v>
      </c>
      <c r="Q190" s="1">
        <f t="shared" si="2"/>
        <v>50</v>
      </c>
      <c r="R190" s="1">
        <v>10.0</v>
      </c>
      <c r="S190" s="1">
        <v>10.0</v>
      </c>
      <c r="T190" s="1">
        <v>15.0</v>
      </c>
      <c r="AA190" s="1">
        <f t="shared" si="3"/>
        <v>35</v>
      </c>
      <c r="AB190" s="1">
        <v>15.0</v>
      </c>
      <c r="AC190" s="1">
        <f t="shared" si="4"/>
        <v>50</v>
      </c>
      <c r="AD190" s="1">
        <v>70.0</v>
      </c>
      <c r="AE190" s="1">
        <v>30.0</v>
      </c>
      <c r="AF190" s="1">
        <f t="shared" si="5"/>
        <v>100</v>
      </c>
      <c r="AG190" s="1">
        <v>40.0</v>
      </c>
      <c r="AH190" s="1">
        <v>40.0</v>
      </c>
      <c r="AI190" s="1" t="b">
        <v>1</v>
      </c>
      <c r="AK190" s="1" t="b">
        <v>1</v>
      </c>
    </row>
    <row r="191" ht="15.75" customHeight="1">
      <c r="B191" s="1" t="s">
        <v>449</v>
      </c>
      <c r="C191" s="1" t="s">
        <v>450</v>
      </c>
      <c r="D191" s="1">
        <v>0.5</v>
      </c>
      <c r="E191" s="1" t="s">
        <v>451</v>
      </c>
      <c r="F191" s="1">
        <v>12.0</v>
      </c>
      <c r="G191" s="1">
        <v>12.0</v>
      </c>
      <c r="H191" s="1">
        <v>11.0</v>
      </c>
      <c r="O191" s="1">
        <f t="shared" si="1"/>
        <v>35</v>
      </c>
      <c r="P191" s="1">
        <v>15.0</v>
      </c>
      <c r="Q191" s="1">
        <f t="shared" si="2"/>
        <v>50</v>
      </c>
      <c r="R191" s="1">
        <v>12.0</v>
      </c>
      <c r="S191" s="1">
        <v>12.0</v>
      </c>
      <c r="T191" s="1">
        <v>11.0</v>
      </c>
      <c r="AA191" s="1">
        <f t="shared" si="3"/>
        <v>35</v>
      </c>
      <c r="AB191" s="1">
        <v>15.0</v>
      </c>
      <c r="AC191" s="1">
        <f t="shared" si="4"/>
        <v>50</v>
      </c>
      <c r="AD191" s="1">
        <v>70.0</v>
      </c>
      <c r="AE191" s="1">
        <v>30.0</v>
      </c>
      <c r="AF191" s="1">
        <f t="shared" si="5"/>
        <v>100</v>
      </c>
      <c r="AG191" s="1">
        <v>40.0</v>
      </c>
      <c r="AH191" s="1">
        <v>40.0</v>
      </c>
      <c r="AI191" s="1" t="b">
        <v>1</v>
      </c>
      <c r="AK191" s="1" t="b">
        <v>1</v>
      </c>
    </row>
    <row r="192" ht="15.75" customHeight="1">
      <c r="B192" s="1" t="s">
        <v>452</v>
      </c>
      <c r="C192" s="1" t="s">
        <v>453</v>
      </c>
      <c r="D192" s="1">
        <v>1.0</v>
      </c>
      <c r="E192" s="1" t="s">
        <v>454</v>
      </c>
      <c r="F192" s="1">
        <v>10.0</v>
      </c>
      <c r="G192" s="1">
        <v>10.0</v>
      </c>
      <c r="H192" s="1">
        <v>15.0</v>
      </c>
      <c r="O192" s="1">
        <f t="shared" si="1"/>
        <v>35</v>
      </c>
      <c r="P192" s="1">
        <v>15.0</v>
      </c>
      <c r="Q192" s="1">
        <f t="shared" si="2"/>
        <v>50</v>
      </c>
      <c r="R192" s="1">
        <v>15.0</v>
      </c>
      <c r="S192" s="1">
        <v>10.0</v>
      </c>
      <c r="T192" s="1">
        <v>10.0</v>
      </c>
      <c r="AA192" s="1">
        <f t="shared" si="3"/>
        <v>35</v>
      </c>
      <c r="AB192" s="1">
        <v>15.0</v>
      </c>
      <c r="AC192" s="1">
        <f t="shared" si="4"/>
        <v>50</v>
      </c>
      <c r="AD192" s="1">
        <v>70.0</v>
      </c>
      <c r="AE192" s="1">
        <v>30.0</v>
      </c>
      <c r="AF192" s="1">
        <f t="shared" si="5"/>
        <v>100</v>
      </c>
      <c r="AG192" s="1">
        <v>50.0</v>
      </c>
      <c r="AH192" s="1">
        <v>50.0</v>
      </c>
      <c r="AI192" s="1" t="b">
        <v>1</v>
      </c>
      <c r="AK192" s="1" t="b">
        <v>1</v>
      </c>
    </row>
    <row r="193" ht="15.75" customHeight="1">
      <c r="B193" s="1" t="s">
        <v>455</v>
      </c>
      <c r="C193" s="1" t="s">
        <v>456</v>
      </c>
      <c r="D193" s="1">
        <v>1.0</v>
      </c>
      <c r="E193" s="1" t="s">
        <v>457</v>
      </c>
      <c r="F193" s="1">
        <v>15.0</v>
      </c>
      <c r="G193" s="1">
        <v>15.0</v>
      </c>
      <c r="H193" s="1">
        <v>5.0</v>
      </c>
      <c r="O193" s="1">
        <f t="shared" si="1"/>
        <v>35</v>
      </c>
      <c r="P193" s="1">
        <v>15.0</v>
      </c>
      <c r="Q193" s="1">
        <f t="shared" si="2"/>
        <v>50</v>
      </c>
      <c r="R193" s="1">
        <v>10.0</v>
      </c>
      <c r="S193" s="1">
        <v>10.0</v>
      </c>
      <c r="T193" s="1">
        <v>15.0</v>
      </c>
      <c r="AA193" s="1">
        <f t="shared" si="3"/>
        <v>35</v>
      </c>
      <c r="AB193" s="1">
        <v>15.0</v>
      </c>
      <c r="AC193" s="1">
        <f t="shared" si="4"/>
        <v>50</v>
      </c>
      <c r="AD193" s="1">
        <v>70.0</v>
      </c>
      <c r="AE193" s="1">
        <v>30.0</v>
      </c>
      <c r="AF193" s="1">
        <f t="shared" si="5"/>
        <v>100</v>
      </c>
      <c r="AG193" s="1">
        <v>40.0</v>
      </c>
      <c r="AH193" s="1">
        <v>40.0</v>
      </c>
      <c r="AI193" s="1" t="b">
        <v>1</v>
      </c>
      <c r="AK193" s="1" t="b">
        <v>1</v>
      </c>
      <c r="AL193" s="1" t="s">
        <v>428</v>
      </c>
    </row>
    <row r="194" ht="15.75" customHeight="1">
      <c r="A194" s="1" t="s">
        <v>46</v>
      </c>
      <c r="B194" s="1" t="s">
        <v>458</v>
      </c>
      <c r="C194" s="1" t="s">
        <v>410</v>
      </c>
      <c r="D194" s="1">
        <v>1.0</v>
      </c>
      <c r="E194" s="1" t="s">
        <v>48</v>
      </c>
      <c r="F194" s="1">
        <v>10.0</v>
      </c>
      <c r="G194" s="1">
        <v>10.0</v>
      </c>
      <c r="H194" s="1">
        <v>15.0</v>
      </c>
      <c r="O194" s="1">
        <f t="shared" si="1"/>
        <v>35</v>
      </c>
      <c r="P194" s="1">
        <v>15.0</v>
      </c>
      <c r="Q194" s="1">
        <f t="shared" si="2"/>
        <v>50</v>
      </c>
      <c r="R194" s="1">
        <v>10.0</v>
      </c>
      <c r="S194" s="1">
        <v>10.0</v>
      </c>
      <c r="T194" s="1">
        <v>15.0</v>
      </c>
      <c r="AA194" s="1">
        <f t="shared" si="3"/>
        <v>35</v>
      </c>
      <c r="AB194" s="1">
        <v>15.0</v>
      </c>
      <c r="AC194" s="1">
        <f t="shared" si="4"/>
        <v>50</v>
      </c>
      <c r="AD194" s="1">
        <v>70.0</v>
      </c>
      <c r="AE194" s="1">
        <v>30.0</v>
      </c>
      <c r="AF194" s="1">
        <f t="shared" si="5"/>
        <v>100</v>
      </c>
      <c r="AG194" s="1">
        <v>40.0</v>
      </c>
      <c r="AH194" s="1">
        <v>40.0</v>
      </c>
      <c r="AI194" s="1" t="b">
        <v>1</v>
      </c>
      <c r="AK194" s="1" t="b">
        <v>1</v>
      </c>
    </row>
    <row r="195" ht="15.75" customHeight="1">
      <c r="B195" s="1" t="s">
        <v>459</v>
      </c>
      <c r="C195" s="1" t="s">
        <v>416</v>
      </c>
      <c r="D195" s="1">
        <v>1.0</v>
      </c>
      <c r="E195" s="1" t="s">
        <v>460</v>
      </c>
      <c r="F195" s="1">
        <v>10.0</v>
      </c>
      <c r="G195" s="1">
        <v>10.0</v>
      </c>
      <c r="H195" s="1">
        <v>15.0</v>
      </c>
      <c r="O195" s="1">
        <f t="shared" si="1"/>
        <v>35</v>
      </c>
      <c r="P195" s="1">
        <v>15.0</v>
      </c>
      <c r="Q195" s="1">
        <f t="shared" si="2"/>
        <v>50</v>
      </c>
      <c r="R195" s="1">
        <v>10.0</v>
      </c>
      <c r="S195" s="1">
        <v>15.0</v>
      </c>
      <c r="T195" s="1">
        <v>10.0</v>
      </c>
      <c r="AA195" s="1">
        <f t="shared" si="3"/>
        <v>35</v>
      </c>
      <c r="AB195" s="1">
        <v>15.0</v>
      </c>
      <c r="AC195" s="1">
        <f t="shared" si="4"/>
        <v>50</v>
      </c>
      <c r="AD195" s="1">
        <v>70.0</v>
      </c>
      <c r="AE195" s="1">
        <v>30.0</v>
      </c>
      <c r="AF195" s="1">
        <f t="shared" si="5"/>
        <v>100</v>
      </c>
      <c r="AG195" s="1">
        <v>40.0</v>
      </c>
      <c r="AH195" s="1">
        <v>40.0</v>
      </c>
      <c r="AI195" s="1" t="b">
        <v>1</v>
      </c>
      <c r="AK195" s="1" t="b">
        <v>1</v>
      </c>
    </row>
    <row r="196" ht="15.75" customHeight="1">
      <c r="B196" s="1" t="s">
        <v>461</v>
      </c>
      <c r="C196" s="1" t="s">
        <v>462</v>
      </c>
      <c r="D196" s="1">
        <v>0.5</v>
      </c>
      <c r="E196" s="1" t="s">
        <v>174</v>
      </c>
      <c r="F196" s="1">
        <v>10.0</v>
      </c>
      <c r="G196" s="1">
        <v>10.0</v>
      </c>
      <c r="H196" s="1">
        <v>15.0</v>
      </c>
      <c r="O196" s="1">
        <f t="shared" si="1"/>
        <v>35</v>
      </c>
      <c r="P196" s="1">
        <v>15.0</v>
      </c>
      <c r="Q196" s="1">
        <f t="shared" si="2"/>
        <v>50</v>
      </c>
      <c r="R196" s="1">
        <v>10.0</v>
      </c>
      <c r="S196" s="1">
        <v>10.0</v>
      </c>
      <c r="T196" s="1">
        <v>15.0</v>
      </c>
      <c r="AA196" s="1">
        <f t="shared" si="3"/>
        <v>35</v>
      </c>
      <c r="AB196" s="1">
        <v>15.0</v>
      </c>
      <c r="AC196" s="1">
        <f t="shared" si="4"/>
        <v>50</v>
      </c>
      <c r="AD196" s="1">
        <v>70.0</v>
      </c>
      <c r="AE196" s="1">
        <v>30.0</v>
      </c>
      <c r="AF196" s="1">
        <f t="shared" si="5"/>
        <v>100</v>
      </c>
      <c r="AG196" s="1">
        <v>40.0</v>
      </c>
      <c r="AH196" s="1">
        <v>40.0</v>
      </c>
      <c r="AI196" s="1" t="b">
        <v>1</v>
      </c>
      <c r="AK196" s="1" t="b">
        <v>1</v>
      </c>
    </row>
    <row r="197" ht="15.75" customHeight="1">
      <c r="B197" s="1" t="s">
        <v>463</v>
      </c>
      <c r="C197" s="1" t="s">
        <v>464</v>
      </c>
      <c r="D197" s="1">
        <v>1.0</v>
      </c>
      <c r="E197" s="1" t="s">
        <v>465</v>
      </c>
      <c r="F197" s="1">
        <v>10.0</v>
      </c>
      <c r="G197" s="1">
        <v>10.0</v>
      </c>
      <c r="H197" s="1">
        <v>15.0</v>
      </c>
      <c r="O197" s="1">
        <f t="shared" si="1"/>
        <v>35</v>
      </c>
      <c r="P197" s="1">
        <v>15.0</v>
      </c>
      <c r="Q197" s="1">
        <f t="shared" si="2"/>
        <v>50</v>
      </c>
      <c r="R197" s="1">
        <v>10.0</v>
      </c>
      <c r="S197" s="1">
        <v>10.0</v>
      </c>
      <c r="T197" s="1">
        <v>15.0</v>
      </c>
      <c r="AA197" s="1">
        <f t="shared" si="3"/>
        <v>35</v>
      </c>
      <c r="AB197" s="1">
        <v>15.0</v>
      </c>
      <c r="AC197" s="1">
        <f t="shared" si="4"/>
        <v>50</v>
      </c>
      <c r="AD197" s="1">
        <v>70.0</v>
      </c>
      <c r="AE197" s="1">
        <v>30.0</v>
      </c>
      <c r="AF197" s="1">
        <f t="shared" si="5"/>
        <v>100</v>
      </c>
      <c r="AG197" s="1">
        <v>40.0</v>
      </c>
      <c r="AH197" s="1">
        <v>40.0</v>
      </c>
      <c r="AI197" s="1" t="b">
        <v>0</v>
      </c>
      <c r="AJ197" s="1" t="s">
        <v>360</v>
      </c>
      <c r="AK197" s="1" t="b">
        <v>1</v>
      </c>
    </row>
    <row r="198" ht="15.75" customHeight="1">
      <c r="B198" s="1" t="s">
        <v>466</v>
      </c>
      <c r="C198" s="1" t="s">
        <v>467</v>
      </c>
      <c r="D198" s="1">
        <v>1.0</v>
      </c>
      <c r="E198" s="1" t="s">
        <v>465</v>
      </c>
      <c r="F198" s="1">
        <v>10.0</v>
      </c>
      <c r="G198" s="1">
        <v>10.0</v>
      </c>
      <c r="H198" s="1">
        <v>15.0</v>
      </c>
      <c r="O198" s="1">
        <f t="shared" si="1"/>
        <v>35</v>
      </c>
      <c r="P198" s="1">
        <v>15.0</v>
      </c>
      <c r="Q198" s="1">
        <f t="shared" si="2"/>
        <v>50</v>
      </c>
      <c r="R198" s="1">
        <v>10.0</v>
      </c>
      <c r="S198" s="1">
        <v>15.0</v>
      </c>
      <c r="T198" s="1">
        <v>10.0</v>
      </c>
      <c r="AA198" s="1">
        <f t="shared" si="3"/>
        <v>35</v>
      </c>
      <c r="AB198" s="1">
        <v>15.0</v>
      </c>
      <c r="AC198" s="1">
        <f t="shared" si="4"/>
        <v>50</v>
      </c>
      <c r="AD198" s="1">
        <v>70.0</v>
      </c>
      <c r="AE198" s="1">
        <v>30.0</v>
      </c>
      <c r="AF198" s="1">
        <f t="shared" si="5"/>
        <v>100</v>
      </c>
      <c r="AG198" s="1">
        <v>40.0</v>
      </c>
      <c r="AH198" s="1">
        <v>40.0</v>
      </c>
      <c r="AI198" s="1" t="b">
        <v>1</v>
      </c>
      <c r="AK198" s="1" t="b">
        <v>1</v>
      </c>
    </row>
    <row r="199" ht="15.75" customHeight="1">
      <c r="B199" s="1" t="s">
        <v>468</v>
      </c>
      <c r="C199" s="1" t="s">
        <v>469</v>
      </c>
      <c r="D199" s="1">
        <v>2.0</v>
      </c>
      <c r="E199" s="1" t="s">
        <v>470</v>
      </c>
      <c r="F199" s="1">
        <v>15.0</v>
      </c>
      <c r="G199" s="1">
        <v>10.0</v>
      </c>
      <c r="H199" s="1">
        <v>10.0</v>
      </c>
      <c r="O199" s="1">
        <f t="shared" si="1"/>
        <v>35</v>
      </c>
      <c r="P199" s="1">
        <v>15.0</v>
      </c>
      <c r="Q199" s="1">
        <f t="shared" si="2"/>
        <v>50</v>
      </c>
      <c r="R199" s="1">
        <v>10.0</v>
      </c>
      <c r="S199" s="1">
        <v>15.0</v>
      </c>
      <c r="T199" s="1">
        <v>10.0</v>
      </c>
      <c r="AA199" s="1">
        <f t="shared" si="3"/>
        <v>35</v>
      </c>
      <c r="AB199" s="1">
        <v>15.0</v>
      </c>
      <c r="AC199" s="1">
        <f t="shared" si="4"/>
        <v>50</v>
      </c>
      <c r="AD199" s="1">
        <v>70.0</v>
      </c>
      <c r="AE199" s="1">
        <v>30.0</v>
      </c>
      <c r="AF199" s="1">
        <f t="shared" si="5"/>
        <v>100</v>
      </c>
      <c r="AG199" s="1">
        <v>40.0</v>
      </c>
      <c r="AH199" s="1">
        <v>40.0</v>
      </c>
      <c r="AI199" s="1" t="b">
        <v>1</v>
      </c>
      <c r="AK199" s="1" t="b">
        <v>1</v>
      </c>
    </row>
    <row r="200" ht="15.75" customHeight="1">
      <c r="B200" s="1" t="s">
        <v>471</v>
      </c>
      <c r="C200" s="1" t="s">
        <v>472</v>
      </c>
      <c r="D200" s="1">
        <v>1.0</v>
      </c>
      <c r="E200" s="1" t="s">
        <v>470</v>
      </c>
      <c r="F200" s="1">
        <v>5.0</v>
      </c>
      <c r="G200" s="1">
        <v>15.0</v>
      </c>
      <c r="H200" s="1">
        <v>15.0</v>
      </c>
      <c r="O200" s="1">
        <f t="shared" si="1"/>
        <v>35</v>
      </c>
      <c r="P200" s="1">
        <v>15.0</v>
      </c>
      <c r="Q200" s="1">
        <f t="shared" si="2"/>
        <v>50</v>
      </c>
      <c r="R200" s="1">
        <v>10.0</v>
      </c>
      <c r="S200" s="1">
        <v>15.0</v>
      </c>
      <c r="T200" s="1">
        <v>10.0</v>
      </c>
      <c r="AA200" s="1">
        <f t="shared" si="3"/>
        <v>35</v>
      </c>
      <c r="AB200" s="1">
        <v>15.0</v>
      </c>
      <c r="AC200" s="1">
        <f t="shared" si="4"/>
        <v>50</v>
      </c>
      <c r="AD200" s="1">
        <v>70.0</v>
      </c>
      <c r="AE200" s="1">
        <v>30.0</v>
      </c>
      <c r="AF200" s="1">
        <f t="shared" si="5"/>
        <v>100</v>
      </c>
      <c r="AG200" s="1">
        <v>40.0</v>
      </c>
      <c r="AH200" s="1">
        <v>40.0</v>
      </c>
      <c r="AI200" s="1" t="b">
        <v>1</v>
      </c>
      <c r="AK200" s="1" t="b">
        <v>1</v>
      </c>
    </row>
    <row r="201" ht="15.75" customHeight="1">
      <c r="A201" s="1" t="s">
        <v>54</v>
      </c>
      <c r="B201" s="1" t="s">
        <v>473</v>
      </c>
      <c r="C201" s="1" t="s">
        <v>430</v>
      </c>
      <c r="D201" s="1">
        <v>1.0</v>
      </c>
      <c r="E201" s="1" t="s">
        <v>56</v>
      </c>
      <c r="F201" s="1">
        <v>10.0</v>
      </c>
      <c r="G201" s="1">
        <v>10.0</v>
      </c>
      <c r="H201" s="1">
        <v>15.0</v>
      </c>
      <c r="O201" s="1">
        <f t="shared" si="1"/>
        <v>35</v>
      </c>
      <c r="P201" s="1">
        <v>15.0</v>
      </c>
      <c r="Q201" s="1">
        <f t="shared" si="2"/>
        <v>50</v>
      </c>
      <c r="R201" s="1">
        <v>15.0</v>
      </c>
      <c r="S201" s="1">
        <v>10.0</v>
      </c>
      <c r="T201" s="1">
        <v>10.0</v>
      </c>
      <c r="AA201" s="1">
        <f t="shared" si="3"/>
        <v>35</v>
      </c>
      <c r="AB201" s="1">
        <v>15.0</v>
      </c>
      <c r="AC201" s="1">
        <f t="shared" si="4"/>
        <v>50</v>
      </c>
      <c r="AD201" s="1">
        <v>70.0</v>
      </c>
      <c r="AE201" s="1">
        <v>30.0</v>
      </c>
      <c r="AF201" s="1">
        <f t="shared" si="5"/>
        <v>100</v>
      </c>
      <c r="AG201" s="1">
        <v>40.0</v>
      </c>
      <c r="AH201" s="1">
        <v>40.0</v>
      </c>
      <c r="AI201" s="1" t="b">
        <v>1</v>
      </c>
      <c r="AK201" s="1" t="b">
        <v>1</v>
      </c>
    </row>
    <row r="202" ht="15.75" customHeight="1">
      <c r="B202" s="1" t="s">
        <v>474</v>
      </c>
      <c r="C202" s="1" t="s">
        <v>475</v>
      </c>
      <c r="D202" s="1">
        <v>1.0</v>
      </c>
      <c r="E202" s="1" t="s">
        <v>109</v>
      </c>
      <c r="F202" s="1">
        <v>10.0</v>
      </c>
      <c r="G202" s="1">
        <v>10.0</v>
      </c>
      <c r="H202" s="1">
        <v>15.0</v>
      </c>
      <c r="O202" s="1">
        <f t="shared" si="1"/>
        <v>35</v>
      </c>
      <c r="P202" s="1">
        <v>15.0</v>
      </c>
      <c r="Q202" s="1">
        <f t="shared" si="2"/>
        <v>50</v>
      </c>
      <c r="R202" s="1">
        <v>10.0</v>
      </c>
      <c r="S202" s="1">
        <v>10.0</v>
      </c>
      <c r="T202" s="1">
        <v>15.0</v>
      </c>
      <c r="AA202" s="1">
        <f t="shared" si="3"/>
        <v>35</v>
      </c>
      <c r="AB202" s="1">
        <v>15.0</v>
      </c>
      <c r="AC202" s="1">
        <f t="shared" si="4"/>
        <v>50</v>
      </c>
      <c r="AD202" s="1">
        <v>70.0</v>
      </c>
      <c r="AE202" s="1">
        <v>30.0</v>
      </c>
      <c r="AF202" s="1">
        <f t="shared" si="5"/>
        <v>100</v>
      </c>
      <c r="AG202" s="1">
        <v>40.0</v>
      </c>
      <c r="AH202" s="1">
        <v>40.0</v>
      </c>
      <c r="AI202" s="1" t="b">
        <v>1</v>
      </c>
      <c r="AK202" s="1" t="b">
        <v>1</v>
      </c>
    </row>
    <row r="203" ht="15.75" customHeight="1">
      <c r="B203" s="1" t="s">
        <v>476</v>
      </c>
      <c r="C203" s="1" t="s">
        <v>477</v>
      </c>
      <c r="D203" s="1">
        <v>1.0</v>
      </c>
      <c r="E203" s="1" t="s">
        <v>267</v>
      </c>
      <c r="F203" s="1">
        <v>10.0</v>
      </c>
      <c r="G203" s="1">
        <v>10.0</v>
      </c>
      <c r="H203" s="1">
        <v>15.0</v>
      </c>
      <c r="O203" s="1">
        <f t="shared" si="1"/>
        <v>35</v>
      </c>
      <c r="P203" s="1">
        <v>15.0</v>
      </c>
      <c r="Q203" s="1">
        <f t="shared" si="2"/>
        <v>50</v>
      </c>
      <c r="R203" s="1">
        <v>10.0</v>
      </c>
      <c r="S203" s="1">
        <v>10.0</v>
      </c>
      <c r="T203" s="1">
        <v>15.0</v>
      </c>
      <c r="AA203" s="1">
        <f t="shared" si="3"/>
        <v>35</v>
      </c>
      <c r="AB203" s="1">
        <v>15.0</v>
      </c>
      <c r="AC203" s="1">
        <f t="shared" si="4"/>
        <v>50</v>
      </c>
      <c r="AD203" s="1">
        <v>70.0</v>
      </c>
      <c r="AE203" s="1">
        <v>30.0</v>
      </c>
      <c r="AF203" s="1">
        <f t="shared" si="5"/>
        <v>100</v>
      </c>
      <c r="AG203" s="1">
        <v>40.0</v>
      </c>
      <c r="AH203" s="1">
        <v>40.0</v>
      </c>
      <c r="AI203" s="1" t="b">
        <v>1</v>
      </c>
      <c r="AK203" s="1" t="b">
        <v>1</v>
      </c>
    </row>
    <row r="204" ht="15.75" customHeight="1">
      <c r="B204" s="1" t="s">
        <v>478</v>
      </c>
      <c r="C204" s="1" t="s">
        <v>479</v>
      </c>
      <c r="D204" s="1">
        <v>1.0</v>
      </c>
      <c r="E204" s="1" t="s">
        <v>480</v>
      </c>
      <c r="F204" s="1">
        <v>10.0</v>
      </c>
      <c r="G204" s="1">
        <v>10.0</v>
      </c>
      <c r="H204" s="1">
        <v>15.0</v>
      </c>
      <c r="O204" s="1">
        <f t="shared" si="1"/>
        <v>35</v>
      </c>
      <c r="P204" s="1">
        <v>15.0</v>
      </c>
      <c r="Q204" s="1">
        <f t="shared" si="2"/>
        <v>50</v>
      </c>
      <c r="R204" s="1">
        <v>15.0</v>
      </c>
      <c r="S204" s="1">
        <v>10.0</v>
      </c>
      <c r="T204" s="1">
        <v>10.0</v>
      </c>
      <c r="AA204" s="1">
        <f t="shared" si="3"/>
        <v>35</v>
      </c>
      <c r="AB204" s="1">
        <v>15.0</v>
      </c>
      <c r="AC204" s="1">
        <f t="shared" si="4"/>
        <v>50</v>
      </c>
      <c r="AD204" s="1">
        <v>70.0</v>
      </c>
      <c r="AE204" s="1">
        <v>30.0</v>
      </c>
      <c r="AF204" s="1">
        <f t="shared" si="5"/>
        <v>100</v>
      </c>
      <c r="AG204" s="1">
        <v>40.0</v>
      </c>
      <c r="AH204" s="1">
        <v>40.0</v>
      </c>
      <c r="AI204" s="1" t="b">
        <v>1</v>
      </c>
      <c r="AK204" s="1" t="b">
        <v>1</v>
      </c>
    </row>
    <row r="205" ht="15.75" customHeight="1">
      <c r="B205" s="1" t="s">
        <v>481</v>
      </c>
      <c r="C205" s="1" t="s">
        <v>482</v>
      </c>
      <c r="D205" s="1">
        <v>1.0</v>
      </c>
      <c r="E205" s="1" t="s">
        <v>483</v>
      </c>
      <c r="F205" s="1">
        <v>10.0</v>
      </c>
      <c r="G205" s="1">
        <v>10.0</v>
      </c>
      <c r="H205" s="1">
        <v>15.0</v>
      </c>
      <c r="O205" s="1">
        <f t="shared" si="1"/>
        <v>35</v>
      </c>
      <c r="P205" s="1">
        <v>15.0</v>
      </c>
      <c r="Q205" s="1">
        <f t="shared" si="2"/>
        <v>50</v>
      </c>
      <c r="R205" s="1">
        <v>10.0</v>
      </c>
      <c r="S205" s="1">
        <v>10.0</v>
      </c>
      <c r="T205" s="1">
        <v>15.0</v>
      </c>
      <c r="AA205" s="1">
        <f t="shared" si="3"/>
        <v>35</v>
      </c>
      <c r="AB205" s="1">
        <v>15.0</v>
      </c>
      <c r="AC205" s="1">
        <f t="shared" si="4"/>
        <v>50</v>
      </c>
      <c r="AD205" s="1">
        <v>70.0</v>
      </c>
      <c r="AE205" s="1">
        <v>30.0</v>
      </c>
      <c r="AF205" s="1">
        <f t="shared" si="5"/>
        <v>100</v>
      </c>
      <c r="AG205" s="1">
        <v>40.0</v>
      </c>
      <c r="AH205" s="1">
        <v>40.0</v>
      </c>
      <c r="AI205" s="1" t="b">
        <v>1</v>
      </c>
      <c r="AK205" s="1" t="b">
        <v>1</v>
      </c>
    </row>
    <row r="206" ht="15.75" customHeight="1">
      <c r="B206" s="1" t="s">
        <v>484</v>
      </c>
      <c r="C206" s="1" t="s">
        <v>485</v>
      </c>
      <c r="D206" s="1">
        <v>2.0</v>
      </c>
      <c r="E206" s="1" t="s">
        <v>486</v>
      </c>
      <c r="F206" s="1">
        <v>10.0</v>
      </c>
      <c r="G206" s="1">
        <v>10.0</v>
      </c>
      <c r="H206" s="1">
        <v>15.0</v>
      </c>
      <c r="O206" s="1">
        <f t="shared" si="1"/>
        <v>35</v>
      </c>
      <c r="P206" s="1">
        <v>15.0</v>
      </c>
      <c r="Q206" s="1">
        <f t="shared" si="2"/>
        <v>50</v>
      </c>
      <c r="R206" s="1">
        <v>15.0</v>
      </c>
      <c r="S206" s="1">
        <v>10.0</v>
      </c>
      <c r="T206" s="1">
        <v>10.0</v>
      </c>
      <c r="AA206" s="1">
        <f t="shared" si="3"/>
        <v>35</v>
      </c>
      <c r="AB206" s="1">
        <v>15.0</v>
      </c>
      <c r="AC206" s="1">
        <f t="shared" si="4"/>
        <v>50</v>
      </c>
      <c r="AD206" s="1">
        <v>70.0</v>
      </c>
      <c r="AE206" s="1">
        <v>30.0</v>
      </c>
      <c r="AF206" s="1">
        <f t="shared" si="5"/>
        <v>100</v>
      </c>
      <c r="AG206" s="1">
        <v>50.0</v>
      </c>
      <c r="AH206" s="1">
        <v>50.0</v>
      </c>
      <c r="AI206" s="1" t="b">
        <v>1</v>
      </c>
      <c r="AK206" s="1" t="b">
        <v>1</v>
      </c>
    </row>
    <row r="207" ht="15.75" customHeight="1">
      <c r="B207" s="1" t="s">
        <v>487</v>
      </c>
      <c r="C207" s="1" t="s">
        <v>488</v>
      </c>
      <c r="D207" s="1">
        <v>1.0</v>
      </c>
      <c r="E207" s="1" t="s">
        <v>486</v>
      </c>
      <c r="F207" s="1">
        <v>10.0</v>
      </c>
      <c r="G207" s="1">
        <v>10.0</v>
      </c>
      <c r="H207" s="1">
        <v>15.0</v>
      </c>
      <c r="O207" s="1">
        <f t="shared" si="1"/>
        <v>35</v>
      </c>
      <c r="P207" s="1">
        <v>15.0</v>
      </c>
      <c r="Q207" s="1">
        <f t="shared" si="2"/>
        <v>50</v>
      </c>
      <c r="R207" s="1">
        <v>15.0</v>
      </c>
      <c r="S207" s="1">
        <v>10.0</v>
      </c>
      <c r="T207" s="1">
        <v>10.0</v>
      </c>
      <c r="AA207" s="1">
        <f t="shared" si="3"/>
        <v>35</v>
      </c>
      <c r="AB207" s="1">
        <v>15.0</v>
      </c>
      <c r="AC207" s="1">
        <f t="shared" si="4"/>
        <v>50</v>
      </c>
      <c r="AD207" s="1">
        <v>70.0</v>
      </c>
      <c r="AE207" s="1">
        <v>30.0</v>
      </c>
      <c r="AF207" s="1">
        <f t="shared" si="5"/>
        <v>100</v>
      </c>
      <c r="AG207" s="1">
        <v>50.0</v>
      </c>
      <c r="AH207" s="1">
        <v>50.0</v>
      </c>
      <c r="AI207" s="1" t="b">
        <v>1</v>
      </c>
      <c r="AK207" s="1" t="b">
        <v>1</v>
      </c>
    </row>
    <row r="208" ht="15.75" customHeight="1">
      <c r="A208" s="1" t="s">
        <v>62</v>
      </c>
      <c r="B208" s="1" t="s">
        <v>489</v>
      </c>
      <c r="C208" s="1" t="s">
        <v>444</v>
      </c>
      <c r="D208" s="1">
        <v>1.0</v>
      </c>
      <c r="E208" s="1" t="s">
        <v>490</v>
      </c>
      <c r="F208" s="1">
        <v>10.0</v>
      </c>
      <c r="G208" s="1">
        <v>10.0</v>
      </c>
      <c r="H208" s="1">
        <v>15.0</v>
      </c>
      <c r="O208" s="1">
        <f t="shared" si="1"/>
        <v>35</v>
      </c>
      <c r="P208" s="1">
        <v>15.0</v>
      </c>
      <c r="Q208" s="1">
        <f t="shared" si="2"/>
        <v>50</v>
      </c>
      <c r="R208" s="1">
        <v>15.0</v>
      </c>
      <c r="S208" s="1">
        <v>15.0</v>
      </c>
      <c r="T208" s="1">
        <v>5.0</v>
      </c>
      <c r="AA208" s="1">
        <f t="shared" si="3"/>
        <v>35</v>
      </c>
      <c r="AB208" s="1">
        <v>15.0</v>
      </c>
      <c r="AC208" s="1">
        <f t="shared" si="4"/>
        <v>50</v>
      </c>
      <c r="AD208" s="1">
        <v>70.0</v>
      </c>
      <c r="AE208" s="1">
        <v>30.0</v>
      </c>
      <c r="AF208" s="1">
        <f t="shared" si="5"/>
        <v>100</v>
      </c>
      <c r="AG208" s="1">
        <v>50.0</v>
      </c>
      <c r="AH208" s="1">
        <v>50.0</v>
      </c>
      <c r="AI208" s="1" t="b">
        <v>1</v>
      </c>
      <c r="AK208" s="1" t="b">
        <v>1</v>
      </c>
    </row>
    <row r="209" ht="15.75" customHeight="1">
      <c r="B209" s="1" t="s">
        <v>491</v>
      </c>
      <c r="C209" s="1" t="s">
        <v>492</v>
      </c>
      <c r="D209" s="1">
        <v>1.0</v>
      </c>
      <c r="E209" s="1" t="s">
        <v>118</v>
      </c>
      <c r="F209" s="1">
        <v>10.0</v>
      </c>
      <c r="G209" s="1">
        <v>10.0</v>
      </c>
      <c r="H209" s="1">
        <v>15.0</v>
      </c>
      <c r="O209" s="1">
        <f t="shared" si="1"/>
        <v>35</v>
      </c>
      <c r="P209" s="1">
        <v>15.0</v>
      </c>
      <c r="Q209" s="1">
        <f t="shared" si="2"/>
        <v>50</v>
      </c>
      <c r="R209" s="1">
        <v>15.0</v>
      </c>
      <c r="S209" s="1">
        <v>10.0</v>
      </c>
      <c r="T209" s="1">
        <v>10.0</v>
      </c>
      <c r="AA209" s="1">
        <f t="shared" si="3"/>
        <v>35</v>
      </c>
      <c r="AB209" s="1">
        <v>15.0</v>
      </c>
      <c r="AC209" s="1">
        <f t="shared" si="4"/>
        <v>50</v>
      </c>
      <c r="AD209" s="1">
        <v>70.0</v>
      </c>
      <c r="AE209" s="1">
        <v>30.0</v>
      </c>
      <c r="AF209" s="1">
        <f t="shared" si="5"/>
        <v>100</v>
      </c>
      <c r="AG209" s="1">
        <v>50.0</v>
      </c>
      <c r="AH209" s="1">
        <v>50.0</v>
      </c>
      <c r="AI209" s="1" t="b">
        <v>1</v>
      </c>
      <c r="AK209" s="1" t="b">
        <v>1</v>
      </c>
    </row>
    <row r="210" ht="15.75" customHeight="1">
      <c r="B210" s="1" t="s">
        <v>493</v>
      </c>
      <c r="C210" s="1" t="s">
        <v>450</v>
      </c>
      <c r="D210" s="1">
        <v>1.0</v>
      </c>
      <c r="E210" s="1" t="s">
        <v>494</v>
      </c>
      <c r="F210" s="1">
        <v>10.0</v>
      </c>
      <c r="G210" s="1">
        <v>10.0</v>
      </c>
      <c r="H210" s="1">
        <v>15.0</v>
      </c>
      <c r="O210" s="1">
        <f t="shared" si="1"/>
        <v>35</v>
      </c>
      <c r="P210" s="1">
        <v>15.0</v>
      </c>
      <c r="Q210" s="1">
        <f t="shared" si="2"/>
        <v>50</v>
      </c>
      <c r="R210" s="1">
        <v>10.0</v>
      </c>
      <c r="S210" s="1">
        <v>10.0</v>
      </c>
      <c r="T210" s="1">
        <v>15.0</v>
      </c>
      <c r="AA210" s="1">
        <f t="shared" si="3"/>
        <v>35</v>
      </c>
      <c r="AB210" s="1">
        <v>15.0</v>
      </c>
      <c r="AC210" s="1">
        <f t="shared" si="4"/>
        <v>50</v>
      </c>
      <c r="AD210" s="1">
        <v>70.0</v>
      </c>
      <c r="AE210" s="1">
        <v>30.0</v>
      </c>
      <c r="AF210" s="1">
        <f t="shared" si="5"/>
        <v>100</v>
      </c>
      <c r="AG210" s="1">
        <v>50.0</v>
      </c>
      <c r="AH210" s="1">
        <v>50.0</v>
      </c>
      <c r="AI210" s="1" t="b">
        <v>1</v>
      </c>
      <c r="AK210" s="1" t="b">
        <v>1</v>
      </c>
    </row>
    <row r="211" ht="15.75" customHeight="1">
      <c r="B211" s="1" t="s">
        <v>495</v>
      </c>
      <c r="C211" s="1" t="s">
        <v>496</v>
      </c>
      <c r="D211" s="1">
        <v>1.0</v>
      </c>
      <c r="E211" s="1" t="s">
        <v>497</v>
      </c>
      <c r="F211" s="1">
        <v>15.0</v>
      </c>
      <c r="G211" s="1">
        <v>10.0</v>
      </c>
      <c r="H211" s="1">
        <v>10.0</v>
      </c>
      <c r="O211" s="1">
        <f t="shared" si="1"/>
        <v>35</v>
      </c>
      <c r="P211" s="1">
        <v>15.0</v>
      </c>
      <c r="Q211" s="1">
        <f t="shared" si="2"/>
        <v>50</v>
      </c>
      <c r="R211" s="1">
        <v>15.0</v>
      </c>
      <c r="S211" s="1">
        <v>10.0</v>
      </c>
      <c r="T211" s="1">
        <v>10.0</v>
      </c>
      <c r="AA211" s="1">
        <f t="shared" si="3"/>
        <v>35</v>
      </c>
      <c r="AB211" s="1">
        <v>15.0</v>
      </c>
      <c r="AC211" s="1">
        <f t="shared" si="4"/>
        <v>50</v>
      </c>
      <c r="AD211" s="1">
        <v>70.0</v>
      </c>
      <c r="AE211" s="1">
        <v>30.0</v>
      </c>
      <c r="AF211" s="1">
        <f t="shared" si="5"/>
        <v>100</v>
      </c>
      <c r="AG211" s="1">
        <v>40.0</v>
      </c>
      <c r="AH211" s="1">
        <v>40.0</v>
      </c>
      <c r="AI211" s="1" t="b">
        <v>1</v>
      </c>
      <c r="AK211" s="1" t="b">
        <v>1</v>
      </c>
    </row>
    <row r="212" ht="15.75" customHeight="1">
      <c r="B212" s="1" t="s">
        <v>498</v>
      </c>
      <c r="C212" s="1" t="s">
        <v>499</v>
      </c>
      <c r="D212" s="1">
        <v>1.0</v>
      </c>
      <c r="E212" s="1" t="s">
        <v>500</v>
      </c>
      <c r="F212" s="1">
        <v>10.0</v>
      </c>
      <c r="G212" s="1">
        <v>15.0</v>
      </c>
      <c r="H212" s="1">
        <v>10.0</v>
      </c>
      <c r="O212" s="1">
        <f t="shared" si="1"/>
        <v>35</v>
      </c>
      <c r="P212" s="1">
        <v>15.0</v>
      </c>
      <c r="Q212" s="1">
        <f t="shared" si="2"/>
        <v>50</v>
      </c>
      <c r="R212" s="1">
        <v>10.0</v>
      </c>
      <c r="S212" s="1">
        <v>10.0</v>
      </c>
      <c r="T212" s="1">
        <v>15.0</v>
      </c>
      <c r="AA212" s="1">
        <f t="shared" si="3"/>
        <v>35</v>
      </c>
      <c r="AB212" s="1">
        <v>15.0</v>
      </c>
      <c r="AC212" s="1">
        <f t="shared" si="4"/>
        <v>50</v>
      </c>
      <c r="AD212" s="1">
        <v>70.0</v>
      </c>
      <c r="AE212" s="1">
        <v>30.0</v>
      </c>
      <c r="AF212" s="1">
        <f t="shared" si="5"/>
        <v>100</v>
      </c>
      <c r="AG212" s="1">
        <v>40.0</v>
      </c>
      <c r="AH212" s="1">
        <v>40.0</v>
      </c>
      <c r="AI212" s="1" t="b">
        <v>1</v>
      </c>
      <c r="AK212" s="1" t="b">
        <v>1</v>
      </c>
    </row>
    <row r="213" ht="15.75" customHeight="1">
      <c r="B213" s="1" t="s">
        <v>501</v>
      </c>
      <c r="C213" s="1" t="s">
        <v>502</v>
      </c>
      <c r="D213" s="1">
        <v>2.0</v>
      </c>
      <c r="E213" s="1" t="s">
        <v>503</v>
      </c>
      <c r="F213" s="1">
        <v>10.0</v>
      </c>
      <c r="G213" s="1">
        <v>10.0</v>
      </c>
      <c r="H213" s="1">
        <v>15.0</v>
      </c>
      <c r="O213" s="1">
        <f t="shared" si="1"/>
        <v>35</v>
      </c>
      <c r="P213" s="1">
        <v>15.0</v>
      </c>
      <c r="Q213" s="1">
        <f t="shared" si="2"/>
        <v>50</v>
      </c>
      <c r="R213" s="1">
        <v>10.0</v>
      </c>
      <c r="S213" s="1">
        <v>10.0</v>
      </c>
      <c r="T213" s="1">
        <v>15.0</v>
      </c>
      <c r="AA213" s="1">
        <f t="shared" si="3"/>
        <v>35</v>
      </c>
      <c r="AB213" s="1">
        <v>15.0</v>
      </c>
      <c r="AC213" s="1">
        <f t="shared" si="4"/>
        <v>50</v>
      </c>
      <c r="AD213" s="1">
        <v>70.0</v>
      </c>
      <c r="AE213" s="1">
        <v>30.0</v>
      </c>
      <c r="AF213" s="1">
        <f t="shared" si="5"/>
        <v>100</v>
      </c>
      <c r="AG213" s="1">
        <v>60.0</v>
      </c>
      <c r="AH213" s="1">
        <v>60.0</v>
      </c>
      <c r="AI213" s="1" t="b">
        <v>1</v>
      </c>
      <c r="AK213" s="1" t="b">
        <v>1</v>
      </c>
    </row>
    <row r="214" ht="15.75" customHeight="1">
      <c r="B214" s="1" t="s">
        <v>504</v>
      </c>
      <c r="C214" s="1" t="s">
        <v>505</v>
      </c>
      <c r="D214" s="1">
        <v>1.0</v>
      </c>
      <c r="E214" s="1" t="s">
        <v>503</v>
      </c>
      <c r="F214" s="1">
        <v>10.0</v>
      </c>
      <c r="G214" s="1">
        <v>10.0</v>
      </c>
      <c r="H214" s="1">
        <v>15.0</v>
      </c>
      <c r="O214" s="1">
        <f t="shared" si="1"/>
        <v>35</v>
      </c>
      <c r="P214" s="1">
        <v>15.0</v>
      </c>
      <c r="Q214" s="1">
        <f t="shared" si="2"/>
        <v>50</v>
      </c>
      <c r="R214" s="1">
        <v>10.0</v>
      </c>
      <c r="S214" s="1">
        <v>10.0</v>
      </c>
      <c r="T214" s="1">
        <v>15.0</v>
      </c>
      <c r="AA214" s="1">
        <f t="shared" si="3"/>
        <v>35</v>
      </c>
      <c r="AB214" s="1">
        <v>15.0</v>
      </c>
      <c r="AC214" s="1">
        <f t="shared" si="4"/>
        <v>50</v>
      </c>
      <c r="AD214" s="1">
        <v>70.0</v>
      </c>
      <c r="AE214" s="1">
        <v>30.0</v>
      </c>
      <c r="AF214" s="1">
        <f t="shared" si="5"/>
        <v>100</v>
      </c>
      <c r="AG214" s="1">
        <v>40.0</v>
      </c>
      <c r="AH214" s="1">
        <v>40.0</v>
      </c>
      <c r="AI214" s="1" t="b">
        <v>1</v>
      </c>
      <c r="AK214" s="1" t="b">
        <v>1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">
      <c r="A1" s="1" t="s">
        <v>506</v>
      </c>
      <c r="B1" s="1" t="s">
        <v>507</v>
      </c>
      <c r="C1" s="1" t="s">
        <v>508</v>
      </c>
      <c r="D1" s="1" t="s">
        <v>509</v>
      </c>
      <c r="E1" s="1" t="s">
        <v>1</v>
      </c>
      <c r="F1" s="1" t="s">
        <v>510</v>
      </c>
      <c r="G1" s="1" t="s">
        <v>511</v>
      </c>
      <c r="H1" s="1" t="s">
        <v>512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510</v>
      </c>
      <c r="C1" s="1" t="s">
        <v>508</v>
      </c>
      <c r="D1" s="1" t="s">
        <v>518</v>
      </c>
      <c r="E1" s="1" t="s">
        <v>516</v>
      </c>
      <c r="F1" s="1" t="s">
        <v>519</v>
      </c>
      <c r="G1" s="1" t="s">
        <v>520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